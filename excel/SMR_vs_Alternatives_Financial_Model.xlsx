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put" sheetId="2" state="visible" r:id="rId4"/>
    <sheet name="Twin" sheetId="3" state="visible" r:id="rId5"/>
    <sheet name="Model_SMR_CfD" sheetId="4" state="visible" r:id="rId6"/>
    <sheet name="Model_SMR_Fixed" sheetId="5" state="visible" r:id="rId7"/>
    <sheet name="Model_SMR_Dynamic" sheetId="6" state="visible" r:id="rId8"/>
    <sheet name="Model_CCGT" sheetId="7" state="visible" r:id="rId9"/>
    <sheet name="Model_OCGT" sheetId="8" state="visible" r:id="rId10"/>
    <sheet name="Model_Engines" sheetId="9" state="visible" r:id="rId11"/>
    <sheet name="Tables" sheetId="10" state="visible" r:id="rId12"/>
    <sheet name="Source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<sst xmlns="http://schemas.openxmlformats.org/spreadsheetml/2006/main" count="1719" uniqueCount="468">
  <si>
    <t xml:space="preserve">SMR vs alternatives — digital-twin financial model (Stalowa Wola, BWRX-300)</t>
  </si>
  <si>
    <t xml:space="preserve">AM R&amp;D / EnergyScope · real PLN 2026 · hourly dispatch from the Python twin (smrtwin) · all formulas live</t>
  </si>
  <si>
    <t xml:space="preserve">Assumption case</t>
  </si>
  <si>
    <t xml:space="preserve">CENTRAL</t>
  </si>
  <si>
    <t xml:space="preserve">LOW = every parameter at its low value (cheap SMR AND low prices); use Input to mix cases.</t>
  </si>
  <si>
    <t xml:space="preserve">Case index (1 = LOW, 2 = CENTRAL, 3 = HIGH)</t>
  </si>
  <si>
    <t xml:space="preserve">Key results by scenario (selected case)</t>
  </si>
  <si>
    <t xml:space="preserve">Scenario</t>
  </si>
  <si>
    <t xml:space="preserve">NPV post-tax (m PLN)</t>
  </si>
  <si>
    <t xml:space="preserve">IRR post-tax</t>
  </si>
  <si>
    <t xml:space="preserve">LCOE (PLN/MWh)</t>
  </si>
  <si>
    <t xml:space="preserve">Levelised revenue (PLN/MWh)</t>
  </si>
  <si>
    <t xml:space="preserve">Avg capacity factor</t>
  </si>
  <si>
    <t xml:space="preserve">Local gov. revenue (m PLN/op-yr)</t>
  </si>
  <si>
    <t xml:space="preserve">CfD/support PV (m PLN)</t>
  </si>
  <si>
    <t xml:space="preserve">Break-even strike / premium (PLN/MWh)</t>
  </si>
  <si>
    <t xml:space="preserve">SMR · CfD (two-way, PEJ template)</t>
  </si>
  <si>
    <t xml:space="preserve">SMR · fixed price = last-12-month average spot</t>
  </si>
  <si>
    <t xml:space="preserve">SMR · merchant, dynamic 50–100 % dispatch</t>
  </si>
  <si>
    <t xml:space="preserve">CCGT 1+1 ~300 MW · merchant dynamic</t>
  </si>
  <si>
    <t xml:space="preserve">OCGT 2×150 MW · merchant dynamic</t>
  </si>
  <si>
    <t xml:space="preserve">Gas engines 4×76.5 MW · merchant dynamic</t>
  </si>
  <si>
    <t xml:space="preserve">Break-even column: for the CfD sheet = strike (EUR/MWh) at which NPV = 0 (pre-tax exact / post-tax approximated as linear in strike); for other sheets = constant PLN/MWh premium on all output needed for NPV = 0.</t>
  </si>
  <si>
    <t xml:space="preserve">'Alternative cost' reading: NPV of a merchant asset = value of its output at market prices − its full cost, i.e. minus the net cost to the system of building it instead of buying from the market.</t>
  </si>
  <si>
    <t xml:space="preserve">Key figures by year — selected case (m PLN)</t>
  </si>
  <si>
    <t xml:space="preserve">Year</t>
  </si>
  <si>
    <t xml:space="preserve">SMR · CfD (two-way, PEJ template) — post-tax FCF</t>
  </si>
  <si>
    <t xml:space="preserve">SMR · CfD (two-way, PEJ template) — revenue</t>
  </si>
  <si>
    <t xml:space="preserve">SMR · CfD (two-way, PEJ template) — local gov. revenue</t>
  </si>
  <si>
    <t xml:space="preserve">SMR · fixed price = last-12-month average spot — post-tax FCF</t>
  </si>
  <si>
    <t xml:space="preserve">SMR · fixed price = last-12-month average spot — revenue</t>
  </si>
  <si>
    <t xml:space="preserve">SMR · fixed price = last-12-month average spot — local gov. revenue</t>
  </si>
  <si>
    <t xml:space="preserve">SMR · merchant, dynamic 50–100 % dispatch — post-tax FCF</t>
  </si>
  <si>
    <t xml:space="preserve">SMR · merchant, dynamic 50–100 % dispatch — revenue</t>
  </si>
  <si>
    <t xml:space="preserve">SMR · merchant, dynamic 50–100 % dispatch — local gov. revenue</t>
  </si>
  <si>
    <t xml:space="preserve">CCGT 1+1 ~300 MW · merchant dynamic — post-tax FCF</t>
  </si>
  <si>
    <t xml:space="preserve">CCGT 1+1 ~300 MW · merchant dynamic — revenue</t>
  </si>
  <si>
    <t xml:space="preserve">CCGT 1+1 ~300 MW · merchant dynamic — local gov. revenue</t>
  </si>
  <si>
    <t xml:space="preserve">OCGT 2×150 MW · merchant dynamic — post-tax FCF</t>
  </si>
  <si>
    <t xml:space="preserve">OCGT 2×150 MW · merchant dynamic — revenue</t>
  </si>
  <si>
    <t xml:space="preserve">OCGT 2×150 MW · merchant dynamic — local gov. revenue</t>
  </si>
  <si>
    <t xml:space="preserve">Gas engines 4×76.5 MW · merchant dynamic — post-tax FCF</t>
  </si>
  <si>
    <t xml:space="preserve">Gas engines 4×76.5 MW · merchant dynamic — revenue</t>
  </si>
  <si>
    <t xml:space="preserve">Gas engines 4×76.5 MW · merchant dynamic — local gov. revenue</t>
  </si>
  <si>
    <t xml:space="preserve">Input</t>
  </si>
  <si>
    <t xml:space="preserve">Blue = hard-coded assumption (edit LOW / CENTRAL / HIGH); green-shaded column H = value selected by the case switch on Dashboard!C4. Money in real PLN, 2026 price level.</t>
  </si>
  <si>
    <t xml:space="preserve">#</t>
  </si>
  <si>
    <t xml:space="preserve">Parameter</t>
  </si>
  <si>
    <t xml:space="preserve">Unit</t>
  </si>
  <si>
    <t xml:space="preserve">LOW</t>
  </si>
  <si>
    <t xml:space="preserve">HIGH</t>
  </si>
  <si>
    <t xml:space="preserve">Selected</t>
  </si>
  <si>
    <t xml:space="preserve">Source / note</t>
  </si>
  <si>
    <t xml:space="preserve">1. Model set-up</t>
  </si>
  <si>
    <t xml:space="preserve">Price base year (real terms)</t>
  </si>
  <si>
    <t xml:space="preserve">year</t>
  </si>
  <si>
    <t xml:space="preserve">All money real PLN at 2026 level</t>
  </si>
  <si>
    <t xml:space="preserve">EUR/PLN</t>
  </si>
  <si>
    <t xml:space="preserve">PLN</t>
  </si>
  <si>
    <t xml:space="preserve">NBP table A mid, 18 Sep 2026 (4.3633)</t>
  </si>
  <si>
    <t xml:space="preserve">USD/PLN</t>
  </si>
  <si>
    <t xml:space="preserve">NBP table A mid, 18 Sep 2026</t>
  </si>
  <si>
    <t xml:space="preserve">Hours per year</t>
  </si>
  <si>
    <t xml:space="preserve">h</t>
  </si>
  <si>
    <t xml:space="preserve">2. Macro and cost of capital</t>
  </si>
  <si>
    <t xml:space="preserve">Real post-tax WACC — SMR with CfD</t>
  </si>
  <si>
    <t xml:space="preserve">%</t>
  </si>
  <si>
    <t xml:space="preserve">PEJ EC decision (OJ C 2025/1389) Table 1: nominal 6–8 % with aid; deflated at 2.5 % CPI</t>
  </si>
  <si>
    <t xml:space="preserve">Real post-tax WACC — SMR merchant</t>
  </si>
  <si>
    <t xml:space="preserve">PEJ Table 1 without aid: 8.5–10.5 % nominal</t>
  </si>
  <si>
    <t xml:space="preserve">Real post-tax WACC — gas</t>
  </si>
  <si>
    <t xml:space="preserve">Ministry of Climate LCOE note 7 % real (70 % debt @6 %, 30 % equity @9.5 %)</t>
  </si>
  <si>
    <t xml:space="preserve">CPI long run (memo, for nominal conversions)</t>
  </si>
  <si>
    <t xml:space="preserve">NBP target 2.5 %</t>
  </si>
  <si>
    <t xml:space="preserve">3. Market — Polish day-ahead market (TGE RDN / SDAC), gas, CO2, capacity</t>
  </si>
  <si>
    <t xml:space="preserve">Reference year mean day-ahead price (Sep 2025–Aug 2026, hourly PSE/TGE data)</t>
  </si>
  <si>
    <t xml:space="preserve">PLN/MWh</t>
  </si>
  <si>
    <t xml:space="preserve">PSE csdac-pln API, 8,760 hourly values; TGE 2025 vol.-weighted 446.30</t>
  </si>
  <si>
    <t xml:space="preserve">Fixed price for SMR-fixed scenario (= reference mean unless overridden)</t>
  </si>
  <si>
    <t xml:space="preserve">Scenario S1b: 'average spot over the last year'</t>
  </si>
  <si>
    <t xml:space="preserve">Capacity-market price (successor mechanism, if any)</t>
  </si>
  <si>
    <t xml:space="preserve">PLN/kW-yr</t>
  </si>
  <si>
    <t xml:space="preserve">2030 main auction cleared 465.02 PLN/kW-yr (URE, 11 Dec 2025); no auction exists for delivery ≥2031 → 0 in base</t>
  </si>
  <si>
    <t xml:space="preserve">Capacity contract length</t>
  </si>
  <si>
    <t xml:space="preserve">years</t>
  </si>
  <si>
    <t xml:space="preserve">17 y new low-emission; 15 y new gas</t>
  </si>
  <si>
    <t xml:space="preserve">De-rating factor nuclear (KWD)</t>
  </si>
  <si>
    <t xml:space="preserve">Dz.U. 2025 poz. 1066 (2030 auction parameters)</t>
  </si>
  <si>
    <t xml:space="preserve">De-rating factor CCGT</t>
  </si>
  <si>
    <t xml:space="preserve">same</t>
  </si>
  <si>
    <t xml:space="preserve">De-rating factor OCGT / engines</t>
  </si>
  <si>
    <t xml:space="preserve">Balancing-capacity revenue CCGT</t>
  </si>
  <si>
    <t xml:space="preserve">aFRR/mFRR 2025 ~180 PLN/MW/h falling to 50–90 by 2027; low contracted share</t>
  </si>
  <si>
    <t xml:space="preserve">Balancing-capacity revenue OCGT / engines</t>
  </si>
  <si>
    <t xml:space="preserve">mFRR/RR from standstill</t>
  </si>
  <si>
    <t xml:space="preserve">CO2 emission factor natural gas</t>
  </si>
  <si>
    <t xml:space="preserve">t/MWh_th</t>
  </si>
  <si>
    <t xml:space="preserve">KOBiZE 2025 ETS factor 55.73 kg/GJ</t>
  </si>
  <si>
    <t xml:space="preserve">URE licence fee (share of revenue)</t>
  </si>
  <si>
    <t xml:space="preserve">Proposal from 2027: 0.5 % uncapped (current 0.05 %, cap 2.5 m PLN)</t>
  </si>
  <si>
    <t xml:space="preserve">Annual mean day-ahead price path (real 2026)</t>
  </si>
  <si>
    <t xml:space="preserve">2027–29 TGE BASE_Y forwards (Aug-2026 VWAP 495.5/444.5/420.1); 2030+ judgement bridging TGE 2029 and PEJ counterfactual; hourly shape from the twin</t>
  </si>
  <si>
    <t xml:space="preserve">   LOW</t>
  </si>
  <si>
    <t xml:space="preserve">   CENTRAL</t>
  </si>
  <si>
    <t xml:space="preserve">   HIGH</t>
  </si>
  <si>
    <t xml:space="preserve">   Selected</t>
  </si>
  <si>
    <t xml:space="preserve">Gas price at PL virtual point (real 2026)</t>
  </si>
  <si>
    <t xml:space="preserve">PLN/MWh_th</t>
  </si>
  <si>
    <t xml:space="preserve">TGE GAS_BASE_Y-27 Aug-2026 214.20; TTF forward proxy 38/33/31 EUR + 4 EUR PL premium</t>
  </si>
  <si>
    <t xml:space="preserve">EUA price (real 2026)</t>
  </si>
  <si>
    <t xml:space="preserve">EUR/t</t>
  </si>
  <si>
    <t xml:space="preserve">Spot 86.9 EUR/t (18 Sep 2026); Reuters poll 2027 93; consensus 2030 126 (80–147)</t>
  </si>
  <si>
    <t xml:space="preserve">4. SMR — GE Vernova Hitachi BWRX-300 (one 300 MWe unit at a 4-unit site)</t>
  </si>
  <si>
    <t xml:space="preserve">Net capacity</t>
  </si>
  <si>
    <t xml:space="preserve">MW</t>
  </si>
  <si>
    <t xml:space="preserve">GE 'up to 300 MWe'; IAEA ARIS 270–290 net; closed-loop cooling penalty in low</t>
  </si>
  <si>
    <t xml:space="preserve">Overnight cost, all-in (EPC + owner's + contingency + site share), excl. IDC</t>
  </si>
  <si>
    <t xml:space="preserve">PLN/kW</t>
  </si>
  <si>
    <t xml:space="preserve">Darlington unit-1 core excl. common/IDC ≈36,200 PLN/kW (OEB EB-2025-0297); MIT ANP-201 FOAK 14,000 $/kW; INL 2024 SMR 5,500–10,000 $/kW; OSGE ~2 bn EUR/unit; central = mid-fleet unit with 9.5 % learning</t>
  </si>
  <si>
    <t xml:space="preserve">Construction duration (first structural concrete → COD)</t>
  </si>
  <si>
    <t xml:space="preserve">Darlington ~53–66 months; NREL ATB 2025 43/55/71 months</t>
  </si>
  <si>
    <t xml:space="preserve">Commercial operation date</t>
  </si>
  <si>
    <t xml:space="preserve">Stalowa Wola = OSGE site 3/4; fleet first unit Włocławek 2032; transboundary EIA started Jun 2026</t>
  </si>
  <si>
    <t xml:space="preserve">Operating life</t>
  </si>
  <si>
    <t xml:space="preserve">GE design life 60 y</t>
  </si>
  <si>
    <t xml:space="preserve">Pre-development (licensing, EIA, FEED, PAA fees)</t>
  </si>
  <si>
    <t xml:space="preserve">m PLN</t>
  </si>
  <si>
    <t xml:space="preserve">OPG 105 m CAD preliminary + 521 m CAD definition phase; PAA fees 6.9 m PLN</t>
  </si>
  <si>
    <t xml:space="preserve">First core (capitalised)</t>
  </si>
  <si>
    <t xml:space="preserve">44 tU × ~3,300 USD/kgU (U3O8 96.5 $/lb LT, SWU 183 $, conv 55.5 $, fab 350 $)</t>
  </si>
  <si>
    <t xml:space="preserve">Grid connection (unit share)</t>
  </si>
  <si>
    <t xml:space="preserve">Proxy 150–400 m PLN for 4-unit site; PSE conditions exist for Stawy Monowskie only</t>
  </si>
  <si>
    <t xml:space="preserve">Fixed O&amp;M (staff, insurance, materials, contractors, regulatory)</t>
  </si>
  <si>
    <t xml:space="preserve">INL 2024 Adv/Mod/Cons 118/136/216 $/kW-yr; EIA AEO2025 124; Lazard 136–158</t>
  </si>
  <si>
    <t xml:space="preserve">Single-unit-phase FOM multiplier (first years before units 2–4)</t>
  </si>
  <si>
    <t xml:space="preserve">×</t>
  </si>
  <si>
    <t xml:space="preserve">INL multi-unit O&amp;M multiplier 0.5–0.7; MIT 38.7 vs 28.2 $/MWh</t>
  </si>
  <si>
    <t xml:space="preserve">Years operated as single unit</t>
  </si>
  <si>
    <t xml:space="preserve">assumption</t>
  </si>
  <si>
    <t xml:space="preserve">Staff</t>
  </si>
  <si>
    <t xml:space="preserve">FTE</t>
  </si>
  <si>
    <t xml:space="preserve">GEH claim ~75; NRC-style ~0.3 FTE/MW; PEJ 860 for 3.75 GW</t>
  </si>
  <si>
    <t xml:space="preserve">Loaded cost per FTE</t>
  </si>
  <si>
    <t xml:space="preserve">k PLN/yr</t>
  </si>
  <si>
    <t xml:space="preserve">GUS energy sector 14.3k PLN/month; nuclear specialists 20–25k ×1.2 employer overhead</t>
  </si>
  <si>
    <t xml:space="preserve">Nuclear fuel (front end)</t>
  </si>
  <si>
    <t xml:space="preserve">Own build-up: 3.4 %/49.5 GWd/t; U3O8 70/96.5/130 $/lb; SWU 150/183/220; INL 10–12 $/MWh incl. disposal</t>
  </si>
  <si>
    <t xml:space="preserve">Variable O&amp;M (non-fuel)</t>
  </si>
  <si>
    <t xml:space="preserve">INL 2.2–2.8 $/MWh; EIA 3.23; Lazard 4.4–5.15</t>
  </si>
  <si>
    <t xml:space="preserve">Decommissioning &amp; spent-fuel fund (statutory)</t>
  </si>
  <si>
    <t xml:space="preserve">Dz.U. 2012 poz. 1213: 17.16 PLN/MWh, unindexed since 2012; central = CPI-indexed equivalent</t>
  </si>
  <si>
    <t xml:space="preserve">Sustaining capex (treated as annual fixed at 90 % CF)</t>
  </si>
  <si>
    <t xml:space="preserve">NEI US fleet 8.8–13.6 $/MWh; MIT 6.25</t>
  </si>
  <si>
    <t xml:space="preserve">Share of capex taxable as 'budowle' (2 % property tax)</t>
  </si>
  <si>
    <t xml:space="preserve">Post-2025 definitions (Dz.U. 2024 poz. 1757): only construction parts; untested for nuclear</t>
  </si>
  <si>
    <t xml:space="preserve">Host-gmina share of property tax</t>
  </si>
  <si>
    <t xml:space="preserve">Art. 50 nuclear investment act: 50 % passed to bordering gminas</t>
  </si>
  <si>
    <t xml:space="preserve">Load-following capability loss (dynamic / CfD dispatch)</t>
  </si>
  <si>
    <t xml:space="preserve">NEA 2011: French fleet 1.2–2 % UCF</t>
  </si>
  <si>
    <t xml:space="preserve">Load-following FOM uplift</t>
  </si>
  <si>
    <t xml:space="preserve">NEA 2011 'slight increase'; IAEA NP-T-3.23</t>
  </si>
  <si>
    <t xml:space="preserve">CfD strike price</t>
  </si>
  <si>
    <t xml:space="preserve">EUR/MWh</t>
  </si>
  <si>
    <t xml:space="preserve">Brief 115–135; OSGE public statements 125–145 (Oct 2025); fleet avg ~120; ME calls ~125 'relatively high'</t>
  </si>
  <si>
    <t xml:space="preserve">CfD tenor</t>
  </si>
  <si>
    <t xml:space="preserve">PEJ precedent: 60 requested → 40 approved</t>
  </si>
  <si>
    <t xml:space="preserve">Peak construction workforce (unit)</t>
  </si>
  <si>
    <t xml:space="preserve">Darlington ~2,500 for 4 units</t>
  </si>
  <si>
    <t xml:space="preserve">Tax depreciation split — buildings 2.5 %</t>
  </si>
  <si>
    <t xml:space="preserve">KŚT group 1</t>
  </si>
  <si>
    <t xml:space="preserve">Tax depreciation split — structures 4.5 %</t>
  </si>
  <si>
    <t xml:space="preserve">KŚT group 2</t>
  </si>
  <si>
    <t xml:space="preserve">Tax depreciation split — reactor 14 %</t>
  </si>
  <si>
    <t xml:space="preserve">KŚT 349 nuclear reactors</t>
  </si>
  <si>
    <t xml:space="preserve">Tax depreciation split — turbine/BOP 7 %</t>
  </si>
  <si>
    <t xml:space="preserve">KŚT group 3</t>
  </si>
  <si>
    <t xml:space="preserve">Tax depreciation split — devices 10 %</t>
  </si>
  <si>
    <t xml:space="preserve">KŚT group 4/6</t>
  </si>
  <si>
    <t xml:space="preserve">5. Gas — common</t>
  </si>
  <si>
    <t xml:space="preserve">Gas plant COD</t>
  </si>
  <si>
    <t xml:space="preserve">Turbine lead times 3–5 y; order 2027 → COD 2031</t>
  </si>
  <si>
    <t xml:space="preserve">Property tax rate on budowle</t>
  </si>
  <si>
    <t xml:space="preserve">2 % of initial value</t>
  </si>
  <si>
    <t xml:space="preserve">Grid connection proxy</t>
  </si>
  <si>
    <t xml:space="preserve">400 kV bay/line share 50–150 m PLN per 300 MW</t>
  </si>
  <si>
    <t xml:space="preserve">End-of-life demolition provision (share of overnight)</t>
  </si>
  <si>
    <t xml:space="preserve">Peak construction workforce per 300 MW</t>
  </si>
  <si>
    <t xml:space="preserve">6. Gas — CCGT 1+1 F-class, ~300 MW</t>
  </si>
  <si>
    <t xml:space="preserve">Net capacity (portfolio)</t>
  </si>
  <si>
    <t xml:space="preserve">All-in capex (EPC + owner's costs)</t>
  </si>
  <si>
    <t xml:space="preserve">Polish 2025 EPC 4,800–5,500 PLN/kW for 560–1,340 MW (Kozienice, Gdańsk, Grudziądz II) +15–20 % scale penalty; Lazard-high/GridLab $2,000–2,600/kW</t>
  </si>
  <si>
    <t xml:space="preserve">Construction duration</t>
  </si>
  <si>
    <t xml:space="preserve">DESNZ 2.2/3.0/3.2; Polish reality 4–5 y</t>
  </si>
  <si>
    <t xml:space="preserve">DESNZ 20/25/30; Lazard 30</t>
  </si>
  <si>
    <t xml:space="preserve">Net efficiency at full load (LHV)</t>
  </si>
  <si>
    <t xml:space="preserve">300 MW-class scale penalty vs 63–64 % H-class; Grudziądz &gt;61 %; EC Stalowa Wola 57.4–60 %</t>
  </si>
  <si>
    <t xml:space="preserve">Fixed O&amp;M incl. LTSA fixed fee</t>
  </si>
  <si>
    <t xml:space="preserve">EIA/Lazard/DESNZ; Dolna Odra LTSA ≈61 PLN/kW-yr</t>
  </si>
  <si>
    <t xml:space="preserve">Variable O&amp;M incl. hours-based LTSA</t>
  </si>
  <si>
    <t xml:space="preserve">Lazard 2.75–5 $/MWh; DESNZ £4.44</t>
  </si>
  <si>
    <t xml:space="preserve">Gas transmission exit-capacity booking (Gaz-System)</t>
  </si>
  <si>
    <t xml:space="preserve">Tariff 19 exit ≈0.381 gr/(kWh/h)/h annual firm; peakers book monthly/daily products</t>
  </si>
  <si>
    <t xml:space="preserve">EC Stalowa Wola ~60 FTE for 450 MW CHP</t>
  </si>
  <si>
    <t xml:space="preserve">GUS energy sector</t>
  </si>
  <si>
    <t xml:space="preserve">Share of capex taxable as budowle</t>
  </si>
  <si>
    <t xml:space="preserve">structures, foundations, stacks, pipelines</t>
  </si>
  <si>
    <t xml:space="preserve">Tax depreciation split — turbines/boilers 7 %</t>
  </si>
  <si>
    <t xml:space="preserve">KŚT group 3 (engines 14 % — conservatively 7 %)</t>
  </si>
  <si>
    <t xml:space="preserve">7. Gas — OCGT frame peakers, 2 × 150 MW</t>
  </si>
  <si>
    <t xml:space="preserve">DESNZ 2025 £361/kW; EIA $791/kW; PGE HL-class OCGT ~5,900 PLN/kW incl. 12-y LTSA</t>
  </si>
  <si>
    <t xml:space="preserve">DESNZ 38.9 %; EIA 41.3 %; GE 9HA SC 44 %</t>
  </si>
  <si>
    <t xml:space="preserve">8. Gas — Gas engines, 4 blocks × 76.5 MW (≈17 × 18 MW)</t>
  </si>
  <si>
    <t xml:space="preserve">DESNZ £529/kW; PGE Kraków/Gdynia CHP engines 7,600–8,900 PLN/kWe (upper bound)</t>
  </si>
  <si>
    <t xml:space="preserve">Wärtsilä 50DF 49.4 %, 31SG &gt;50 %; DESNZ 44.6 %</t>
  </si>
  <si>
    <t xml:space="preserve">9. Taxes and local-government revenue (2025 JST revenue system)</t>
  </si>
  <si>
    <t xml:space="preserve">CIT rate</t>
  </si>
  <si>
    <t xml:space="preserve">19 %</t>
  </si>
  <si>
    <t xml:space="preserve">Tax depreciation rate — buildings</t>
  </si>
  <si>
    <t xml:space="preserve">%/yr</t>
  </si>
  <si>
    <t xml:space="preserve">KŚT annex 1 CIT</t>
  </si>
  <si>
    <t xml:space="preserve">Tax depreciation rate — structures</t>
  </si>
  <si>
    <t xml:space="preserve">Tax depreciation rate — nuclear reactor (KŚT 349)</t>
  </si>
  <si>
    <t xml:space="preserve">Tax depreciation rate — turbines / boilers / power machinery</t>
  </si>
  <si>
    <t xml:space="preserve">Tax depreciation rate — technical devices</t>
  </si>
  <si>
    <t xml:space="preserve">Gmina share of taxpayers' CIT income</t>
  </si>
  <si>
    <t xml:space="preserve">Ustawa o dochodach JST (Dz.U. 2024 poz. 1572): shares of INCOME, not tax</t>
  </si>
  <si>
    <t xml:space="preserve">Powiat share of CIT income</t>
  </si>
  <si>
    <t xml:space="preserve">Województwo share of CIT income</t>
  </si>
  <si>
    <t xml:space="preserve">Gmina share of residents' PIT income</t>
  </si>
  <si>
    <t xml:space="preserve">gmina 7.0 % (city with powiat rights 8.6 %)</t>
  </si>
  <si>
    <t xml:space="preserve">Powiat share of PIT income</t>
  </si>
  <si>
    <t xml:space="preserve">Województwo share of PIT income</t>
  </si>
  <si>
    <t xml:space="preserve">Employee ZUS share</t>
  </si>
  <si>
    <t xml:space="preserve">9.76+1.5+2.45 %</t>
  </si>
  <si>
    <t xml:space="preserve">Employer ZUS share</t>
  </si>
  <si>
    <t xml:space="preserve">≈20.48 %</t>
  </si>
  <si>
    <t xml:space="preserve">PIT bracket threshold</t>
  </si>
  <si>
    <t xml:space="preserve">12 % / 32 %</t>
  </si>
  <si>
    <t xml:space="preserve">PIT lower rate</t>
  </si>
  <si>
    <t xml:space="preserve">PIT upper rate</t>
  </si>
  <si>
    <t xml:space="preserve">PIT tax-reducing amount</t>
  </si>
  <si>
    <t xml:space="preserve">30,000 PLN tax-free</t>
  </si>
  <si>
    <t xml:space="preserve">Share of plant staff resident in host gmina</t>
  </si>
  <si>
    <t xml:space="preserve">Construction worker gross salary</t>
  </si>
  <si>
    <t xml:space="preserve">PLN/month</t>
  </si>
  <si>
    <t xml:space="preserve">Construction workers resident in gmina</t>
  </si>
  <si>
    <t xml:space="preserve">Twin — outputs of the hourly digital-twin dispatch (Python: smrtwin), per operating year k</t>
  </si>
  <si>
    <t xml:space="preserve">cf = capacity factor; capture = generation-weighted price ÷ annual mean price; cfd_ref = generation-weighted CfD reference (daily TGeBase) ÷ annual mean; heat = MWh_th per MWh_e incl. no-load &amp; start fuel; start = start costs (wear) PLN/MWh_e; fuel_ratio = SMR fuel cost ÷ (energy × fuel price). Re-generate with `python build_excel.py` after `python run_all.py`.</t>
  </si>
  <si>
    <t xml:space="preserve">operating year k →</t>
  </si>
  <si>
    <t xml:space="preserve">cf · low</t>
  </si>
  <si>
    <t xml:space="preserve">cf · central</t>
  </si>
  <si>
    <t xml:space="preserve">cf · high</t>
  </si>
  <si>
    <t xml:space="preserve">cf · selected</t>
  </si>
  <si>
    <t xml:space="preserve">capture · low</t>
  </si>
  <si>
    <t xml:space="preserve">capture · central</t>
  </si>
  <si>
    <t xml:space="preserve">capture · high</t>
  </si>
  <si>
    <t xml:space="preserve">capture · selected</t>
  </si>
  <si>
    <t xml:space="preserve">cfd_ref · low</t>
  </si>
  <si>
    <t xml:space="preserve">cfd_ref · central</t>
  </si>
  <si>
    <t xml:space="preserve">cfd_ref · high</t>
  </si>
  <si>
    <t xml:space="preserve">cfd_ref · selected</t>
  </si>
  <si>
    <t xml:space="preserve">fuel_ratio · low</t>
  </si>
  <si>
    <t xml:space="preserve">fuel_ratio · central</t>
  </si>
  <si>
    <t xml:space="preserve">fuel_ratio · high</t>
  </si>
  <si>
    <t xml:space="preserve">fuel_ratio · selected</t>
  </si>
  <si>
    <t xml:space="preserve">heat · low</t>
  </si>
  <si>
    <t xml:space="preserve">heat · central</t>
  </si>
  <si>
    <t xml:space="preserve">heat · high</t>
  </si>
  <si>
    <t xml:space="preserve">heat · selected</t>
  </si>
  <si>
    <t xml:space="preserve">start · low</t>
  </si>
  <si>
    <t xml:space="preserve">start · central</t>
  </si>
  <si>
    <t xml:space="preserve">start · high</t>
  </si>
  <si>
    <t xml:space="preserve">start · selected</t>
  </si>
  <si>
    <t xml:space="preserve">Annual model, real PLN m (2026). Column D = totals / KPIs. Timeline columns G→. Dispatch quantities come from the Twin sheet (hourly digital twin).</t>
  </si>
  <si>
    <t xml:space="preserve">1. Parameters (links to Input, selected case)</t>
  </si>
  <si>
    <t xml:space="preserve">Net capacity, MW</t>
  </si>
  <si>
    <t xml:space="preserve">Overnight capex, PLN/kW</t>
  </si>
  <si>
    <t xml:space="preserve">Construction years</t>
  </si>
  <si>
    <t xml:space="preserve">COD year</t>
  </si>
  <si>
    <t xml:space="preserve">Life years</t>
  </si>
  <si>
    <t xml:space="preserve">FID year (COD − construction)</t>
  </si>
  <si>
    <t xml:space="preserve">Real post-tax WACC</t>
  </si>
  <si>
    <t xml:space="preserve">Fixed O&amp;M, PLN/kW-yr</t>
  </si>
  <si>
    <t xml:space="preserve">Variable O&amp;M, PLN/MWh</t>
  </si>
  <si>
    <t xml:space="preserve">Licence fee share of revenue</t>
  </si>
  <si>
    <t xml:space="preserve">Staff FTE</t>
  </si>
  <si>
    <t xml:space="preserve">Loaded cost per FTE, k PLN</t>
  </si>
  <si>
    <t xml:space="preserve">Budowle share of capex</t>
  </si>
  <si>
    <t xml:space="preserve">Property tax rate</t>
  </si>
  <si>
    <t xml:space="preserve">Overnight cost, m PLN</t>
  </si>
  <si>
    <t xml:space="preserve">Nuclear fuel, PLN/MWh</t>
  </si>
  <si>
    <t xml:space="preserve">Decommissioning fund, PLN/MWh</t>
  </si>
  <si>
    <t xml:space="preserve">Sustaining capex, PLN/MWh @90 % CF</t>
  </si>
  <si>
    <t xml:space="preserve">Pre-development, m PLN</t>
  </si>
  <si>
    <t xml:space="preserve">First core, m PLN</t>
  </si>
  <si>
    <t xml:space="preserve">Grid connection, m PLN</t>
  </si>
  <si>
    <t xml:space="preserve">Single-unit FOM multiplier</t>
  </si>
  <si>
    <t xml:space="preserve">Single-unit years</t>
  </si>
  <si>
    <t xml:space="preserve">Load-following capability loss</t>
  </si>
  <si>
    <t xml:space="preserve">Capacity-market de-rating</t>
  </si>
  <si>
    <t xml:space="preserve">Peak construction workforce</t>
  </si>
  <si>
    <t xml:space="preserve">CfD strike, EUR/MWh</t>
  </si>
  <si>
    <t xml:space="preserve">CfD strike, PLN/MWh</t>
  </si>
  <si>
    <t xml:space="preserve">CfD tenor, years</t>
  </si>
  <si>
    <t xml:space="preserve">Capacity-market price, PLN/kW-yr</t>
  </si>
  <si>
    <t xml:space="preserve">Capacity contract years</t>
  </si>
  <si>
    <t xml:space="preserve">2. Timing</t>
  </si>
  <si>
    <t xml:space="preserve">Construction flag</t>
  </si>
  <si>
    <t xml:space="preserve">0/1</t>
  </si>
  <si>
    <t xml:space="preserve">Operating flag</t>
  </si>
  <si>
    <t xml:space="preserve">Operating year k</t>
  </si>
  <si>
    <t xml:space="preserve">Discount period (years from FID)</t>
  </si>
  <si>
    <t xml:space="preserve">Discount factor</t>
  </si>
  <si>
    <t xml:space="preserve">Capex spend share (S-curve, normalised)</t>
  </si>
  <si>
    <t xml:space="preserve">Capex spend share normalised</t>
  </si>
  <si>
    <t xml:space="preserve">3. Investment (m PLN)</t>
  </si>
  <si>
    <t xml:space="preserve">Overnight capex spend</t>
  </si>
  <si>
    <t xml:space="preserve">Other capex (pre-development at FID, first core at COD−1, grid spread)</t>
  </si>
  <si>
    <t xml:space="preserve">Total capex</t>
  </si>
  <si>
    <t xml:space="preserve">4. Market inputs (selected case, from Input)</t>
  </si>
  <si>
    <t xml:space="preserve">Annual mean day-ahead price</t>
  </si>
  <si>
    <t xml:space="preserve">5. Dispatch (from hourly twin) and revenue</t>
  </si>
  <si>
    <t xml:space="preserve">Capacity factor (twin)</t>
  </si>
  <si>
    <t xml:space="preserve">Net generation (twin CF already net of load-following capability loss)</t>
  </si>
  <si>
    <t xml:space="preserve">MWh</t>
  </si>
  <si>
    <t xml:space="preserve">Capture price = mean × capture ratio (twin)</t>
  </si>
  <si>
    <t xml:space="preserve">Market revenue</t>
  </si>
  <si>
    <t xml:space="preserve">CfD reference price (daily TGeBase, generation-weighted; twin)</t>
  </si>
  <si>
    <t xml:space="preserve">CfD difference payment (+ top-up / − pay-back)</t>
  </si>
  <si>
    <t xml:space="preserve">Capacity-market revenue</t>
  </si>
  <si>
    <t xml:space="preserve">Balancing-services revenue</t>
  </si>
  <si>
    <t xml:space="preserve">Total revenue</t>
  </si>
  <si>
    <t xml:space="preserve">6. Operating costs (m PLN)</t>
  </si>
  <si>
    <t xml:space="preserve">Nuclear fuel (incl. part-load efficiency effect, twin ratio)</t>
  </si>
  <si>
    <t xml:space="preserve">CO2 cost</t>
  </si>
  <si>
    <t xml:space="preserve">Variable O&amp;M</t>
  </si>
  <si>
    <t xml:space="preserve">Start-up / cycling cost</t>
  </si>
  <si>
    <t xml:space="preserve">Decommissioning &amp; waste fund</t>
  </si>
  <si>
    <t xml:space="preserve">Fixed O&amp;M (× single-unit multiplier, × load-following uplift)</t>
  </si>
  <si>
    <t xml:space="preserve">  memo: staff cost inside fixed O&amp;M</t>
  </si>
  <si>
    <t xml:space="preserve">Sustaining capex</t>
  </si>
  <si>
    <t xml:space="preserve">Gas capacity booking</t>
  </si>
  <si>
    <t xml:space="preserve">Property tax (2 % of budowle value)</t>
  </si>
  <si>
    <t xml:space="preserve">URE licence fee</t>
  </si>
  <si>
    <t xml:space="preserve">Total opex</t>
  </si>
  <si>
    <t xml:space="preserve">EBITDA</t>
  </si>
  <si>
    <t xml:space="preserve">End-of-life provision (nuclear: covered by fund)</t>
  </si>
  <si>
    <t xml:space="preserve">7. Tax (Polish CIT, straight-line KŚT depreciation, loss carry-forward)</t>
  </si>
  <si>
    <t xml:space="preserve">Depreciation — KŚT group (b)</t>
  </si>
  <si>
    <t xml:space="preserve">Depreciation — KŚT group (s)</t>
  </si>
  <si>
    <t xml:space="preserve">Depreciation — KŚT group (r)</t>
  </si>
  <si>
    <t xml:space="preserve">Depreciation — KŚT group (t)</t>
  </si>
  <si>
    <t xml:space="preserve">Depreciation — KŚT group (d)</t>
  </si>
  <si>
    <t xml:space="preserve">Total tax depreciation</t>
  </si>
  <si>
    <t xml:space="preserve">Taxable EBIT (EBITDA − depreciation − provisions)</t>
  </si>
  <si>
    <t xml:space="preserve">Loss utilisation (50 % cap per year, simplified pool)</t>
  </si>
  <si>
    <t xml:space="preserve">Loss pool carried forward (EoY)</t>
  </si>
  <si>
    <t xml:space="preserve">Taxable income</t>
  </si>
  <si>
    <t xml:space="preserve">CIT</t>
  </si>
  <si>
    <t xml:space="preserve">8. Cash flow and valuation (m PLN)</t>
  </si>
  <si>
    <t xml:space="preserve">Pre-tax free cash flow</t>
  </si>
  <si>
    <t xml:space="preserve">Post-tax free cash flow (unlevered)</t>
  </si>
  <si>
    <t xml:space="preserve">Cumulative post-tax FCF</t>
  </si>
  <si>
    <t xml:space="preserve">Discounted post-tax FCF</t>
  </si>
  <si>
    <t xml:space="preserve">NPV post-tax @ WACC (m PLN)</t>
  </si>
  <si>
    <t xml:space="preserve">NPV pre-tax @ WACC (m PLN)</t>
  </si>
  <si>
    <t xml:space="preserve">IRR post-tax (real)</t>
  </si>
  <si>
    <t xml:space="preserve">PV of generation (MWh)</t>
  </si>
  <si>
    <t xml:space="preserve">PV of all costs (capex + opex + provisions)</t>
  </si>
  <si>
    <t xml:space="preserve">PV capex</t>
  </si>
  <si>
    <t xml:space="preserve">PV fixed O&amp;M</t>
  </si>
  <si>
    <t xml:space="preserve">PV fuel</t>
  </si>
  <si>
    <t xml:space="preserve">PV CO2</t>
  </si>
  <si>
    <t xml:space="preserve">PV variable O&amp;M + starts</t>
  </si>
  <si>
    <t xml:space="preserve">PV decommissioning fund / provision</t>
  </si>
  <si>
    <t xml:space="preserve">PV sustaining capex</t>
  </si>
  <si>
    <t xml:space="preserve">PV property tax + licence + gas booking</t>
  </si>
  <si>
    <t xml:space="preserve">PV of revenue</t>
  </si>
  <si>
    <t xml:space="preserve">Average capacity factor</t>
  </si>
  <si>
    <t xml:space="preserve">PV of CfD payments / capacity support (m PLN)</t>
  </si>
  <si>
    <t xml:space="preserve">Break-even strike EUR/MWh (post-tax ≈; NPV=0)</t>
  </si>
  <si>
    <t xml:space="preserve">9. Fiscal flows — local government and State (m PLN)</t>
  </si>
  <si>
    <t xml:space="preserve">Property tax → host gmina (Stalowa Wola)</t>
  </si>
  <si>
    <t xml:space="preserve">Property tax → bordering gminas (art. 50)</t>
  </si>
  <si>
    <t xml:space="preserve">CIT-income share → gmina</t>
  </si>
  <si>
    <t xml:space="preserve">CIT-income share → powiat</t>
  </si>
  <si>
    <t xml:space="preserve">CIT-income share → województwo</t>
  </si>
  <si>
    <t xml:space="preserve">Gross salary per FTE (PLN/yr)</t>
  </si>
  <si>
    <t xml:space="preserve">PIT income base per FTE (PLN/yr)</t>
  </si>
  <si>
    <t xml:space="preserve">PIT per FTE (PLN/yr)</t>
  </si>
  <si>
    <t xml:space="preserve">Construction worker PIT income base (PLN/yr)</t>
  </si>
  <si>
    <t xml:space="preserve">PIT-income share → gmina (staff + construction workers)</t>
  </si>
  <si>
    <t xml:space="preserve">PIT-income share → powiat</t>
  </si>
  <si>
    <t xml:space="preserve">PIT-income share → województwo</t>
  </si>
  <si>
    <t xml:space="preserve">Total local-government revenue</t>
  </si>
  <si>
    <t xml:space="preserve">PIT paid by staff (State + JST, memo)</t>
  </si>
  <si>
    <t xml:space="preserve">Local revenue per operating year, average (m PLN)</t>
  </si>
  <si>
    <t xml:space="preserve">CIT paid over life (m PLN)</t>
  </si>
  <si>
    <t xml:space="preserve">EUA cost over life (m PLN)</t>
  </si>
  <si>
    <t xml:space="preserve">Fund contributions over life (m PLN)</t>
  </si>
  <si>
    <t xml:space="preserve">CfD payments over life (m PLN)</t>
  </si>
  <si>
    <t xml:space="preserve">Property tax host gmina over life (m PLN)</t>
  </si>
  <si>
    <t xml:space="preserve">Property tax neighbours over life (m PLN)</t>
  </si>
  <si>
    <t xml:space="preserve">CIT-income shares over life (m PLN)</t>
  </si>
  <si>
    <t xml:space="preserve">PIT-income shares over life (m PLN)</t>
  </si>
  <si>
    <t xml:space="preserve">Fixed price, PLN/MWh</t>
  </si>
  <si>
    <t xml:space="preserve">Net generation</t>
  </si>
  <si>
    <t xml:space="preserve">Realised price</t>
  </si>
  <si>
    <t xml:space="preserve">CfD difference payment</t>
  </si>
  <si>
    <t xml:space="preserve">Required premium PLN/MWh on all output (post-tax ≈; NPV=0)</t>
  </si>
  <si>
    <t xml:space="preserve">Net efficiency full load</t>
  </si>
  <si>
    <t xml:space="preserve">CO2 factor, t/MWh_th</t>
  </si>
  <si>
    <t xml:space="preserve">Gas exit-capacity booking, PLN/kW-yr</t>
  </si>
  <si>
    <t xml:space="preserve">Grid connection, PLN/kW</t>
  </si>
  <si>
    <t xml:space="preserve">Demolition provision share</t>
  </si>
  <si>
    <t xml:space="preserve">Balancing revenue, PLN/kW-yr</t>
  </si>
  <si>
    <t xml:space="preserve">Other capex (grid connection, spread)</t>
  </si>
  <si>
    <t xml:space="preserve">Gas price (PL virtual point)</t>
  </si>
  <si>
    <t xml:space="preserve">EUA price</t>
  </si>
  <si>
    <t xml:space="preserve">PLN/t</t>
  </si>
  <si>
    <t xml:space="preserve">Heat input (twin heat rate incl. no-load &amp; start fuel)</t>
  </si>
  <si>
    <t xml:space="preserve">MWh_th</t>
  </si>
  <si>
    <t xml:space="preserve">Gas cost</t>
  </si>
  <si>
    <t xml:space="preserve">CO2 emissions</t>
  </si>
  <si>
    <t xml:space="preserve">t</t>
  </si>
  <si>
    <t xml:space="preserve">CO2 cost (EUA)</t>
  </si>
  <si>
    <t xml:space="preserve">Start-up costs (wear; twin)</t>
  </si>
  <si>
    <t xml:space="preserve">Decommissioning fund</t>
  </si>
  <si>
    <t xml:space="preserve">Fixed O&amp;M incl. LTSA</t>
  </si>
  <si>
    <t xml:space="preserve">Gas exit-capacity booking (Gaz-System)</t>
  </si>
  <si>
    <t xml:space="preserve">End-of-life demolition provision</t>
  </si>
  <si>
    <t xml:space="preserve">1. Levelised cost breakdown, PLN/MWh (selected case; discounted at each asset's WACC)</t>
  </si>
  <si>
    <t xml:space="preserve">Component</t>
  </si>
  <si>
    <t xml:space="preserve">Capital (overnight + other capex)</t>
  </si>
  <si>
    <t xml:space="preserve">Fixed O&amp;M</t>
  </si>
  <si>
    <t xml:space="preserve">Fuel</t>
  </si>
  <si>
    <t xml:space="preserve">CO2 (EUA)</t>
  </si>
  <si>
    <t xml:space="preserve">Variable O&amp;M + starts</t>
  </si>
  <si>
    <t xml:space="preserve">Decommissioning fund / provision</t>
  </si>
  <si>
    <t xml:space="preserve">Property tax, licence fee, gas capacity booking</t>
  </si>
  <si>
    <t xml:space="preserve">LCOE total</t>
  </si>
  <si>
    <t xml:space="preserve">Levelised revenue</t>
  </si>
  <si>
    <t xml:space="preserve">2. Fiscal flows over life, m PLN undiscounted (selected case)</t>
  </si>
  <si>
    <t xml:space="preserve">CIT paid to State</t>
  </si>
  <si>
    <t xml:space="preserve">EUA purchases (≈ Polish state auction revenue)</t>
  </si>
  <si>
    <t xml:space="preserve">Decommissioning fund contributions</t>
  </si>
  <si>
    <t xml:space="preserve">CfD payments received (+) / paid back (−)</t>
  </si>
  <si>
    <t xml:space="preserve">Property tax — host gmina</t>
  </si>
  <si>
    <t xml:space="preserve">Property tax — neighbouring gminas</t>
  </si>
  <si>
    <t xml:space="preserve">CIT-income shares — gmina/powiat/województwo</t>
  </si>
  <si>
    <t xml:space="preserve">PIT-income shares — gmina/powiat/województwo</t>
  </si>
  <si>
    <t xml:space="preserve">Sources (full citations with URLs in docs/ASSUMPTIONS.md of the repository)</t>
  </si>
  <si>
    <t xml:space="preserve">1. OPG, OEB filing EB-2025-0297 Exh. D2-4-1 (May 2026) — Darlington BWRX-300 unit-1 cost decomposition (5.1 core / 1.4 contingency / 1.2 IDC bn CAD).</t>
  </si>
  <si>
    <t xml:space="preserve">2. World Nuclear News (2025) — Darlington 4-unit programme CAD 20.9 bn; unit 1 CAD 6.1 bn + 1.6 bn common.</t>
  </si>
  <si>
    <t xml:space="preserve">3. MIT CANES ANP-TR-201 (Shirvan, Jul 2024) — BWRX-300 FOAK overnight 14,000 $/kW; O&amp;M 28–39 $/MWh; LCOE.</t>
  </si>
  <si>
    <t xml:space="preserve">4. INL/RPT-24-77048 (2024) meta-analysis; INL/RPT-23-72972 (2023) — SMR overnight 5,500–10,000 $/kW (2022$), learning 5–15 %/doubling.</t>
  </si>
  <si>
    <t xml:space="preserve">5. NREL/NLR ATB 2025 nuclear; EIA AEO2025 electricity-market assumptions; Lazard LCOE+ v18 (Jun 2025) and v19 (Jul 2026).</t>
  </si>
  <si>
    <t xml:space="preserve">6. IAEA ARIS BWRX-300 status report (2020); GE Vernova BWRX-300 General Description (2023/24) — 870 MWt, 50–100 % load following, ramp 0.5/2 %/min.</t>
  </si>
  <si>
    <t xml:space="preserve">7. NEA (2011) Technical and Economic Aspects of Load Following; IAEA NP-T-3.23 (2018) Non-baseload operation; PNNL-30225 (2021).</t>
  </si>
  <si>
    <t xml:space="preserve">8. Rozporządzenie RM 10.10.2012 (Dz.U. 2012 poz. 1213) — decommissioning fund 17.16 PLN/MWh; Prawo atomowe art. 38d, ch. 12 (300 m SDR liability).</t>
  </si>
  <si>
    <t xml:space="preserve">9. EUR-Lex OJ C 2025/1389 — EC opening decision on PEJ state aid: CfD design (daily blended TGE reference, 40-y tenor), WACC table, strike 470–550 PLN/MWh.</t>
  </si>
  <si>
    <t xml:space="preserve">10. OSGE press release 29 Jun 2026 (CfD application, 14 units); Bankier/PAP 7 Oct 2025 (125–145 EUR/MWh, ~2 bn EUR/unit); Bankier 19 Jul 2026 (Ministry of Energy).</t>
  </si>
  <si>
    <t xml:space="preserve">11. TGE monthly reports RAPORT_2025_01…RAPORT_2026_08 (TGeBase, BASE_Y forwards); PSE open API csdac-pln (hourly SDAC prices, Jun 2024–Sep 2026); energy-charts.info (2019–2024); NBP FX.</t>
  </si>
  <si>
    <t xml:space="preserve">12. URE capacity-market auction results (delivery 2027–2030: 406.35 / 244.90 / 264.90 / 465.02 PLN/kW-yr); Dz.U. 2025 poz. 1066 (KWD factors).</t>
  </si>
  <si>
    <t xml:space="preserve">13. Polimex/Energa/Enea/ZE PAK/PGE investor releases 2020–2026 — Polish CCGT/OCGT EPC contract values; NIK 2018 (EC Stalowa Wola).</t>
  </si>
  <si>
    <t xml:space="preserve">14. EIA AEO2025; Lazard 2025; GridLab (Sep 2025); UK DESNZ Electricity Generation Costs 2025; Gas Turbine World 2024; Wood Mackenzie (Apr 2026) — gas capex benchmarks and turbine inflation.</t>
  </si>
  <si>
    <t xml:space="preserve">15. KOBiZE 2025 ETS emission factors (55.73 kg CO2/GJ); Gaz-System tariffs 18/19; TTF monthly (Protergia); Trading Economics EUA; Reuters/GMK EUA polls.</t>
  </si>
  <si>
    <t xml:space="preserve">16. Ustawa o dochodach JST (Dz.U. 2024 poz. 1572); ustawa o inwestycjach w obiekty energetyki jądrowej art. 50; Dz.U. 2024 poz. 1757 (property-tax definitions); KŚT depreciation table; podatki.gov.pl PIT 2026.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</si>
</sst>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0.0%;\(0.0%\);\-"/>
    <numFmt numFmtId="167" formatCode="0"/>
    <numFmt numFmtId="168" formatCode="0.0000"/>
    <numFmt numFmtId="169" formatCode="#,##0.0;\(#,##0.0\);\-"/>
    <numFmt numFmtId="170" formatCode="0.00%"/>
    <numFmt numFmtId="171" formatCode="0.00"/>
    <numFmt numFmtId="172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name val="Arial"/>
      <family val="0"/>
      <charset val="1"/>
    </font>
    <font>
      <sz val="9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52514E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E2EFDA"/>
      </patternFill>
    </fill>
    <fill>
      <patternFill patternType="solid">
        <fgColor rgb="FF1F3864"/>
        <bgColor rgb="FF333399"/>
      </patternFill>
    </fill>
    <fill>
      <patternFill patternType="solid">
        <fgColor rgb="FFE2EFDA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10" min="3" style="0" width="17"/>
  </cols>
  <sheetData>
    <row r="1" customFormat="false" ht="15" hidden="false" customHeight="fals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1"/>
      <c r="B3" s="4" t="s">
        <v>2</v>
      </c>
      <c r="C3" s="5" t="s">
        <v>3</v>
      </c>
      <c r="D3" s="6" t="s">
        <v>4</v>
      </c>
      <c r="E3" s="1"/>
      <c r="F3" s="1"/>
      <c r="G3" s="1"/>
      <c r="H3" s="1"/>
      <c r="I3" s="1"/>
      <c r="J3" s="1"/>
      <c r="K3" s="1"/>
    </row>
    <row r="4" customFormat="false" ht="15" hidden="false" customHeight="false" outlineLevel="0" collapsed="false">
      <c r="A4" s="1"/>
      <c r="B4" s="1" t="s">
        <v>5</v>
      </c>
      <c r="C4" s="1" t="n">
        <f aca="false">MATCH(C3,{"LOW","CENTRAL","HIGH"},0)</f>
        <v>2</v>
      </c>
      <c r="D4" s="1"/>
      <c r="E4" s="1"/>
      <c r="F4" s="1"/>
      <c r="G4" s="1"/>
      <c r="H4" s="1"/>
      <c r="I4" s="1"/>
      <c r="J4" s="1"/>
      <c r="K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customFormat="false" ht="15" hidden="false" customHeight="false" outlineLevel="0" collapsed="false">
      <c r="A6" s="1"/>
      <c r="B6" s="4" t="s">
        <v>6</v>
      </c>
      <c r="C6" s="1"/>
      <c r="D6" s="1"/>
      <c r="E6" s="1"/>
      <c r="F6" s="1"/>
      <c r="G6" s="1"/>
      <c r="H6" s="1"/>
      <c r="I6" s="1"/>
      <c r="J6" s="1"/>
      <c r="K6" s="1"/>
    </row>
    <row r="7" customFormat="false" ht="22.35" hidden="false" customHeight="false" outlineLevel="0" collapsed="false">
      <c r="A7" s="1"/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  <c r="J7" s="7" t="s">
        <v>15</v>
      </c>
      <c r="K7" s="1"/>
    </row>
    <row r="8" customFormat="false" ht="15" hidden="false" customHeight="false" outlineLevel="0" collapsed="false">
      <c r="A8" s="1"/>
      <c r="B8" s="8" t="s">
        <v>16</v>
      </c>
      <c r="C8" s="9" t="n">
        <f aca="false">Model_SMR_CfD!$D$105</f>
        <v>501.546562190623</v>
      </c>
      <c r="D8" s="10" t="n">
        <f aca="false">Model_SMR_CfD!$D$107</f>
        <v>0.0525930002854898</v>
      </c>
      <c r="E8" s="9" t="n">
        <f aca="false">Model_SMR_CfD!$D$119</f>
        <v>487.943126850904</v>
      </c>
      <c r="F8" s="9" t="n">
        <f aca="false">Model_SMR_CfD!$D$120</f>
        <v>533.577140771393</v>
      </c>
      <c r="G8" s="10" t="n">
        <f aca="false">Model_SMR_CfD!$D$121</f>
        <v>0.91178077195586</v>
      </c>
      <c r="H8" s="9" t="n">
        <f aca="false">Model_SMR_CfD!$D$140</f>
        <v>78.3999275119737</v>
      </c>
      <c r="I8" s="9" t="n">
        <f aca="false">Model_SMR_CfD!$D$122</f>
        <v>5501.48998845857</v>
      </c>
      <c r="J8" s="9" t="n">
        <f aca="false">Model_SMR_CfD!$D$123</f>
        <v>120.848343073217</v>
      </c>
      <c r="K8" s="1"/>
    </row>
    <row r="9" customFormat="false" ht="15" hidden="false" customHeight="false" outlineLevel="0" collapsed="false">
      <c r="A9" s="1"/>
      <c r="B9" s="8" t="s">
        <v>17</v>
      </c>
      <c r="C9" s="9" t="n">
        <f aca="false">Model_SMR_Fixed!$D$102</f>
        <v>-821.159343976801</v>
      </c>
      <c r="D9" s="10" t="n">
        <f aca="false">Model_SMR_Fixed!$D$104</f>
        <v>0.0459428365264868</v>
      </c>
      <c r="E9" s="9" t="n">
        <f aca="false">Model_SMR_Fixed!$D$116</f>
        <v>479.356691383034</v>
      </c>
      <c r="F9" s="9" t="n">
        <f aca="false">Model_SMR_Fixed!$D$117</f>
        <v>483.39</v>
      </c>
      <c r="G9" s="10" t="n">
        <f aca="false">Model_SMR_Fixed!$D$118</f>
        <v>0.937093607305936</v>
      </c>
      <c r="H9" s="9" t="n">
        <f aca="false">Model_SMR_Fixed!$D$137</f>
        <v>78.0946344108143</v>
      </c>
      <c r="I9" s="9" t="n">
        <f aca="false">Model_SMR_Fixed!$D$119</f>
        <v>0</v>
      </c>
      <c r="J9" s="9" t="n">
        <f aca="false">Model_SMR_Fixed!$D$120</f>
        <v>26.4745149910643</v>
      </c>
      <c r="K9" s="1"/>
    </row>
    <row r="10" customFormat="false" ht="15" hidden="false" customHeight="false" outlineLevel="0" collapsed="false">
      <c r="A10" s="1"/>
      <c r="B10" s="8" t="s">
        <v>18</v>
      </c>
      <c r="C10" s="9" t="n">
        <f aca="false">Model_SMR_Dynamic!$D$101</f>
        <v>-5904.50688382724</v>
      </c>
      <c r="D10" s="10" t="n">
        <f aca="false">Model_SMR_Dynamic!$D$103</f>
        <v>0.0280781462096055</v>
      </c>
      <c r="E10" s="9" t="n">
        <f aca="false">Model_SMR_Dynamic!$D$115</f>
        <v>629.407541530532</v>
      </c>
      <c r="F10" s="9" t="n">
        <f aca="false">Model_SMR_Dynamic!$D$116</f>
        <v>401.950099046017</v>
      </c>
      <c r="G10" s="10" t="n">
        <f aca="false">Model_SMR_Dynamic!$D$117</f>
        <v>0.889692505593607</v>
      </c>
      <c r="H10" s="9" t="n">
        <f aca="false">Model_SMR_Dynamic!$D$136</f>
        <v>63.914606328617</v>
      </c>
      <c r="I10" s="9" t="n">
        <f aca="false">Model_SMR_Dynamic!$D$118</f>
        <v>0</v>
      </c>
      <c r="J10" s="9" t="n">
        <f aca="false">Model_SMR_Dynamic!$D$119</f>
        <v>291.513658863131</v>
      </c>
      <c r="K10" s="1"/>
    </row>
    <row r="11" customFormat="false" ht="15" hidden="false" customHeight="false" outlineLevel="0" collapsed="false">
      <c r="A11" s="1"/>
      <c r="B11" s="8" t="s">
        <v>19</v>
      </c>
      <c r="C11" s="9" t="n">
        <f aca="false">Model_CCGT!$D$100</f>
        <v>-1718.67272154651</v>
      </c>
      <c r="D11" s="10" t="str">
        <f aca="false">Model_CCGT!$D$102</f>
        <v>n/a</v>
      </c>
      <c r="E11" s="9" t="n">
        <f aca="false">Model_CCGT!$D$114</f>
        <v>958.889972850119</v>
      </c>
      <c r="F11" s="9" t="n">
        <f aca="false">Model_CCGT!$D$115</f>
        <v>633.171918957724</v>
      </c>
      <c r="G11" s="10" t="n">
        <f aca="false">Model_CCGT!$D$116</f>
        <v>0.171919767884323</v>
      </c>
      <c r="H11" s="9" t="n">
        <f aca="false">Model_CCGT!$D$135</f>
        <v>6.06215826693227</v>
      </c>
      <c r="I11" s="9" t="n">
        <f aca="false">Model_CCGT!$D$117</f>
        <v>0</v>
      </c>
      <c r="J11" s="9" t="n">
        <f aca="false">Model_CCGT!$D$118</f>
        <v>402.121054188142</v>
      </c>
      <c r="K11" s="1"/>
    </row>
    <row r="12" customFormat="false" ht="15" hidden="false" customHeight="false" outlineLevel="0" collapsed="false">
      <c r="A12" s="1"/>
      <c r="B12" s="8" t="s">
        <v>20</v>
      </c>
      <c r="C12" s="9" t="n">
        <f aca="false">Model_OCGT!$D$100</f>
        <v>-998.176685013715</v>
      </c>
      <c r="D12" s="10" t="str">
        <f aca="false">Model_OCGT!$D$102</f>
        <v>n/a</v>
      </c>
      <c r="E12" s="9" t="n">
        <f aca="false">Model_OCGT!$D$114</f>
        <v>1857.9693263623</v>
      </c>
      <c r="F12" s="9" t="n">
        <f aca="false">Model_OCGT!$D$115</f>
        <v>1060.58477227581</v>
      </c>
      <c r="G12" s="10" t="n">
        <f aca="false">Model_OCGT!$D$116</f>
        <v>0.0372661719939117</v>
      </c>
      <c r="H12" s="9" t="n">
        <f aca="false">Model_OCGT!$D$135</f>
        <v>2.56853956673307</v>
      </c>
      <c r="I12" s="9" t="n">
        <f aca="false">Model_OCGT!$D$117</f>
        <v>0</v>
      </c>
      <c r="J12" s="9" t="n">
        <f aca="false">Model_OCGT!$D$118</f>
        <v>984.425375415411</v>
      </c>
      <c r="K12" s="1"/>
    </row>
    <row r="13" customFormat="false" ht="15" hidden="false" customHeight="false" outlineLevel="0" collapsed="false">
      <c r="A13" s="1"/>
      <c r="B13" s="8" t="s">
        <v>21</v>
      </c>
      <c r="C13" s="9" t="n">
        <f aca="false">Model_Engines!$D$100</f>
        <v>-221.947462510669</v>
      </c>
      <c r="D13" s="10" t="n">
        <f aca="false">Model_Engines!$D$102</f>
        <v>-0.264656212342734</v>
      </c>
      <c r="E13" s="9" t="n">
        <f aca="false">Model_Engines!$D$114</f>
        <v>1098.94692256831</v>
      </c>
      <c r="F13" s="9" t="n">
        <f aca="false">Model_Engines!$D$115</f>
        <v>797.031412576646</v>
      </c>
      <c r="G13" s="10" t="n">
        <f aca="false">Model_Engines!$D$116</f>
        <v>0.0965573059360731</v>
      </c>
      <c r="H13" s="9" t="n">
        <f aca="false">Model_Engines!$D$135</f>
        <v>0.797411165137795</v>
      </c>
      <c r="I13" s="9" t="n">
        <f aca="false">Model_Engines!$D$117</f>
        <v>0</v>
      </c>
      <c r="J13" s="9" t="n">
        <f aca="false">Model_Engines!$D$118</f>
        <v>373.429310114875</v>
      </c>
      <c r="K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customFormat="false" ht="15" hidden="false" customHeight="false" outlineLevel="0" collapsed="false">
      <c r="A15" s="1"/>
      <c r="B15" s="6" t="s">
        <v>22</v>
      </c>
      <c r="C15" s="1"/>
      <c r="D15" s="1"/>
      <c r="E15" s="1"/>
      <c r="F15" s="1"/>
      <c r="G15" s="1"/>
      <c r="H15" s="1"/>
      <c r="I15" s="1"/>
      <c r="J15" s="1"/>
      <c r="K15" s="1"/>
    </row>
    <row r="16" customFormat="false" ht="15" hidden="false" customHeight="false" outlineLevel="0" collapsed="false">
      <c r="A16" s="1"/>
      <c r="B16" s="6" t="s">
        <v>23</v>
      </c>
      <c r="C16" s="1"/>
      <c r="D16" s="1"/>
      <c r="E16" s="1"/>
      <c r="F16" s="1"/>
      <c r="G16" s="1"/>
      <c r="H16" s="1"/>
      <c r="I16" s="1"/>
      <c r="J16" s="1"/>
      <c r="K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customFormat="false" ht="15" hidden="false" customHeight="false" outlineLevel="0" collapsed="false">
      <c r="A18" s="1"/>
      <c r="B18" s="4" t="s">
        <v>24</v>
      </c>
      <c r="C18" s="1"/>
      <c r="D18" s="1"/>
      <c r="E18" s="1"/>
      <c r="F18" s="1"/>
      <c r="G18" s="1"/>
      <c r="H18" s="1"/>
      <c r="I18" s="1"/>
      <c r="J18" s="1"/>
      <c r="K18" s="1"/>
    </row>
    <row r="19" customFormat="false" ht="15" hidden="false" customHeight="false" outlineLevel="0" collapsed="false">
      <c r="A19" s="1"/>
      <c r="B19" s="4" t="s">
        <v>25</v>
      </c>
      <c r="C19" s="11" t="n">
        <v>2030</v>
      </c>
      <c r="D19" s="11" t="n">
        <v>2035</v>
      </c>
      <c r="E19" s="11" t="n">
        <v>2040</v>
      </c>
      <c r="F19" s="11" t="n">
        <v>2045</v>
      </c>
      <c r="G19" s="11" t="n">
        <v>2050</v>
      </c>
      <c r="H19" s="11" t="n">
        <v>2055</v>
      </c>
      <c r="I19" s="11" t="n">
        <v>2060</v>
      </c>
      <c r="J19" s="11" t="n">
        <v>2065</v>
      </c>
      <c r="K19" s="11" t="n">
        <v>2070</v>
      </c>
    </row>
    <row r="20" customFormat="false" ht="15" hidden="false" customHeight="false" outlineLevel="0" collapsed="false">
      <c r="A20" s="1"/>
      <c r="B20" s="8" t="s">
        <v>26</v>
      </c>
      <c r="C20" s="9" t="n">
        <f aca="false">Model_SMR_CfD!J102</f>
        <v>-1948.20727230859</v>
      </c>
      <c r="D20" s="9" t="n">
        <f aca="false">Model_SMR_CfD!O102</f>
        <v>818.756885619919</v>
      </c>
      <c r="E20" s="9" t="n">
        <f aca="false">Model_SMR_CfD!T102</f>
        <v>885.35843391791</v>
      </c>
      <c r="F20" s="9" t="n">
        <f aca="false">Model_SMR_CfD!Y102</f>
        <v>840.376016244603</v>
      </c>
      <c r="G20" s="9" t="n">
        <f aca="false">Model_SMR_CfD!AD102</f>
        <v>785.014434267474</v>
      </c>
      <c r="H20" s="9" t="n">
        <f aca="false">Model_SMR_CfD!AI102</f>
        <v>745.270537701538</v>
      </c>
      <c r="I20" s="9" t="n">
        <f aca="false">Model_SMR_CfD!AN102</f>
        <v>729.197004783391</v>
      </c>
      <c r="J20" s="9" t="n">
        <f aca="false">Model_SMR_CfD!AS102</f>
        <v>769.004261159422</v>
      </c>
      <c r="K20" s="9" t="n">
        <f aca="false">Model_SMR_CfD!AX102</f>
        <v>729.207900160421</v>
      </c>
    </row>
    <row r="21" customFormat="false" ht="15" hidden="false" customHeight="false" outlineLevel="0" collapsed="false">
      <c r="A21" s="1"/>
      <c r="B21" s="8" t="s">
        <v>27</v>
      </c>
      <c r="C21" s="9" t="n">
        <f aca="false">Model_SMR_CfD!J69</f>
        <v>0</v>
      </c>
      <c r="D21" s="9" t="n">
        <f aca="false">Model_SMR_CfD!O69</f>
        <v>1331.96527900757</v>
      </c>
      <c r="E21" s="9" t="n">
        <f aca="false">Model_SMR_CfD!T69</f>
        <v>1317.98671534531</v>
      </c>
      <c r="F21" s="9" t="n">
        <f aca="false">Model_SMR_CfD!Y69</f>
        <v>1317.99548636993</v>
      </c>
      <c r="G21" s="9" t="n">
        <f aca="false">Model_SMR_CfD!AD69</f>
        <v>1374.4562262493</v>
      </c>
      <c r="H21" s="9" t="n">
        <f aca="false">Model_SMR_CfD!AI69</f>
        <v>1318.05993739106</v>
      </c>
      <c r="I21" s="9" t="n">
        <f aca="false">Model_SMR_CfD!AN69</f>
        <v>1318.11565236472</v>
      </c>
      <c r="J21" s="9" t="n">
        <f aca="false">Model_SMR_CfD!AS69</f>
        <v>1374.58093557885</v>
      </c>
      <c r="K21" s="9" t="n">
        <f aca="false">Model_SMR_CfD!AX69</f>
        <v>1318.12917104085</v>
      </c>
    </row>
    <row r="22" customFormat="false" ht="15" hidden="false" customHeight="false" outlineLevel="0" collapsed="false">
      <c r="A22" s="1"/>
      <c r="B22" s="8" t="s">
        <v>28</v>
      </c>
      <c r="C22" s="9" t="n">
        <f aca="false">Model_SMR_CfD!J138</f>
        <v>1.35402212279805</v>
      </c>
      <c r="D22" s="9" t="n">
        <f aca="false">Model_SMR_CfD!O138</f>
        <v>47.6973884611554</v>
      </c>
      <c r="E22" s="9" t="n">
        <f aca="false">Model_SMR_CfD!T138</f>
        <v>47.6973884611554</v>
      </c>
      <c r="F22" s="9" t="n">
        <f aca="false">Model_SMR_CfD!Y138</f>
        <v>60.9562320576735</v>
      </c>
      <c r="G22" s="9" t="n">
        <f aca="false">Model_SMR_CfD!AD138</f>
        <v>91.7547444105116</v>
      </c>
      <c r="H22" s="9" t="n">
        <f aca="false">Model_SMR_CfD!AI138</f>
        <v>89.0070182281753</v>
      </c>
      <c r="I22" s="9" t="n">
        <f aca="false">Model_SMR_CfD!AN138</f>
        <v>93.7640949646984</v>
      </c>
      <c r="J22" s="9" t="n">
        <f aca="false">Model_SMR_CfD!AS138</f>
        <v>96.51620157835</v>
      </c>
      <c r="K22" s="9" t="n">
        <f aca="false">Model_SMR_CfD!AX138</f>
        <v>93.7648482253327</v>
      </c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customFormat="false" ht="15" hidden="false" customHeight="false" outlineLevel="0" collapsed="false">
      <c r="A24" s="1"/>
      <c r="B24" s="8" t="s">
        <v>29</v>
      </c>
      <c r="C24" s="9" t="n">
        <f aca="false">Model_SMR_Fixed!J99</f>
        <v>-1948.20727230859</v>
      </c>
      <c r="D24" s="9" t="n">
        <f aca="false">Model_SMR_Fixed!O99</f>
        <v>681.445584876</v>
      </c>
      <c r="E24" s="9" t="n">
        <f aca="false">Model_SMR_Fixed!T99</f>
        <v>748.74132342</v>
      </c>
      <c r="F24" s="9" t="n">
        <f aca="false">Model_SMR_Fixed!Y99</f>
        <v>716.7348664451</v>
      </c>
      <c r="G24" s="9" t="n">
        <f aca="false">Model_SMR_Fixed!AD99</f>
        <v>730.80080777489</v>
      </c>
      <c r="H24" s="9" t="n">
        <f aca="false">Model_SMR_Fixed!AI99</f>
        <v>634.5541594702</v>
      </c>
      <c r="I24" s="9" t="n">
        <f aca="false">Model_SMR_Fixed!AN99</f>
        <v>618.4267219702</v>
      </c>
      <c r="J24" s="9" t="n">
        <f aca="false">Model_SMR_Fixed!AS99</f>
        <v>653.46979791178</v>
      </c>
      <c r="K24" s="9" t="n">
        <f aca="false">Model_SMR_Fixed!AX99</f>
        <v>618.4267219702</v>
      </c>
    </row>
    <row r="25" customFormat="false" ht="15" hidden="false" customHeight="false" outlineLevel="0" collapsed="false">
      <c r="A25" s="1"/>
      <c r="B25" s="8" t="s">
        <v>30</v>
      </c>
      <c r="C25" s="9" t="n">
        <f aca="false">Model_SMR_Fixed!J66</f>
        <v>0</v>
      </c>
      <c r="D25" s="9" t="n">
        <f aca="false">Model_SMR_Fixed!O66</f>
        <v>1194.1279848</v>
      </c>
      <c r="E25" s="9" t="n">
        <f aca="false">Model_SMR_Fixed!T66</f>
        <v>1181.598516</v>
      </c>
      <c r="F25" s="9" t="n">
        <f aca="false">Model_SMR_Fixed!Y66</f>
        <v>1181.598516</v>
      </c>
      <c r="G25" s="9" t="n">
        <f aca="false">Model_SMR_Fixed!AD66</f>
        <v>1232.2384524</v>
      </c>
      <c r="H25" s="9" t="n">
        <f aca="false">Model_SMR_Fixed!AI66</f>
        <v>1181.598516</v>
      </c>
      <c r="I25" s="9" t="n">
        <f aca="false">Model_SMR_Fixed!AN66</f>
        <v>1181.598516</v>
      </c>
      <c r="J25" s="9" t="n">
        <f aca="false">Model_SMR_Fixed!AS66</f>
        <v>1232.2384524</v>
      </c>
      <c r="K25" s="9" t="n">
        <f aca="false">Model_SMR_Fixed!AX66</f>
        <v>1181.598516</v>
      </c>
    </row>
    <row r="26" customFormat="false" ht="15" hidden="false" customHeight="false" outlineLevel="0" collapsed="false">
      <c r="A26" s="1"/>
      <c r="B26" s="8" t="s">
        <v>31</v>
      </c>
      <c r="C26" s="9" t="n">
        <f aca="false">Model_SMR_Fixed!J135</f>
        <v>1.35402212279805</v>
      </c>
      <c r="D26" s="9" t="n">
        <f aca="false">Model_SMR_Fixed!O135</f>
        <v>47.6973884611554</v>
      </c>
      <c r="E26" s="9" t="n">
        <f aca="false">Model_SMR_Fixed!T135</f>
        <v>47.6973884611554</v>
      </c>
      <c r="F26" s="9" t="n">
        <f aca="false">Model_SMR_Fixed!Y135</f>
        <v>57.1308705169154</v>
      </c>
      <c r="G26" s="9" t="n">
        <f aca="false">Model_SMR_Fixed!AD135</f>
        <v>65.7363361050194</v>
      </c>
      <c r="H26" s="9" t="n">
        <f aca="false">Model_SMR_Fixed!AI135</f>
        <v>81.3525525726754</v>
      </c>
      <c r="I26" s="9" t="n">
        <f aca="false">Model_SMR_Fixed!AN135</f>
        <v>86.1059025726754</v>
      </c>
      <c r="J26" s="9" t="n">
        <f aca="false">Model_SMR_Fixed!AS135</f>
        <v>88.5286337488834</v>
      </c>
      <c r="K26" s="9" t="n">
        <f aca="false">Model_SMR_Fixed!AX135</f>
        <v>86.1059025726754</v>
      </c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customFormat="false" ht="15" hidden="false" customHeight="false" outlineLevel="0" collapsed="false">
      <c r="A28" s="1"/>
      <c r="B28" s="8" t="s">
        <v>32</v>
      </c>
      <c r="C28" s="9" t="n">
        <f aca="false">Model_SMR_Dynamic!J98</f>
        <v>-1948.20727230859</v>
      </c>
      <c r="D28" s="9" t="n">
        <f aca="false">Model_SMR_Dynamic!O98</f>
        <v>473.064999892327</v>
      </c>
      <c r="E28" s="9" t="n">
        <f aca="false">Model_SMR_Dynamic!T98</f>
        <v>514.53907114522</v>
      </c>
      <c r="F28" s="9" t="n">
        <f aca="false">Model_SMR_Dynamic!Y98</f>
        <v>493.884824402001</v>
      </c>
      <c r="G28" s="9" t="n">
        <f aca="false">Model_SMR_Dynamic!AD98</f>
        <v>491.789835351217</v>
      </c>
      <c r="H28" s="9" t="n">
        <f aca="false">Model_SMR_Dynamic!AI98</f>
        <v>457.86659126984</v>
      </c>
      <c r="I28" s="9" t="n">
        <f aca="false">Model_SMR_Dynamic!AN98</f>
        <v>449.765096669131</v>
      </c>
      <c r="J28" s="9" t="n">
        <f aca="false">Model_SMR_Dynamic!AS98</f>
        <v>483.992762323692</v>
      </c>
      <c r="K28" s="9" t="n">
        <f aca="false">Model_SMR_Dynamic!AX98</f>
        <v>409.145739373769</v>
      </c>
    </row>
    <row r="29" customFormat="false" ht="15" hidden="false" customHeight="false" outlineLevel="0" collapsed="false">
      <c r="A29" s="1"/>
      <c r="B29" s="8" t="s">
        <v>33</v>
      </c>
      <c r="C29" s="9" t="n">
        <f aca="false">Model_SMR_Dynamic!J65</f>
        <v>0</v>
      </c>
      <c r="D29" s="9" t="n">
        <f aca="false">Model_SMR_Dynamic!O65</f>
        <v>979.130226346584</v>
      </c>
      <c r="E29" s="9" t="n">
        <f aca="false">Model_SMR_Dynamic!T65</f>
        <v>939.64687511148</v>
      </c>
      <c r="F29" s="9" t="n">
        <f aca="false">Model_SMR_Dynamic!Y65</f>
        <v>927.495344226615</v>
      </c>
      <c r="G29" s="9" t="n">
        <f aca="false">Model_SMR_Dynamic!AD65</f>
        <v>960.027621803693</v>
      </c>
      <c r="H29" s="9" t="n">
        <f aca="false">Model_SMR_Dynamic!AI65</f>
        <v>915.194180083982</v>
      </c>
      <c r="I29" s="9" t="n">
        <f aca="false">Model_SMR_Dynamic!AN65</f>
        <v>915.053534627834</v>
      </c>
      <c r="J29" s="9" t="n">
        <f aca="false">Model_SMR_Dynamic!AS65</f>
        <v>960.136684197278</v>
      </c>
      <c r="K29" s="9" t="n">
        <f aca="false">Model_SMR_Dynamic!AX65</f>
        <v>915.044271983503</v>
      </c>
    </row>
    <row r="30" customFormat="false" ht="15" hidden="false" customHeight="false" outlineLevel="0" collapsed="false">
      <c r="A30" s="1"/>
      <c r="B30" s="8" t="s">
        <v>34</v>
      </c>
      <c r="C30" s="9" t="n">
        <f aca="false">Model_SMR_Dynamic!J134</f>
        <v>1.35402212279805</v>
      </c>
      <c r="D30" s="9" t="n">
        <f aca="false">Model_SMR_Dynamic!O134</f>
        <v>47.6973884611554</v>
      </c>
      <c r="E30" s="9" t="n">
        <f aca="false">Model_SMR_Dynamic!T134</f>
        <v>47.6973884611554</v>
      </c>
      <c r="F30" s="9" t="n">
        <f aca="false">Model_SMR_Dynamic!Y134</f>
        <v>50.2360625863002</v>
      </c>
      <c r="G30" s="9" t="n">
        <f aca="false">Model_SMR_Dynamic!AD134</f>
        <v>58.3415214885963</v>
      </c>
      <c r="H30" s="9" t="n">
        <f aca="false">Model_SMR_Dynamic!AI134</f>
        <v>57.2919625556919</v>
      </c>
      <c r="I30" s="9" t="n">
        <f aca="false">Model_SMR_Dynamic!AN134</f>
        <v>59.6674688000898</v>
      </c>
      <c r="J30" s="9" t="n">
        <f aca="false">Model_SMR_Dynamic!AS134</f>
        <v>60.7264463010044</v>
      </c>
      <c r="K30" s="9" t="n">
        <f aca="false">Model_SMR_Dynamic!AX134</f>
        <v>71.6370938993419</v>
      </c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customFormat="false" ht="15" hidden="false" customHeight="false" outlineLevel="0" collapsed="false">
      <c r="A32" s="1"/>
      <c r="B32" s="8" t="s">
        <v>35</v>
      </c>
      <c r="C32" s="9" t="n">
        <f aca="false">Model_CCGT!J97</f>
        <v>-245.625</v>
      </c>
      <c r="D32" s="9" t="n">
        <f aca="false">Model_CCGT!O97</f>
        <v>17.263540839445</v>
      </c>
      <c r="E32" s="9" t="n">
        <f aca="false">Model_CCGT!T97</f>
        <v>1.81224537942643</v>
      </c>
      <c r="F32" s="9" t="n">
        <f aca="false">Model_CCGT!Y97</f>
        <v>-1.34083494116575</v>
      </c>
      <c r="G32" s="9" t="n">
        <f aca="false">Model_CCGT!AD97</f>
        <v>-4.18675274234295</v>
      </c>
      <c r="H32" s="9" t="n">
        <f aca="false">Model_CCGT!AI97</f>
        <v>-3.73764293425472</v>
      </c>
      <c r="I32" s="9" t="n">
        <f aca="false">Model_CCGT!AN97</f>
        <v>-96.2120294687997</v>
      </c>
      <c r="J32" s="9" t="n">
        <f aca="false">Model_CCGT!AS97</f>
        <v>0</v>
      </c>
      <c r="K32" s="9" t="n">
        <f aca="false">Model_CCGT!AX97</f>
        <v>0</v>
      </c>
    </row>
    <row r="33" customFormat="false" ht="15" hidden="false" customHeight="false" outlineLevel="0" collapsed="false">
      <c r="A33" s="1"/>
      <c r="B33" s="8" t="s">
        <v>36</v>
      </c>
      <c r="C33" s="9" t="n">
        <f aca="false">Model_CCGT!J63</f>
        <v>0</v>
      </c>
      <c r="D33" s="9" t="n">
        <f aca="false">Model_CCGT!O63</f>
        <v>359.675657096049</v>
      </c>
      <c r="E33" s="9" t="n">
        <f aca="false">Model_CCGT!T63</f>
        <v>273.231571352121</v>
      </c>
      <c r="F33" s="9" t="n">
        <f aca="false">Model_CCGT!Y63</f>
        <v>255.789640377767</v>
      </c>
      <c r="G33" s="9" t="n">
        <f aca="false">Model_CCGT!AD63</f>
        <v>246.789460924743</v>
      </c>
      <c r="H33" s="9" t="n">
        <f aca="false">Model_CCGT!AI63</f>
        <v>249.229230577963</v>
      </c>
      <c r="I33" s="9" t="n">
        <f aca="false">Model_CCGT!AN63</f>
        <v>256.743243271207</v>
      </c>
      <c r="J33" s="9" t="n">
        <f aca="false">Model_CCGT!AS63</f>
        <v>0</v>
      </c>
      <c r="K33" s="9" t="n">
        <f aca="false">Model_CCGT!AX63</f>
        <v>0</v>
      </c>
    </row>
    <row r="34" customFormat="false" ht="15" hidden="false" customHeight="false" outlineLevel="0" collapsed="false">
      <c r="A34" s="1"/>
      <c r="B34" s="8" t="s">
        <v>37</v>
      </c>
      <c r="C34" s="9" t="n">
        <f aca="false">Model_CCGT!J133</f>
        <v>0.17473725</v>
      </c>
      <c r="D34" s="9" t="n">
        <f aca="false">Model_CCGT!O133</f>
        <v>6.06215826693227</v>
      </c>
      <c r="E34" s="9" t="n">
        <f aca="false">Model_CCGT!T133</f>
        <v>6.06215826693227</v>
      </c>
      <c r="F34" s="9" t="n">
        <f aca="false">Model_CCGT!Y133</f>
        <v>6.06215826693227</v>
      </c>
      <c r="G34" s="9" t="n">
        <f aca="false">Model_CCGT!AD133</f>
        <v>6.06215826693227</v>
      </c>
      <c r="H34" s="9" t="n">
        <f aca="false">Model_CCGT!AI133</f>
        <v>6.06215826693227</v>
      </c>
      <c r="I34" s="9" t="n">
        <f aca="false">Model_CCGT!AN133</f>
        <v>6.06215826693227</v>
      </c>
      <c r="J34" s="9" t="n">
        <f aca="false">Model_CCGT!AS133</f>
        <v>0</v>
      </c>
      <c r="K34" s="9" t="n">
        <f aca="false">Model_CCGT!AX133</f>
        <v>0</v>
      </c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customFormat="false" ht="15" hidden="false" customHeight="false" outlineLevel="0" collapsed="false">
      <c r="A36" s="1"/>
      <c r="B36" s="8" t="s">
        <v>38</v>
      </c>
      <c r="C36" s="9" t="n">
        <f aca="false">Model_OCGT!J97</f>
        <v>-675</v>
      </c>
      <c r="D36" s="9" t="n">
        <f aca="false">Model_OCGT!O97</f>
        <v>9.64539762581437</v>
      </c>
      <c r="E36" s="9" t="n">
        <f aca="false">Model_OCGT!T97</f>
        <v>4.90580371977342</v>
      </c>
      <c r="F36" s="9" t="n">
        <f aca="false">Model_OCGT!Y97</f>
        <v>3.68312058152107</v>
      </c>
      <c r="G36" s="9" t="n">
        <f aca="false">Model_OCGT!AD97</f>
        <v>2.56648852631007</v>
      </c>
      <c r="H36" s="9" t="n">
        <f aca="false">Model_OCGT!AI97</f>
        <v>2.56906813500235</v>
      </c>
      <c r="I36" s="9" t="n">
        <f aca="false">Model_OCGT!AN97</f>
        <v>-48.4119104857856</v>
      </c>
      <c r="J36" s="9" t="n">
        <f aca="false">Model_OCGT!AS97</f>
        <v>0</v>
      </c>
      <c r="K36" s="9" t="n">
        <f aca="false">Model_OCGT!AX97</f>
        <v>0</v>
      </c>
    </row>
    <row r="37" customFormat="false" ht="15" hidden="false" customHeight="false" outlineLevel="0" collapsed="false">
      <c r="A37" s="1"/>
      <c r="B37" s="8" t="s">
        <v>39</v>
      </c>
      <c r="C37" s="9" t="n">
        <f aca="false">Model_OCGT!J63</f>
        <v>0</v>
      </c>
      <c r="D37" s="9" t="n">
        <f aca="false">Model_OCGT!O63</f>
        <v>121.158559841966</v>
      </c>
      <c r="E37" s="9" t="n">
        <f aca="false">Model_OCGT!T63</f>
        <v>103.199905137945</v>
      </c>
      <c r="F37" s="9" t="n">
        <f aca="false">Model_OCGT!Y63</f>
        <v>99.2674369897562</v>
      </c>
      <c r="G37" s="9" t="n">
        <f aca="false">Model_OCGT!AD63</f>
        <v>95.5883696960566</v>
      </c>
      <c r="H37" s="9" t="n">
        <f aca="false">Model_OCGT!AI63</f>
        <v>95.5714132713435</v>
      </c>
      <c r="I37" s="9" t="n">
        <f aca="false">Model_OCGT!AN63</f>
        <v>95.7820621544564</v>
      </c>
      <c r="J37" s="9" t="n">
        <f aca="false">Model_OCGT!AS63</f>
        <v>0</v>
      </c>
      <c r="K37" s="9" t="n">
        <f aca="false">Model_OCGT!AX63</f>
        <v>0</v>
      </c>
    </row>
    <row r="38" customFormat="false" ht="15" hidden="false" customHeight="false" outlineLevel="0" collapsed="false">
      <c r="A38" s="1"/>
      <c r="B38" s="8" t="s">
        <v>40</v>
      </c>
      <c r="C38" s="9" t="n">
        <f aca="false">Model_OCGT!J133</f>
        <v>0.6290541</v>
      </c>
      <c r="D38" s="9" t="n">
        <f aca="false">Model_OCGT!O133</f>
        <v>2.56853956673307</v>
      </c>
      <c r="E38" s="9" t="n">
        <f aca="false">Model_OCGT!T133</f>
        <v>2.56853956673307</v>
      </c>
      <c r="F38" s="9" t="n">
        <f aca="false">Model_OCGT!Y133</f>
        <v>2.56853956673307</v>
      </c>
      <c r="G38" s="9" t="n">
        <f aca="false">Model_OCGT!AD133</f>
        <v>2.56853956673307</v>
      </c>
      <c r="H38" s="9" t="n">
        <f aca="false">Model_OCGT!AI133</f>
        <v>2.56853956673307</v>
      </c>
      <c r="I38" s="9" t="n">
        <f aca="false">Model_OCGT!AN133</f>
        <v>2.56853956673307</v>
      </c>
      <c r="J38" s="9" t="n">
        <f aca="false">Model_OCGT!AS133</f>
        <v>0</v>
      </c>
      <c r="K38" s="9" t="n">
        <f aca="false">Model_OCGT!AX133</f>
        <v>0</v>
      </c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customFormat="false" ht="15" hidden="false" customHeight="false" outlineLevel="0" collapsed="false">
      <c r="A40" s="1"/>
      <c r="B40" s="8" t="s">
        <v>41</v>
      </c>
      <c r="C40" s="9" t="n">
        <f aca="false">Model_Engines!J97</f>
        <v>-179.28</v>
      </c>
      <c r="D40" s="9" t="n">
        <f aca="false">Model_Engines!O97</f>
        <v>6.92435148188244</v>
      </c>
      <c r="E40" s="9" t="n">
        <f aca="false">Model_Engines!T97</f>
        <v>4.67563877873673</v>
      </c>
      <c r="F40" s="9" t="n">
        <f aca="false">Model_Engines!Y97</f>
        <v>4.18757262893177</v>
      </c>
      <c r="G40" s="9" t="n">
        <f aca="false">Model_Engines!AD97</f>
        <v>3.56705956048321</v>
      </c>
      <c r="H40" s="9" t="n">
        <f aca="false">Model_Engines!AI97</f>
        <v>-9.9261317245918</v>
      </c>
      <c r="I40" s="9" t="n">
        <f aca="false">Model_Engines!AN97</f>
        <v>0</v>
      </c>
      <c r="J40" s="9" t="n">
        <f aca="false">Model_Engines!AS97</f>
        <v>0</v>
      </c>
      <c r="K40" s="9" t="n">
        <f aca="false">Model_Engines!AX97</f>
        <v>0</v>
      </c>
    </row>
    <row r="41" customFormat="false" ht="15" hidden="false" customHeight="false" outlineLevel="0" collapsed="false">
      <c r="A41" s="1"/>
      <c r="B41" s="8" t="s">
        <v>42</v>
      </c>
      <c r="C41" s="9" t="n">
        <f aca="false">Model_Engines!J63</f>
        <v>0</v>
      </c>
      <c r="D41" s="9" t="n">
        <f aca="false">Model_Engines!O63</f>
        <v>56.5399457015195</v>
      </c>
      <c r="E41" s="9" t="n">
        <f aca="false">Model_Engines!T63</f>
        <v>46.0026824865933</v>
      </c>
      <c r="F41" s="9" t="n">
        <f aca="false">Model_Engines!Y63</f>
        <v>44.4681383687552</v>
      </c>
      <c r="G41" s="9" t="n">
        <f aca="false">Model_Engines!AD63</f>
        <v>42.6138987173665</v>
      </c>
      <c r="H41" s="9" t="n">
        <f aca="false">Model_Engines!AI63</f>
        <v>43.0596041338695</v>
      </c>
      <c r="I41" s="9" t="n">
        <f aca="false">Model_Engines!AN63</f>
        <v>0</v>
      </c>
      <c r="J41" s="9" t="n">
        <f aca="false">Model_Engines!AS63</f>
        <v>0</v>
      </c>
      <c r="K41" s="9" t="n">
        <f aca="false">Model_Engines!AX63</f>
        <v>0</v>
      </c>
    </row>
    <row r="42" customFormat="false" ht="15" hidden="false" customHeight="false" outlineLevel="0" collapsed="false">
      <c r="A42" s="1"/>
      <c r="B42" s="8" t="s">
        <v>43</v>
      </c>
      <c r="C42" s="9" t="n">
        <f aca="false">Model_Engines!J133</f>
        <v>0.150972984</v>
      </c>
      <c r="D42" s="9" t="n">
        <f aca="false">Model_Engines!O133</f>
        <v>0.777179566733068</v>
      </c>
      <c r="E42" s="9" t="n">
        <f aca="false">Model_Engines!T133</f>
        <v>0.777179566733068</v>
      </c>
      <c r="F42" s="9" t="n">
        <f aca="false">Model_Engines!Y133</f>
        <v>0.777179566733068</v>
      </c>
      <c r="G42" s="9" t="n">
        <f aca="false">Model_Engines!AD133</f>
        <v>0.822829144294979</v>
      </c>
      <c r="H42" s="9" t="n">
        <f aca="false">Model_Engines!AI133</f>
        <v>0.777179566733068</v>
      </c>
      <c r="I42" s="9" t="n">
        <f aca="false">Model_Engines!AN133</f>
        <v>0</v>
      </c>
      <c r="J42" s="9" t="n">
        <f aca="false">Model_Engines!AS133</f>
        <v>0</v>
      </c>
      <c r="K42" s="9" t="n">
        <f aca="false">Model_Engines!AX133</f>
        <v>0</v>
      </c>
    </row>
  </sheetData>
  <dataValidations count="1">
    <dataValidation allowBlank="false" errorStyle="stop" operator="between" showDropDown="false" showErrorMessage="false" showInputMessage="false" sqref="C3" type="list">
      <formula1>"LOW,CENTRAL,HIGH"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A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8" min="5" style="0" width="13"/>
    <col collapsed="false" customWidth="true" hidden="false" outlineLevel="0" max="9" min="9" style="0" width="9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customFormat="false" ht="15" hidden="false" customHeight="false" outlineLevel="0" collapsed="false">
      <c r="A2" s="1"/>
      <c r="B2" s="2" t="s">
        <v>44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customFormat="false" ht="15" hidden="false" customHeight="false" outlineLevel="0" collapsed="false">
      <c r="A3" s="1"/>
      <c r="B3" s="3" t="s">
        <v>45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customFormat="false" ht="15" hidden="false" customHeight="false" outlineLevel="0" collapsed="false">
      <c r="A5" s="1"/>
      <c r="B5" s="12" t="s">
        <v>46</v>
      </c>
      <c r="C5" s="12" t="s">
        <v>47</v>
      </c>
      <c r="D5" s="12" t="s">
        <v>48</v>
      </c>
      <c r="E5" s="12" t="s">
        <v>49</v>
      </c>
      <c r="F5" s="12" t="s">
        <v>3</v>
      </c>
      <c r="G5" s="12" t="s">
        <v>50</v>
      </c>
      <c r="H5" s="12" t="s">
        <v>51</v>
      </c>
      <c r="I5" s="12" t="s">
        <v>52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</row>
    <row r="8" customFormat="false" ht="15" hidden="false" customHeight="false" outlineLevel="0" collapsed="false">
      <c r="A8" s="1"/>
      <c r="B8" s="13" t="s">
        <v>53</v>
      </c>
      <c r="C8" s="14"/>
      <c r="D8" s="14"/>
      <c r="E8" s="14"/>
      <c r="F8" s="14"/>
      <c r="G8" s="14"/>
      <c r="H8" s="14"/>
      <c r="I8" s="1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</row>
    <row r="9" customFormat="false" ht="15" hidden="false" customHeight="false" outlineLevel="0" collapsed="false">
      <c r="A9" s="1"/>
      <c r="B9" s="1"/>
      <c r="C9" s="8" t="s">
        <v>54</v>
      </c>
      <c r="D9" s="8" t="s">
        <v>55</v>
      </c>
      <c r="E9" s="15" t="n">
        <v>2026</v>
      </c>
      <c r="F9" s="15" t="n">
        <v>2026</v>
      </c>
      <c r="G9" s="15" t="n">
        <v>2026</v>
      </c>
      <c r="H9" s="16" t="n">
        <f aca="false">INDEX(E9:G9,1,Dashboard!$C$4)</f>
        <v>2026</v>
      </c>
      <c r="I9" s="17" t="s">
        <v>56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</row>
    <row r="10" customFormat="false" ht="15" hidden="false" customHeight="false" outlineLevel="0" collapsed="false">
      <c r="A10" s="1"/>
      <c r="B10" s="1"/>
      <c r="C10" s="8" t="s">
        <v>57</v>
      </c>
      <c r="D10" s="8" t="s">
        <v>58</v>
      </c>
      <c r="E10" s="18" t="n">
        <v>4.3633</v>
      </c>
      <c r="F10" s="18" t="n">
        <v>4.3633</v>
      </c>
      <c r="G10" s="18" t="n">
        <v>4.3633</v>
      </c>
      <c r="H10" s="19" t="n">
        <f aca="false">INDEX(E10:G10,1,Dashboard!$C$4)</f>
        <v>4.3633</v>
      </c>
      <c r="I10" s="17" t="s">
        <v>59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</row>
    <row r="11" customFormat="false" ht="15" hidden="false" customHeight="false" outlineLevel="0" collapsed="false">
      <c r="A11" s="1"/>
      <c r="B11" s="1"/>
      <c r="C11" s="8" t="s">
        <v>60</v>
      </c>
      <c r="D11" s="8" t="s">
        <v>58</v>
      </c>
      <c r="E11" s="18" t="n">
        <v>3.7998</v>
      </c>
      <c r="F11" s="18" t="n">
        <v>3.7998</v>
      </c>
      <c r="G11" s="18" t="n">
        <v>3.7998</v>
      </c>
      <c r="H11" s="19" t="n">
        <f aca="false">INDEX(E11:G11,1,Dashboard!$C$4)</f>
        <v>3.7998</v>
      </c>
      <c r="I11" s="17" t="s">
        <v>61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</row>
    <row r="12" customFormat="false" ht="15" hidden="false" customHeight="false" outlineLevel="0" collapsed="false">
      <c r="A12" s="1"/>
      <c r="B12" s="1"/>
      <c r="C12" s="8" t="s">
        <v>62</v>
      </c>
      <c r="D12" s="8" t="s">
        <v>63</v>
      </c>
      <c r="E12" s="15" t="n">
        <v>8760</v>
      </c>
      <c r="F12" s="15" t="n">
        <v>8760</v>
      </c>
      <c r="G12" s="15" t="n">
        <v>8760</v>
      </c>
      <c r="H12" s="16" t="n">
        <f aca="false">INDEX(E12:G12,1,Dashboard!$C$4)</f>
        <v>8760</v>
      </c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</row>
    <row r="14" customFormat="false" ht="15" hidden="false" customHeight="false" outlineLevel="0" collapsed="false">
      <c r="A14" s="1"/>
      <c r="B14" s="13" t="s">
        <v>64</v>
      </c>
      <c r="C14" s="14"/>
      <c r="D14" s="14"/>
      <c r="E14" s="14"/>
      <c r="F14" s="14"/>
      <c r="G14" s="14"/>
      <c r="H14" s="14"/>
      <c r="I14" s="1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</row>
    <row r="15" customFormat="false" ht="15" hidden="false" customHeight="false" outlineLevel="0" collapsed="false">
      <c r="A15" s="1"/>
      <c r="B15" s="1"/>
      <c r="C15" s="8" t="s">
        <v>65</v>
      </c>
      <c r="D15" s="8" t="s">
        <v>66</v>
      </c>
      <c r="E15" s="20" t="n">
        <v>0.04</v>
      </c>
      <c r="F15" s="20" t="n">
        <v>0.05</v>
      </c>
      <c r="G15" s="20" t="n">
        <v>0.065</v>
      </c>
      <c r="H15" s="21" t="n">
        <f aca="false">INDEX(E15:G15,1,Dashboard!$C$4)</f>
        <v>0.05</v>
      </c>
      <c r="I15" s="17" t="s">
        <v>67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</row>
    <row r="16" customFormat="false" ht="15" hidden="false" customHeight="false" outlineLevel="0" collapsed="false">
      <c r="A16" s="1"/>
      <c r="B16" s="1"/>
      <c r="C16" s="8" t="s">
        <v>68</v>
      </c>
      <c r="D16" s="8" t="s">
        <v>66</v>
      </c>
      <c r="E16" s="20" t="n">
        <v>0.06</v>
      </c>
      <c r="F16" s="20" t="n">
        <v>0.07</v>
      </c>
      <c r="G16" s="20" t="n">
        <v>0.085</v>
      </c>
      <c r="H16" s="21" t="n">
        <f aca="false">INDEX(E16:G16,1,Dashboard!$C$4)</f>
        <v>0.07</v>
      </c>
      <c r="I16" s="17" t="s">
        <v>69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</row>
    <row r="17" customFormat="false" ht="15" hidden="false" customHeight="false" outlineLevel="0" collapsed="false">
      <c r="A17" s="1"/>
      <c r="B17" s="1"/>
      <c r="C17" s="8" t="s">
        <v>70</v>
      </c>
      <c r="D17" s="8" t="s">
        <v>66</v>
      </c>
      <c r="E17" s="20" t="n">
        <v>0.06</v>
      </c>
      <c r="F17" s="20" t="n">
        <v>0.07</v>
      </c>
      <c r="G17" s="20" t="n">
        <v>0.085</v>
      </c>
      <c r="H17" s="21" t="n">
        <f aca="false">INDEX(E17:G17,1,Dashboard!$C$4)</f>
        <v>0.07</v>
      </c>
      <c r="I17" s="17" t="s">
        <v>71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</row>
    <row r="18" customFormat="false" ht="15" hidden="false" customHeight="false" outlineLevel="0" collapsed="false">
      <c r="A18" s="1"/>
      <c r="B18" s="1"/>
      <c r="C18" s="8" t="s">
        <v>72</v>
      </c>
      <c r="D18" s="8" t="s">
        <v>66</v>
      </c>
      <c r="E18" s="22" t="n">
        <v>0.025</v>
      </c>
      <c r="F18" s="22" t="n">
        <v>0.025</v>
      </c>
      <c r="G18" s="22" t="n">
        <v>0.025</v>
      </c>
      <c r="H18" s="21" t="n">
        <f aca="false">INDEX(E18:G18,1,Dashboard!$C$4)</f>
        <v>0.025</v>
      </c>
      <c r="I18" s="17" t="s">
        <v>73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</row>
    <row r="20" customFormat="false" ht="15" hidden="false" customHeight="false" outlineLevel="0" collapsed="false">
      <c r="A20" s="1"/>
      <c r="B20" s="13" t="s">
        <v>74</v>
      </c>
      <c r="C20" s="14"/>
      <c r="D20" s="14"/>
      <c r="E20" s="14"/>
      <c r="F20" s="14"/>
      <c r="G20" s="14"/>
      <c r="H20" s="14"/>
      <c r="I20" s="1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</row>
    <row r="21" customFormat="false" ht="15" hidden="false" customHeight="false" outlineLevel="0" collapsed="false">
      <c r="A21" s="1"/>
      <c r="B21" s="1"/>
      <c r="C21" s="8" t="s">
        <v>75</v>
      </c>
      <c r="D21" s="8" t="s">
        <v>76</v>
      </c>
      <c r="E21" s="23" t="n">
        <v>483.39</v>
      </c>
      <c r="F21" s="23" t="n">
        <v>483.39</v>
      </c>
      <c r="G21" s="23" t="n">
        <v>483.39</v>
      </c>
      <c r="H21" s="24" t="n">
        <f aca="false">INDEX(E21:G21,1,Dashboard!$C$4)</f>
        <v>483.39</v>
      </c>
      <c r="I21" s="17" t="s">
        <v>77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</row>
    <row r="22" customFormat="false" ht="15" hidden="false" customHeight="false" outlineLevel="0" collapsed="false">
      <c r="A22" s="1"/>
      <c r="B22" s="1"/>
      <c r="C22" s="8" t="s">
        <v>78</v>
      </c>
      <c r="D22" s="8" t="s">
        <v>76</v>
      </c>
      <c r="E22" s="25" t="n">
        <v>483.39</v>
      </c>
      <c r="F22" s="25" t="n">
        <v>483.39</v>
      </c>
      <c r="G22" s="25" t="n">
        <v>483.39</v>
      </c>
      <c r="H22" s="24" t="n">
        <f aca="false">INDEX(E22:G22,1,Dashboard!$C$4)</f>
        <v>483.39</v>
      </c>
      <c r="I22" s="17" t="s">
        <v>79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</row>
    <row r="23" customFormat="false" ht="15" hidden="false" customHeight="false" outlineLevel="0" collapsed="false">
      <c r="A23" s="1"/>
      <c r="B23" s="1"/>
      <c r="C23" s="8" t="s">
        <v>80</v>
      </c>
      <c r="D23" s="8" t="s">
        <v>81</v>
      </c>
      <c r="E23" s="26" t="n">
        <v>0</v>
      </c>
      <c r="F23" s="26" t="n">
        <v>0</v>
      </c>
      <c r="G23" s="26" t="n">
        <v>400</v>
      </c>
      <c r="H23" s="27" t="n">
        <f aca="false">INDEX(E23:G23,1,Dashboard!$C$4)</f>
        <v>0</v>
      </c>
      <c r="I23" s="17" t="s">
        <v>82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</row>
    <row r="24" customFormat="false" ht="15" hidden="false" customHeight="false" outlineLevel="0" collapsed="false">
      <c r="A24" s="1"/>
      <c r="B24" s="1"/>
      <c r="C24" s="8" t="s">
        <v>83</v>
      </c>
      <c r="D24" s="8" t="s">
        <v>84</v>
      </c>
      <c r="E24" s="15" t="n">
        <v>17</v>
      </c>
      <c r="F24" s="15" t="n">
        <v>17</v>
      </c>
      <c r="G24" s="15" t="n">
        <v>17</v>
      </c>
      <c r="H24" s="16" t="n">
        <f aca="false">INDEX(E24:G24,1,Dashboard!$C$4)</f>
        <v>17</v>
      </c>
      <c r="I24" s="17" t="s">
        <v>85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</row>
    <row r="25" customFormat="false" ht="15" hidden="false" customHeight="false" outlineLevel="0" collapsed="false">
      <c r="A25" s="1"/>
      <c r="B25" s="1"/>
      <c r="C25" s="8" t="s">
        <v>86</v>
      </c>
      <c r="D25" s="8" t="s">
        <v>46</v>
      </c>
      <c r="E25" s="18" t="n">
        <v>0.9383</v>
      </c>
      <c r="F25" s="18" t="n">
        <v>0.9383</v>
      </c>
      <c r="G25" s="18" t="n">
        <v>0.9383</v>
      </c>
      <c r="H25" s="19" t="n">
        <f aca="false">INDEX(E25:G25,1,Dashboard!$C$4)</f>
        <v>0.9383</v>
      </c>
      <c r="I25" s="17" t="s">
        <v>87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</row>
    <row r="26" customFormat="false" ht="15" hidden="false" customHeight="false" outlineLevel="0" collapsed="false">
      <c r="A26" s="1"/>
      <c r="B26" s="1"/>
      <c r="C26" s="8" t="s">
        <v>88</v>
      </c>
      <c r="D26" s="8" t="s">
        <v>46</v>
      </c>
      <c r="E26" s="18" t="n">
        <v>0.9315</v>
      </c>
      <c r="F26" s="18" t="n">
        <v>0.9315</v>
      </c>
      <c r="G26" s="18" t="n">
        <v>0.9315</v>
      </c>
      <c r="H26" s="19" t="n">
        <f aca="false">INDEX(E26:G26,1,Dashboard!$C$4)</f>
        <v>0.9315</v>
      </c>
      <c r="I26" s="17" t="s">
        <v>89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</row>
    <row r="27" customFormat="false" ht="15" hidden="false" customHeight="false" outlineLevel="0" collapsed="false">
      <c r="A27" s="1"/>
      <c r="B27" s="1"/>
      <c r="C27" s="8" t="s">
        <v>90</v>
      </c>
      <c r="D27" s="8" t="s">
        <v>46</v>
      </c>
      <c r="E27" s="18" t="n">
        <v>0.9328</v>
      </c>
      <c r="F27" s="18" t="n">
        <v>0.9328</v>
      </c>
      <c r="G27" s="18" t="n">
        <v>0.9328</v>
      </c>
      <c r="H27" s="19" t="n">
        <f aca="false">INDEX(E27:G27,1,Dashboard!$C$4)</f>
        <v>0.9328</v>
      </c>
      <c r="I27" s="17" t="s">
        <v>89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</row>
    <row r="28" customFormat="false" ht="15" hidden="false" customHeight="false" outlineLevel="0" collapsed="false">
      <c r="A28" s="1"/>
      <c r="B28" s="1"/>
      <c r="C28" s="8" t="s">
        <v>91</v>
      </c>
      <c r="D28" s="8" t="s">
        <v>81</v>
      </c>
      <c r="E28" s="28" t="n">
        <v>0</v>
      </c>
      <c r="F28" s="28" t="n">
        <v>15</v>
      </c>
      <c r="G28" s="28" t="n">
        <v>40</v>
      </c>
      <c r="H28" s="27" t="n">
        <f aca="false">INDEX(E28:G28,1,Dashboard!$C$4)</f>
        <v>15</v>
      </c>
      <c r="I28" s="17" t="s">
        <v>92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</row>
    <row r="29" customFormat="false" ht="15" hidden="false" customHeight="false" outlineLevel="0" collapsed="false">
      <c r="A29" s="1"/>
      <c r="B29" s="1"/>
      <c r="C29" s="8" t="s">
        <v>93</v>
      </c>
      <c r="D29" s="8" t="s">
        <v>81</v>
      </c>
      <c r="E29" s="28" t="n">
        <v>10</v>
      </c>
      <c r="F29" s="28" t="n">
        <v>40</v>
      </c>
      <c r="G29" s="28" t="n">
        <v>120</v>
      </c>
      <c r="H29" s="27" t="n">
        <f aca="false">INDEX(E29:G29,1,Dashboard!$C$4)</f>
        <v>40</v>
      </c>
      <c r="I29" s="17" t="s">
        <v>94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</row>
    <row r="30" customFormat="false" ht="15" hidden="false" customHeight="false" outlineLevel="0" collapsed="false">
      <c r="A30" s="1"/>
      <c r="B30" s="1"/>
      <c r="C30" s="8" t="s">
        <v>95</v>
      </c>
      <c r="D30" s="8" t="s">
        <v>96</v>
      </c>
      <c r="E30" s="18" t="n">
        <v>0.2006</v>
      </c>
      <c r="F30" s="18" t="n">
        <v>0.2006</v>
      </c>
      <c r="G30" s="18" t="n">
        <v>0.2006</v>
      </c>
      <c r="H30" s="19" t="n">
        <f aca="false">INDEX(E30:G30,1,Dashboard!$C$4)</f>
        <v>0.2006</v>
      </c>
      <c r="I30" s="17" t="s">
        <v>97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</row>
    <row r="31" customFormat="false" ht="15" hidden="false" customHeight="false" outlineLevel="0" collapsed="false">
      <c r="A31" s="1"/>
      <c r="B31" s="1"/>
      <c r="C31" s="8" t="s">
        <v>98</v>
      </c>
      <c r="D31" s="8" t="s">
        <v>66</v>
      </c>
      <c r="E31" s="29" t="n">
        <v>0.005</v>
      </c>
      <c r="F31" s="29" t="n">
        <v>0.005</v>
      </c>
      <c r="G31" s="29" t="n">
        <v>0.005</v>
      </c>
      <c r="H31" s="30" t="n">
        <f aca="false">INDEX(E31:G31,1,Dashboard!$C$4)</f>
        <v>0.005</v>
      </c>
      <c r="I31" s="17" t="s">
        <v>99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</row>
    <row r="32" customFormat="false" ht="15" hidden="false" customHeight="false" outlineLevel="0" collapsed="false">
      <c r="A32" s="1"/>
      <c r="B32" s="1"/>
      <c r="C32" s="4" t="s">
        <v>100</v>
      </c>
      <c r="D32" s="8" t="s">
        <v>76</v>
      </c>
      <c r="E32" s="1"/>
      <c r="F32" s="1"/>
      <c r="G32" s="1"/>
      <c r="H32" s="1"/>
      <c r="I32" s="17" t="s">
        <v>101</v>
      </c>
      <c r="J32" s="11" t="n">
        <v>2027</v>
      </c>
      <c r="K32" s="11" t="n">
        <v>2028</v>
      </c>
      <c r="L32" s="11" t="n">
        <v>2029</v>
      </c>
      <c r="M32" s="11" t="n">
        <v>2030</v>
      </c>
      <c r="N32" s="11" t="n">
        <v>2031</v>
      </c>
      <c r="O32" s="11" t="n">
        <v>2032</v>
      </c>
      <c r="P32" s="11" t="n">
        <v>2033</v>
      </c>
      <c r="Q32" s="11" t="n">
        <v>2034</v>
      </c>
      <c r="R32" s="11" t="n">
        <v>2035</v>
      </c>
      <c r="S32" s="11" t="n">
        <v>2036</v>
      </c>
      <c r="T32" s="11" t="n">
        <v>2037</v>
      </c>
      <c r="U32" s="11" t="n">
        <v>2038</v>
      </c>
      <c r="V32" s="11" t="n">
        <v>2039</v>
      </c>
      <c r="W32" s="11" t="n">
        <v>2040</v>
      </c>
      <c r="X32" s="11" t="n">
        <v>2041</v>
      </c>
      <c r="Y32" s="11" t="n">
        <v>2042</v>
      </c>
      <c r="Z32" s="11" t="n">
        <v>2043</v>
      </c>
      <c r="AA32" s="11" t="n">
        <v>2044</v>
      </c>
      <c r="AB32" s="11" t="n">
        <v>2045</v>
      </c>
      <c r="AC32" s="11" t="n">
        <v>2046</v>
      </c>
      <c r="AD32" s="11" t="n">
        <v>2047</v>
      </c>
      <c r="AE32" s="11" t="n">
        <v>2048</v>
      </c>
      <c r="AF32" s="11" t="n">
        <v>2049</v>
      </c>
      <c r="AG32" s="11" t="n">
        <v>2050</v>
      </c>
      <c r="AH32" s="11" t="n">
        <v>2051</v>
      </c>
      <c r="AI32" s="11" t="n">
        <v>2052</v>
      </c>
      <c r="AJ32" s="11" t="n">
        <v>2053</v>
      </c>
      <c r="AK32" s="11" t="n">
        <v>2054</v>
      </c>
      <c r="AL32" s="11" t="n">
        <v>2055</v>
      </c>
      <c r="AM32" s="11" t="n">
        <v>2056</v>
      </c>
      <c r="AN32" s="11" t="n">
        <v>2057</v>
      </c>
      <c r="AO32" s="11" t="n">
        <v>2058</v>
      </c>
      <c r="AP32" s="11" t="n">
        <v>2059</v>
      </c>
      <c r="AQ32" s="11" t="n">
        <v>2060</v>
      </c>
      <c r="AR32" s="11" t="n">
        <v>2061</v>
      </c>
      <c r="AS32" s="11" t="n">
        <v>2062</v>
      </c>
      <c r="AT32" s="11" t="n">
        <v>2063</v>
      </c>
      <c r="AU32" s="11" t="n">
        <v>2064</v>
      </c>
      <c r="AV32" s="11" t="n">
        <v>2065</v>
      </c>
      <c r="AW32" s="11" t="n">
        <v>2066</v>
      </c>
      <c r="AX32" s="11" t="n">
        <v>2067</v>
      </c>
      <c r="AY32" s="11" t="n">
        <v>2068</v>
      </c>
      <c r="AZ32" s="11" t="n">
        <v>2069</v>
      </c>
      <c r="BA32" s="11" t="n">
        <v>2070</v>
      </c>
      <c r="BB32" s="11" t="n">
        <v>2071</v>
      </c>
      <c r="BC32" s="11" t="n">
        <v>2072</v>
      </c>
      <c r="BD32" s="11" t="n">
        <v>2073</v>
      </c>
      <c r="BE32" s="11" t="n">
        <v>2074</v>
      </c>
      <c r="BF32" s="11" t="n">
        <v>2075</v>
      </c>
      <c r="BG32" s="11" t="n">
        <v>2076</v>
      </c>
      <c r="BH32" s="11" t="n">
        <v>2077</v>
      </c>
      <c r="BI32" s="11" t="n">
        <v>2078</v>
      </c>
      <c r="BJ32" s="11" t="n">
        <v>2079</v>
      </c>
      <c r="BK32" s="11" t="n">
        <v>2080</v>
      </c>
      <c r="BL32" s="11" t="n">
        <v>2081</v>
      </c>
      <c r="BM32" s="11" t="n">
        <v>2082</v>
      </c>
      <c r="BN32" s="11" t="n">
        <v>2083</v>
      </c>
      <c r="BO32" s="11" t="n">
        <v>2084</v>
      </c>
      <c r="BP32" s="11" t="n">
        <v>2085</v>
      </c>
      <c r="BQ32" s="11" t="n">
        <v>2086</v>
      </c>
      <c r="BR32" s="11" t="n">
        <v>2087</v>
      </c>
      <c r="BS32" s="11" t="n">
        <v>2088</v>
      </c>
      <c r="BT32" s="11" t="n">
        <v>2089</v>
      </c>
      <c r="BU32" s="11" t="n">
        <v>2090</v>
      </c>
      <c r="BV32" s="11" t="n">
        <v>2091</v>
      </c>
      <c r="BW32" s="11" t="n">
        <v>2092</v>
      </c>
      <c r="BX32" s="11" t="n">
        <v>2093</v>
      </c>
      <c r="BY32" s="11" t="n">
        <v>2094</v>
      </c>
      <c r="BZ32" s="11" t="n">
        <v>2095</v>
      </c>
      <c r="CA32" s="11" t="n">
        <v>2096</v>
      </c>
    </row>
    <row r="33" customFormat="false" ht="15" hidden="false" customHeight="false" outlineLevel="0" collapsed="false">
      <c r="A33" s="1"/>
      <c r="B33" s="1"/>
      <c r="C33" s="8" t="s">
        <v>102</v>
      </c>
      <c r="D33" s="1"/>
      <c r="E33" s="1"/>
      <c r="F33" s="1"/>
      <c r="G33" s="1"/>
      <c r="H33" s="1"/>
      <c r="I33" s="1"/>
      <c r="J33" s="28" t="n">
        <v>440</v>
      </c>
      <c r="K33" s="28" t="n">
        <v>380</v>
      </c>
      <c r="L33" s="28" t="n">
        <v>350</v>
      </c>
      <c r="M33" s="28" t="n">
        <v>320</v>
      </c>
      <c r="N33" s="28" t="n">
        <v>316</v>
      </c>
      <c r="O33" s="28" t="n">
        <v>312</v>
      </c>
      <c r="P33" s="28" t="n">
        <v>308</v>
      </c>
      <c r="Q33" s="28" t="n">
        <v>304</v>
      </c>
      <c r="R33" s="28" t="n">
        <v>300</v>
      </c>
      <c r="S33" s="28" t="n">
        <v>298</v>
      </c>
      <c r="T33" s="28" t="n">
        <v>296</v>
      </c>
      <c r="U33" s="28" t="n">
        <v>294</v>
      </c>
      <c r="V33" s="28" t="n">
        <v>292</v>
      </c>
      <c r="W33" s="28" t="n">
        <v>290</v>
      </c>
      <c r="X33" s="28" t="n">
        <v>289</v>
      </c>
      <c r="Y33" s="28" t="n">
        <v>288</v>
      </c>
      <c r="Z33" s="28" t="n">
        <v>287</v>
      </c>
      <c r="AA33" s="28" t="n">
        <v>286</v>
      </c>
      <c r="AB33" s="28" t="n">
        <v>285</v>
      </c>
      <c r="AC33" s="28" t="n">
        <v>284</v>
      </c>
      <c r="AD33" s="28" t="n">
        <v>283</v>
      </c>
      <c r="AE33" s="28" t="n">
        <v>282</v>
      </c>
      <c r="AF33" s="28" t="n">
        <v>281</v>
      </c>
      <c r="AG33" s="28" t="n">
        <v>280</v>
      </c>
      <c r="AH33" s="28" t="n">
        <v>280</v>
      </c>
      <c r="AI33" s="28" t="n">
        <v>280</v>
      </c>
      <c r="AJ33" s="28" t="n">
        <v>280</v>
      </c>
      <c r="AK33" s="28" t="n">
        <v>280</v>
      </c>
      <c r="AL33" s="28" t="n">
        <v>280</v>
      </c>
      <c r="AM33" s="28" t="n">
        <v>280</v>
      </c>
      <c r="AN33" s="28" t="n">
        <v>280</v>
      </c>
      <c r="AO33" s="28" t="n">
        <v>280</v>
      </c>
      <c r="AP33" s="28" t="n">
        <v>280</v>
      </c>
      <c r="AQ33" s="28" t="n">
        <v>280</v>
      </c>
      <c r="AR33" s="28" t="n">
        <v>280</v>
      </c>
      <c r="AS33" s="28" t="n">
        <v>280</v>
      </c>
      <c r="AT33" s="28" t="n">
        <v>280</v>
      </c>
      <c r="AU33" s="28" t="n">
        <v>280</v>
      </c>
      <c r="AV33" s="28" t="n">
        <v>280</v>
      </c>
      <c r="AW33" s="28" t="n">
        <v>280</v>
      </c>
      <c r="AX33" s="28" t="n">
        <v>280</v>
      </c>
      <c r="AY33" s="28" t="n">
        <v>280</v>
      </c>
      <c r="AZ33" s="28" t="n">
        <v>280</v>
      </c>
      <c r="BA33" s="28" t="n">
        <v>280</v>
      </c>
      <c r="BB33" s="28" t="n">
        <v>280</v>
      </c>
      <c r="BC33" s="28" t="n">
        <v>280</v>
      </c>
      <c r="BD33" s="28" t="n">
        <v>280</v>
      </c>
      <c r="BE33" s="28" t="n">
        <v>280</v>
      </c>
      <c r="BF33" s="28" t="n">
        <v>280</v>
      </c>
      <c r="BG33" s="28" t="n">
        <v>280</v>
      </c>
      <c r="BH33" s="28" t="n">
        <v>280</v>
      </c>
      <c r="BI33" s="28" t="n">
        <v>280</v>
      </c>
      <c r="BJ33" s="28" t="n">
        <v>280</v>
      </c>
      <c r="BK33" s="28" t="n">
        <v>280</v>
      </c>
      <c r="BL33" s="28" t="n">
        <v>280</v>
      </c>
      <c r="BM33" s="28" t="n">
        <v>280</v>
      </c>
      <c r="BN33" s="28" t="n">
        <v>280</v>
      </c>
      <c r="BO33" s="28" t="n">
        <v>280</v>
      </c>
      <c r="BP33" s="28" t="n">
        <v>280</v>
      </c>
      <c r="BQ33" s="28" t="n">
        <v>280</v>
      </c>
      <c r="BR33" s="28" t="n">
        <v>280</v>
      </c>
      <c r="BS33" s="28" t="n">
        <v>280</v>
      </c>
      <c r="BT33" s="28" t="n">
        <v>280</v>
      </c>
      <c r="BU33" s="28" t="n">
        <v>280</v>
      </c>
      <c r="BV33" s="28" t="n">
        <v>280</v>
      </c>
      <c r="BW33" s="28" t="n">
        <v>280</v>
      </c>
      <c r="BX33" s="28" t="n">
        <v>280</v>
      </c>
      <c r="BY33" s="28" t="n">
        <v>280</v>
      </c>
      <c r="BZ33" s="28" t="n">
        <v>280</v>
      </c>
      <c r="CA33" s="28" t="n">
        <v>280</v>
      </c>
    </row>
    <row r="34" customFormat="false" ht="15" hidden="false" customHeight="false" outlineLevel="0" collapsed="false">
      <c r="A34" s="1"/>
      <c r="B34" s="1"/>
      <c r="C34" s="8" t="s">
        <v>103</v>
      </c>
      <c r="D34" s="1"/>
      <c r="E34" s="1"/>
      <c r="F34" s="1"/>
      <c r="G34" s="1"/>
      <c r="H34" s="1"/>
      <c r="I34" s="1"/>
      <c r="J34" s="28" t="n">
        <v>496</v>
      </c>
      <c r="K34" s="28" t="n">
        <v>445</v>
      </c>
      <c r="L34" s="28" t="n">
        <v>420</v>
      </c>
      <c r="M34" s="28" t="n">
        <v>410</v>
      </c>
      <c r="N34" s="28" t="n">
        <v>408</v>
      </c>
      <c r="O34" s="28" t="n">
        <v>406</v>
      </c>
      <c r="P34" s="28" t="n">
        <v>404</v>
      </c>
      <c r="Q34" s="28" t="n">
        <v>402</v>
      </c>
      <c r="R34" s="28" t="n">
        <v>400</v>
      </c>
      <c r="S34" s="28" t="n">
        <v>398</v>
      </c>
      <c r="T34" s="28" t="n">
        <v>396</v>
      </c>
      <c r="U34" s="28" t="n">
        <v>394</v>
      </c>
      <c r="V34" s="28" t="n">
        <v>392</v>
      </c>
      <c r="W34" s="28" t="n">
        <v>390</v>
      </c>
      <c r="X34" s="28" t="n">
        <v>389</v>
      </c>
      <c r="Y34" s="28" t="n">
        <v>388</v>
      </c>
      <c r="Z34" s="28" t="n">
        <v>387</v>
      </c>
      <c r="AA34" s="28" t="n">
        <v>386</v>
      </c>
      <c r="AB34" s="28" t="n">
        <v>385</v>
      </c>
      <c r="AC34" s="28" t="n">
        <v>384</v>
      </c>
      <c r="AD34" s="28" t="n">
        <v>383</v>
      </c>
      <c r="AE34" s="28" t="n">
        <v>382</v>
      </c>
      <c r="AF34" s="28" t="n">
        <v>381</v>
      </c>
      <c r="AG34" s="28" t="n">
        <v>380</v>
      </c>
      <c r="AH34" s="28" t="n">
        <v>380</v>
      </c>
      <c r="AI34" s="28" t="n">
        <v>380</v>
      </c>
      <c r="AJ34" s="28" t="n">
        <v>380</v>
      </c>
      <c r="AK34" s="28" t="n">
        <v>380</v>
      </c>
      <c r="AL34" s="28" t="n">
        <v>380</v>
      </c>
      <c r="AM34" s="28" t="n">
        <v>380</v>
      </c>
      <c r="AN34" s="28" t="n">
        <v>380</v>
      </c>
      <c r="AO34" s="28" t="n">
        <v>380</v>
      </c>
      <c r="AP34" s="28" t="n">
        <v>380</v>
      </c>
      <c r="AQ34" s="28" t="n">
        <v>380</v>
      </c>
      <c r="AR34" s="28" t="n">
        <v>380</v>
      </c>
      <c r="AS34" s="28" t="n">
        <v>380</v>
      </c>
      <c r="AT34" s="28" t="n">
        <v>380</v>
      </c>
      <c r="AU34" s="28" t="n">
        <v>380</v>
      </c>
      <c r="AV34" s="28" t="n">
        <v>380</v>
      </c>
      <c r="AW34" s="28" t="n">
        <v>380</v>
      </c>
      <c r="AX34" s="28" t="n">
        <v>380</v>
      </c>
      <c r="AY34" s="28" t="n">
        <v>380</v>
      </c>
      <c r="AZ34" s="28" t="n">
        <v>380</v>
      </c>
      <c r="BA34" s="28" t="n">
        <v>380</v>
      </c>
      <c r="BB34" s="28" t="n">
        <v>380</v>
      </c>
      <c r="BC34" s="28" t="n">
        <v>380</v>
      </c>
      <c r="BD34" s="28" t="n">
        <v>380</v>
      </c>
      <c r="BE34" s="28" t="n">
        <v>380</v>
      </c>
      <c r="BF34" s="28" t="n">
        <v>380</v>
      </c>
      <c r="BG34" s="28" t="n">
        <v>380</v>
      </c>
      <c r="BH34" s="28" t="n">
        <v>380</v>
      </c>
      <c r="BI34" s="28" t="n">
        <v>380</v>
      </c>
      <c r="BJ34" s="28" t="n">
        <v>380</v>
      </c>
      <c r="BK34" s="28" t="n">
        <v>380</v>
      </c>
      <c r="BL34" s="28" t="n">
        <v>380</v>
      </c>
      <c r="BM34" s="28" t="n">
        <v>380</v>
      </c>
      <c r="BN34" s="28" t="n">
        <v>380</v>
      </c>
      <c r="BO34" s="28" t="n">
        <v>380</v>
      </c>
      <c r="BP34" s="28" t="n">
        <v>380</v>
      </c>
      <c r="BQ34" s="28" t="n">
        <v>380</v>
      </c>
      <c r="BR34" s="28" t="n">
        <v>380</v>
      </c>
      <c r="BS34" s="28" t="n">
        <v>380</v>
      </c>
      <c r="BT34" s="28" t="n">
        <v>380</v>
      </c>
      <c r="BU34" s="28" t="n">
        <v>380</v>
      </c>
      <c r="BV34" s="28" t="n">
        <v>380</v>
      </c>
      <c r="BW34" s="28" t="n">
        <v>380</v>
      </c>
      <c r="BX34" s="28" t="n">
        <v>380</v>
      </c>
      <c r="BY34" s="28" t="n">
        <v>380</v>
      </c>
      <c r="BZ34" s="28" t="n">
        <v>380</v>
      </c>
      <c r="CA34" s="28" t="n">
        <v>380</v>
      </c>
    </row>
    <row r="35" customFormat="false" ht="15" hidden="false" customHeight="false" outlineLevel="0" collapsed="false">
      <c r="A35" s="1"/>
      <c r="B35" s="1"/>
      <c r="C35" s="8" t="s">
        <v>104</v>
      </c>
      <c r="D35" s="1"/>
      <c r="E35" s="1"/>
      <c r="F35" s="1"/>
      <c r="G35" s="1"/>
      <c r="H35" s="1"/>
      <c r="I35" s="1"/>
      <c r="J35" s="28" t="n">
        <v>590</v>
      </c>
      <c r="K35" s="28" t="n">
        <v>520</v>
      </c>
      <c r="L35" s="28" t="n">
        <v>480</v>
      </c>
      <c r="M35" s="28" t="n">
        <v>470</v>
      </c>
      <c r="N35" s="28" t="n">
        <v>472</v>
      </c>
      <c r="O35" s="28" t="n">
        <v>474</v>
      </c>
      <c r="P35" s="28" t="n">
        <v>476</v>
      </c>
      <c r="Q35" s="28" t="n">
        <v>478</v>
      </c>
      <c r="R35" s="28" t="n">
        <v>480</v>
      </c>
      <c r="S35" s="28" t="n">
        <v>484</v>
      </c>
      <c r="T35" s="28" t="n">
        <v>488</v>
      </c>
      <c r="U35" s="28" t="n">
        <v>492</v>
      </c>
      <c r="V35" s="28" t="n">
        <v>496</v>
      </c>
      <c r="W35" s="28" t="n">
        <v>500</v>
      </c>
      <c r="X35" s="28" t="n">
        <v>502</v>
      </c>
      <c r="Y35" s="28" t="n">
        <v>504</v>
      </c>
      <c r="Z35" s="28" t="n">
        <v>506</v>
      </c>
      <c r="AA35" s="28" t="n">
        <v>508</v>
      </c>
      <c r="AB35" s="28" t="n">
        <v>510</v>
      </c>
      <c r="AC35" s="28" t="n">
        <v>512</v>
      </c>
      <c r="AD35" s="28" t="n">
        <v>514</v>
      </c>
      <c r="AE35" s="28" t="n">
        <v>516</v>
      </c>
      <c r="AF35" s="28" t="n">
        <v>518</v>
      </c>
      <c r="AG35" s="28" t="n">
        <v>520</v>
      </c>
      <c r="AH35" s="28" t="n">
        <v>520</v>
      </c>
      <c r="AI35" s="28" t="n">
        <v>520</v>
      </c>
      <c r="AJ35" s="28" t="n">
        <v>520</v>
      </c>
      <c r="AK35" s="28" t="n">
        <v>520</v>
      </c>
      <c r="AL35" s="28" t="n">
        <v>520</v>
      </c>
      <c r="AM35" s="28" t="n">
        <v>520</v>
      </c>
      <c r="AN35" s="28" t="n">
        <v>520</v>
      </c>
      <c r="AO35" s="28" t="n">
        <v>520</v>
      </c>
      <c r="AP35" s="28" t="n">
        <v>520</v>
      </c>
      <c r="AQ35" s="28" t="n">
        <v>520</v>
      </c>
      <c r="AR35" s="28" t="n">
        <v>520</v>
      </c>
      <c r="AS35" s="28" t="n">
        <v>520</v>
      </c>
      <c r="AT35" s="28" t="n">
        <v>520</v>
      </c>
      <c r="AU35" s="28" t="n">
        <v>520</v>
      </c>
      <c r="AV35" s="28" t="n">
        <v>520</v>
      </c>
      <c r="AW35" s="28" t="n">
        <v>520</v>
      </c>
      <c r="AX35" s="28" t="n">
        <v>520</v>
      </c>
      <c r="AY35" s="28" t="n">
        <v>520</v>
      </c>
      <c r="AZ35" s="28" t="n">
        <v>520</v>
      </c>
      <c r="BA35" s="28" t="n">
        <v>520</v>
      </c>
      <c r="BB35" s="28" t="n">
        <v>520</v>
      </c>
      <c r="BC35" s="28" t="n">
        <v>520</v>
      </c>
      <c r="BD35" s="28" t="n">
        <v>520</v>
      </c>
      <c r="BE35" s="28" t="n">
        <v>520</v>
      </c>
      <c r="BF35" s="28" t="n">
        <v>520</v>
      </c>
      <c r="BG35" s="28" t="n">
        <v>520</v>
      </c>
      <c r="BH35" s="28" t="n">
        <v>520</v>
      </c>
      <c r="BI35" s="28" t="n">
        <v>520</v>
      </c>
      <c r="BJ35" s="28" t="n">
        <v>520</v>
      </c>
      <c r="BK35" s="28" t="n">
        <v>520</v>
      </c>
      <c r="BL35" s="28" t="n">
        <v>520</v>
      </c>
      <c r="BM35" s="28" t="n">
        <v>520</v>
      </c>
      <c r="BN35" s="28" t="n">
        <v>520</v>
      </c>
      <c r="BO35" s="28" t="n">
        <v>520</v>
      </c>
      <c r="BP35" s="28" t="n">
        <v>520</v>
      </c>
      <c r="BQ35" s="28" t="n">
        <v>520</v>
      </c>
      <c r="BR35" s="28" t="n">
        <v>520</v>
      </c>
      <c r="BS35" s="28" t="n">
        <v>520</v>
      </c>
      <c r="BT35" s="28" t="n">
        <v>520</v>
      </c>
      <c r="BU35" s="28" t="n">
        <v>520</v>
      </c>
      <c r="BV35" s="28" t="n">
        <v>520</v>
      </c>
      <c r="BW35" s="28" t="n">
        <v>520</v>
      </c>
      <c r="BX35" s="28" t="n">
        <v>520</v>
      </c>
      <c r="BY35" s="28" t="n">
        <v>520</v>
      </c>
      <c r="BZ35" s="28" t="n">
        <v>520</v>
      </c>
      <c r="CA35" s="28" t="n">
        <v>520</v>
      </c>
    </row>
    <row r="36" customFormat="false" ht="15" hidden="false" customHeight="false" outlineLevel="0" collapsed="false">
      <c r="A36" s="1"/>
      <c r="B36" s="1"/>
      <c r="C36" s="4" t="s">
        <v>105</v>
      </c>
      <c r="D36" s="1"/>
      <c r="E36" s="1"/>
      <c r="F36" s="1"/>
      <c r="G36" s="1"/>
      <c r="H36" s="1"/>
      <c r="I36" s="1"/>
      <c r="J36" s="27" t="n">
        <f aca="false">CHOOSE(Dashboard!$C$4,J33,J34,J35)</f>
        <v>496</v>
      </c>
      <c r="K36" s="27" t="n">
        <f aca="false">CHOOSE(Dashboard!$C$4,K33,K34,K35)</f>
        <v>445</v>
      </c>
      <c r="L36" s="27" t="n">
        <f aca="false">CHOOSE(Dashboard!$C$4,L33,L34,L35)</f>
        <v>420</v>
      </c>
      <c r="M36" s="27" t="n">
        <f aca="false">CHOOSE(Dashboard!$C$4,M33,M34,M35)</f>
        <v>410</v>
      </c>
      <c r="N36" s="27" t="n">
        <f aca="false">CHOOSE(Dashboard!$C$4,N33,N34,N35)</f>
        <v>408</v>
      </c>
      <c r="O36" s="27" t="n">
        <f aca="false">CHOOSE(Dashboard!$C$4,O33,O34,O35)</f>
        <v>406</v>
      </c>
      <c r="P36" s="27" t="n">
        <f aca="false">CHOOSE(Dashboard!$C$4,P33,P34,P35)</f>
        <v>404</v>
      </c>
      <c r="Q36" s="27" t="n">
        <f aca="false">CHOOSE(Dashboard!$C$4,Q33,Q34,Q35)</f>
        <v>402</v>
      </c>
      <c r="R36" s="27" t="n">
        <f aca="false">CHOOSE(Dashboard!$C$4,R33,R34,R35)</f>
        <v>400</v>
      </c>
      <c r="S36" s="27" t="n">
        <f aca="false">CHOOSE(Dashboard!$C$4,S33,S34,S35)</f>
        <v>398</v>
      </c>
      <c r="T36" s="27" t="n">
        <f aca="false">CHOOSE(Dashboard!$C$4,T33,T34,T35)</f>
        <v>396</v>
      </c>
      <c r="U36" s="27" t="n">
        <f aca="false">CHOOSE(Dashboard!$C$4,U33,U34,U35)</f>
        <v>394</v>
      </c>
      <c r="V36" s="27" t="n">
        <f aca="false">CHOOSE(Dashboard!$C$4,V33,V34,V35)</f>
        <v>392</v>
      </c>
      <c r="W36" s="27" t="n">
        <f aca="false">CHOOSE(Dashboard!$C$4,W33,W34,W35)</f>
        <v>390</v>
      </c>
      <c r="X36" s="27" t="n">
        <f aca="false">CHOOSE(Dashboard!$C$4,X33,X34,X35)</f>
        <v>389</v>
      </c>
      <c r="Y36" s="27" t="n">
        <f aca="false">CHOOSE(Dashboard!$C$4,Y33,Y34,Y35)</f>
        <v>388</v>
      </c>
      <c r="Z36" s="27" t="n">
        <f aca="false">CHOOSE(Dashboard!$C$4,Z33,Z34,Z35)</f>
        <v>387</v>
      </c>
      <c r="AA36" s="27" t="n">
        <f aca="false">CHOOSE(Dashboard!$C$4,AA33,AA34,AA35)</f>
        <v>386</v>
      </c>
      <c r="AB36" s="27" t="n">
        <f aca="false">CHOOSE(Dashboard!$C$4,AB33,AB34,AB35)</f>
        <v>385</v>
      </c>
      <c r="AC36" s="27" t="n">
        <f aca="false">CHOOSE(Dashboard!$C$4,AC33,AC34,AC35)</f>
        <v>384</v>
      </c>
      <c r="AD36" s="27" t="n">
        <f aca="false">CHOOSE(Dashboard!$C$4,AD33,AD34,AD35)</f>
        <v>383</v>
      </c>
      <c r="AE36" s="27" t="n">
        <f aca="false">CHOOSE(Dashboard!$C$4,AE33,AE34,AE35)</f>
        <v>382</v>
      </c>
      <c r="AF36" s="27" t="n">
        <f aca="false">CHOOSE(Dashboard!$C$4,AF33,AF34,AF35)</f>
        <v>381</v>
      </c>
      <c r="AG36" s="27" t="n">
        <f aca="false">CHOOSE(Dashboard!$C$4,AG33,AG34,AG35)</f>
        <v>380</v>
      </c>
      <c r="AH36" s="27" t="n">
        <f aca="false">CHOOSE(Dashboard!$C$4,AH33,AH34,AH35)</f>
        <v>380</v>
      </c>
      <c r="AI36" s="27" t="n">
        <f aca="false">CHOOSE(Dashboard!$C$4,AI33,AI34,AI35)</f>
        <v>380</v>
      </c>
      <c r="AJ36" s="27" t="n">
        <f aca="false">CHOOSE(Dashboard!$C$4,AJ33,AJ34,AJ35)</f>
        <v>380</v>
      </c>
      <c r="AK36" s="27" t="n">
        <f aca="false">CHOOSE(Dashboard!$C$4,AK33,AK34,AK35)</f>
        <v>380</v>
      </c>
      <c r="AL36" s="27" t="n">
        <f aca="false">CHOOSE(Dashboard!$C$4,AL33,AL34,AL35)</f>
        <v>380</v>
      </c>
      <c r="AM36" s="27" t="n">
        <f aca="false">CHOOSE(Dashboard!$C$4,AM33,AM34,AM35)</f>
        <v>380</v>
      </c>
      <c r="AN36" s="27" t="n">
        <f aca="false">CHOOSE(Dashboard!$C$4,AN33,AN34,AN35)</f>
        <v>380</v>
      </c>
      <c r="AO36" s="27" t="n">
        <f aca="false">CHOOSE(Dashboard!$C$4,AO33,AO34,AO35)</f>
        <v>380</v>
      </c>
      <c r="AP36" s="27" t="n">
        <f aca="false">CHOOSE(Dashboard!$C$4,AP33,AP34,AP35)</f>
        <v>380</v>
      </c>
      <c r="AQ36" s="27" t="n">
        <f aca="false">CHOOSE(Dashboard!$C$4,AQ33,AQ34,AQ35)</f>
        <v>380</v>
      </c>
      <c r="AR36" s="27" t="n">
        <f aca="false">CHOOSE(Dashboard!$C$4,AR33,AR34,AR35)</f>
        <v>380</v>
      </c>
      <c r="AS36" s="27" t="n">
        <f aca="false">CHOOSE(Dashboard!$C$4,AS33,AS34,AS35)</f>
        <v>380</v>
      </c>
      <c r="AT36" s="27" t="n">
        <f aca="false">CHOOSE(Dashboard!$C$4,AT33,AT34,AT35)</f>
        <v>380</v>
      </c>
      <c r="AU36" s="27" t="n">
        <f aca="false">CHOOSE(Dashboard!$C$4,AU33,AU34,AU35)</f>
        <v>380</v>
      </c>
      <c r="AV36" s="27" t="n">
        <f aca="false">CHOOSE(Dashboard!$C$4,AV33,AV34,AV35)</f>
        <v>380</v>
      </c>
      <c r="AW36" s="27" t="n">
        <f aca="false">CHOOSE(Dashboard!$C$4,AW33,AW34,AW35)</f>
        <v>380</v>
      </c>
      <c r="AX36" s="27" t="n">
        <f aca="false">CHOOSE(Dashboard!$C$4,AX33,AX34,AX35)</f>
        <v>380</v>
      </c>
      <c r="AY36" s="27" t="n">
        <f aca="false">CHOOSE(Dashboard!$C$4,AY33,AY34,AY35)</f>
        <v>380</v>
      </c>
      <c r="AZ36" s="27" t="n">
        <f aca="false">CHOOSE(Dashboard!$C$4,AZ33,AZ34,AZ35)</f>
        <v>380</v>
      </c>
      <c r="BA36" s="27" t="n">
        <f aca="false">CHOOSE(Dashboard!$C$4,BA33,BA34,BA35)</f>
        <v>380</v>
      </c>
      <c r="BB36" s="27" t="n">
        <f aca="false">CHOOSE(Dashboard!$C$4,BB33,BB34,BB35)</f>
        <v>380</v>
      </c>
      <c r="BC36" s="27" t="n">
        <f aca="false">CHOOSE(Dashboard!$C$4,BC33,BC34,BC35)</f>
        <v>380</v>
      </c>
      <c r="BD36" s="27" t="n">
        <f aca="false">CHOOSE(Dashboard!$C$4,BD33,BD34,BD35)</f>
        <v>380</v>
      </c>
      <c r="BE36" s="27" t="n">
        <f aca="false">CHOOSE(Dashboard!$C$4,BE33,BE34,BE35)</f>
        <v>380</v>
      </c>
      <c r="BF36" s="27" t="n">
        <f aca="false">CHOOSE(Dashboard!$C$4,BF33,BF34,BF35)</f>
        <v>380</v>
      </c>
      <c r="BG36" s="27" t="n">
        <f aca="false">CHOOSE(Dashboard!$C$4,BG33,BG34,BG35)</f>
        <v>380</v>
      </c>
      <c r="BH36" s="27" t="n">
        <f aca="false">CHOOSE(Dashboard!$C$4,BH33,BH34,BH35)</f>
        <v>380</v>
      </c>
      <c r="BI36" s="27" t="n">
        <f aca="false">CHOOSE(Dashboard!$C$4,BI33,BI34,BI35)</f>
        <v>380</v>
      </c>
      <c r="BJ36" s="27" t="n">
        <f aca="false">CHOOSE(Dashboard!$C$4,BJ33,BJ34,BJ35)</f>
        <v>380</v>
      </c>
      <c r="BK36" s="27" t="n">
        <f aca="false">CHOOSE(Dashboard!$C$4,BK33,BK34,BK35)</f>
        <v>380</v>
      </c>
      <c r="BL36" s="27" t="n">
        <f aca="false">CHOOSE(Dashboard!$C$4,BL33,BL34,BL35)</f>
        <v>380</v>
      </c>
      <c r="BM36" s="27" t="n">
        <f aca="false">CHOOSE(Dashboard!$C$4,BM33,BM34,BM35)</f>
        <v>380</v>
      </c>
      <c r="BN36" s="27" t="n">
        <f aca="false">CHOOSE(Dashboard!$C$4,BN33,BN34,BN35)</f>
        <v>380</v>
      </c>
      <c r="BO36" s="27" t="n">
        <f aca="false">CHOOSE(Dashboard!$C$4,BO33,BO34,BO35)</f>
        <v>380</v>
      </c>
      <c r="BP36" s="27" t="n">
        <f aca="false">CHOOSE(Dashboard!$C$4,BP33,BP34,BP35)</f>
        <v>380</v>
      </c>
      <c r="BQ36" s="27" t="n">
        <f aca="false">CHOOSE(Dashboard!$C$4,BQ33,BQ34,BQ35)</f>
        <v>380</v>
      </c>
      <c r="BR36" s="27" t="n">
        <f aca="false">CHOOSE(Dashboard!$C$4,BR33,BR34,BR35)</f>
        <v>380</v>
      </c>
      <c r="BS36" s="27" t="n">
        <f aca="false">CHOOSE(Dashboard!$C$4,BS33,BS34,BS35)</f>
        <v>380</v>
      </c>
      <c r="BT36" s="27" t="n">
        <f aca="false">CHOOSE(Dashboard!$C$4,BT33,BT34,BT35)</f>
        <v>380</v>
      </c>
      <c r="BU36" s="27" t="n">
        <f aca="false">CHOOSE(Dashboard!$C$4,BU33,BU34,BU35)</f>
        <v>380</v>
      </c>
      <c r="BV36" s="27" t="n">
        <f aca="false">CHOOSE(Dashboard!$C$4,BV33,BV34,BV35)</f>
        <v>380</v>
      </c>
      <c r="BW36" s="27" t="n">
        <f aca="false">CHOOSE(Dashboard!$C$4,BW33,BW34,BW35)</f>
        <v>380</v>
      </c>
      <c r="BX36" s="27" t="n">
        <f aca="false">CHOOSE(Dashboard!$C$4,BX33,BX34,BX35)</f>
        <v>380</v>
      </c>
      <c r="BY36" s="27" t="n">
        <f aca="false">CHOOSE(Dashboard!$C$4,BY33,BY34,BY35)</f>
        <v>380</v>
      </c>
      <c r="BZ36" s="27" t="n">
        <f aca="false">CHOOSE(Dashboard!$C$4,BZ33,BZ34,BZ35)</f>
        <v>380</v>
      </c>
      <c r="CA36" s="27" t="n">
        <f aca="false">CHOOSE(Dashboard!$C$4,CA33,CA34,CA35)</f>
        <v>380</v>
      </c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</row>
    <row r="38" customFormat="false" ht="15" hidden="false" customHeight="false" outlineLevel="0" collapsed="false">
      <c r="A38" s="1"/>
      <c r="B38" s="1"/>
      <c r="C38" s="4" t="s">
        <v>106</v>
      </c>
      <c r="D38" s="8" t="s">
        <v>107</v>
      </c>
      <c r="E38" s="1"/>
      <c r="F38" s="1"/>
      <c r="G38" s="1"/>
      <c r="H38" s="1"/>
      <c r="I38" s="17" t="s">
        <v>108</v>
      </c>
      <c r="J38" s="11" t="n">
        <v>2027</v>
      </c>
      <c r="K38" s="11" t="n">
        <v>2028</v>
      </c>
      <c r="L38" s="11" t="n">
        <v>2029</v>
      </c>
      <c r="M38" s="11" t="n">
        <v>2030</v>
      </c>
      <c r="N38" s="11" t="n">
        <v>2031</v>
      </c>
      <c r="O38" s="11" t="n">
        <v>2032</v>
      </c>
      <c r="P38" s="11" t="n">
        <v>2033</v>
      </c>
      <c r="Q38" s="11" t="n">
        <v>2034</v>
      </c>
      <c r="R38" s="11" t="n">
        <v>2035</v>
      </c>
      <c r="S38" s="11" t="n">
        <v>2036</v>
      </c>
      <c r="T38" s="11" t="n">
        <v>2037</v>
      </c>
      <c r="U38" s="11" t="n">
        <v>2038</v>
      </c>
      <c r="V38" s="11" t="n">
        <v>2039</v>
      </c>
      <c r="W38" s="11" t="n">
        <v>2040</v>
      </c>
      <c r="X38" s="11" t="n">
        <v>2041</v>
      </c>
      <c r="Y38" s="11" t="n">
        <v>2042</v>
      </c>
      <c r="Z38" s="11" t="n">
        <v>2043</v>
      </c>
      <c r="AA38" s="11" t="n">
        <v>2044</v>
      </c>
      <c r="AB38" s="11" t="n">
        <v>2045</v>
      </c>
      <c r="AC38" s="11" t="n">
        <v>2046</v>
      </c>
      <c r="AD38" s="11" t="n">
        <v>2047</v>
      </c>
      <c r="AE38" s="11" t="n">
        <v>2048</v>
      </c>
      <c r="AF38" s="11" t="n">
        <v>2049</v>
      </c>
      <c r="AG38" s="11" t="n">
        <v>2050</v>
      </c>
      <c r="AH38" s="11" t="n">
        <v>2051</v>
      </c>
      <c r="AI38" s="11" t="n">
        <v>2052</v>
      </c>
      <c r="AJ38" s="11" t="n">
        <v>2053</v>
      </c>
      <c r="AK38" s="11" t="n">
        <v>2054</v>
      </c>
      <c r="AL38" s="11" t="n">
        <v>2055</v>
      </c>
      <c r="AM38" s="11" t="n">
        <v>2056</v>
      </c>
      <c r="AN38" s="11" t="n">
        <v>2057</v>
      </c>
      <c r="AO38" s="11" t="n">
        <v>2058</v>
      </c>
      <c r="AP38" s="11" t="n">
        <v>2059</v>
      </c>
      <c r="AQ38" s="11" t="n">
        <v>2060</v>
      </c>
      <c r="AR38" s="11" t="n">
        <v>2061</v>
      </c>
      <c r="AS38" s="11" t="n">
        <v>2062</v>
      </c>
      <c r="AT38" s="11" t="n">
        <v>2063</v>
      </c>
      <c r="AU38" s="11" t="n">
        <v>2064</v>
      </c>
      <c r="AV38" s="11" t="n">
        <v>2065</v>
      </c>
      <c r="AW38" s="11" t="n">
        <v>2066</v>
      </c>
      <c r="AX38" s="11" t="n">
        <v>2067</v>
      </c>
      <c r="AY38" s="11" t="n">
        <v>2068</v>
      </c>
      <c r="AZ38" s="11" t="n">
        <v>2069</v>
      </c>
      <c r="BA38" s="11" t="n">
        <v>2070</v>
      </c>
      <c r="BB38" s="11" t="n">
        <v>2071</v>
      </c>
      <c r="BC38" s="11" t="n">
        <v>2072</v>
      </c>
      <c r="BD38" s="11" t="n">
        <v>2073</v>
      </c>
      <c r="BE38" s="11" t="n">
        <v>2074</v>
      </c>
      <c r="BF38" s="11" t="n">
        <v>2075</v>
      </c>
      <c r="BG38" s="11" t="n">
        <v>2076</v>
      </c>
      <c r="BH38" s="11" t="n">
        <v>2077</v>
      </c>
      <c r="BI38" s="11" t="n">
        <v>2078</v>
      </c>
      <c r="BJ38" s="11" t="n">
        <v>2079</v>
      </c>
      <c r="BK38" s="11" t="n">
        <v>2080</v>
      </c>
      <c r="BL38" s="11" t="n">
        <v>2081</v>
      </c>
      <c r="BM38" s="11" t="n">
        <v>2082</v>
      </c>
      <c r="BN38" s="11" t="n">
        <v>2083</v>
      </c>
      <c r="BO38" s="11" t="n">
        <v>2084</v>
      </c>
      <c r="BP38" s="11" t="n">
        <v>2085</v>
      </c>
      <c r="BQ38" s="11" t="n">
        <v>2086</v>
      </c>
      <c r="BR38" s="11" t="n">
        <v>2087</v>
      </c>
      <c r="BS38" s="11" t="n">
        <v>2088</v>
      </c>
      <c r="BT38" s="11" t="n">
        <v>2089</v>
      </c>
      <c r="BU38" s="11" t="n">
        <v>2090</v>
      </c>
      <c r="BV38" s="11" t="n">
        <v>2091</v>
      </c>
      <c r="BW38" s="11" t="n">
        <v>2092</v>
      </c>
      <c r="BX38" s="11" t="n">
        <v>2093</v>
      </c>
      <c r="BY38" s="11" t="n">
        <v>2094</v>
      </c>
      <c r="BZ38" s="11" t="n">
        <v>2095</v>
      </c>
      <c r="CA38" s="11" t="n">
        <v>2096</v>
      </c>
    </row>
    <row r="39" customFormat="false" ht="15" hidden="false" customHeight="false" outlineLevel="0" collapsed="false">
      <c r="A39" s="1"/>
      <c r="B39" s="1"/>
      <c r="C39" s="8" t="s">
        <v>102</v>
      </c>
      <c r="D39" s="1"/>
      <c r="E39" s="1"/>
      <c r="F39" s="1"/>
      <c r="G39" s="1"/>
      <c r="H39" s="1"/>
      <c r="I39" s="1"/>
      <c r="J39" s="28" t="n">
        <v>180</v>
      </c>
      <c r="K39" s="28" t="n">
        <v>130</v>
      </c>
      <c r="L39" s="28" t="n">
        <v>115</v>
      </c>
      <c r="M39" s="28" t="n">
        <v>110</v>
      </c>
      <c r="N39" s="28" t="n">
        <v>110</v>
      </c>
      <c r="O39" s="28" t="n">
        <v>110</v>
      </c>
      <c r="P39" s="28" t="n">
        <v>110</v>
      </c>
      <c r="Q39" s="28" t="n">
        <v>110</v>
      </c>
      <c r="R39" s="28" t="n">
        <v>110</v>
      </c>
      <c r="S39" s="28" t="n">
        <v>110</v>
      </c>
      <c r="T39" s="28" t="n">
        <v>110</v>
      </c>
      <c r="U39" s="28" t="n">
        <v>110</v>
      </c>
      <c r="V39" s="28" t="n">
        <v>110</v>
      </c>
      <c r="W39" s="28" t="n">
        <v>110</v>
      </c>
      <c r="X39" s="28" t="n">
        <v>110</v>
      </c>
      <c r="Y39" s="28" t="n">
        <v>110</v>
      </c>
      <c r="Z39" s="28" t="n">
        <v>110</v>
      </c>
      <c r="AA39" s="28" t="n">
        <v>110</v>
      </c>
      <c r="AB39" s="28" t="n">
        <v>110</v>
      </c>
      <c r="AC39" s="28" t="n">
        <v>110</v>
      </c>
      <c r="AD39" s="28" t="n">
        <v>110</v>
      </c>
      <c r="AE39" s="28" t="n">
        <v>110</v>
      </c>
      <c r="AF39" s="28" t="n">
        <v>110</v>
      </c>
      <c r="AG39" s="28" t="n">
        <v>110</v>
      </c>
      <c r="AH39" s="28" t="n">
        <v>110</v>
      </c>
      <c r="AI39" s="28" t="n">
        <v>110</v>
      </c>
      <c r="AJ39" s="28" t="n">
        <v>110</v>
      </c>
      <c r="AK39" s="28" t="n">
        <v>110</v>
      </c>
      <c r="AL39" s="28" t="n">
        <v>110</v>
      </c>
      <c r="AM39" s="28" t="n">
        <v>110</v>
      </c>
      <c r="AN39" s="28" t="n">
        <v>110</v>
      </c>
      <c r="AO39" s="28" t="n">
        <v>110</v>
      </c>
      <c r="AP39" s="28" t="n">
        <v>110</v>
      </c>
      <c r="AQ39" s="28" t="n">
        <v>110</v>
      </c>
      <c r="AR39" s="28" t="n">
        <v>110</v>
      </c>
      <c r="AS39" s="28" t="n">
        <v>110</v>
      </c>
      <c r="AT39" s="28" t="n">
        <v>110</v>
      </c>
      <c r="AU39" s="28" t="n">
        <v>110</v>
      </c>
      <c r="AV39" s="28" t="n">
        <v>110</v>
      </c>
      <c r="AW39" s="28" t="n">
        <v>110</v>
      </c>
      <c r="AX39" s="28" t="n">
        <v>110</v>
      </c>
      <c r="AY39" s="28" t="n">
        <v>110</v>
      </c>
      <c r="AZ39" s="28" t="n">
        <v>110</v>
      </c>
      <c r="BA39" s="28" t="n">
        <v>110</v>
      </c>
      <c r="BB39" s="28" t="n">
        <v>110</v>
      </c>
      <c r="BC39" s="28" t="n">
        <v>110</v>
      </c>
      <c r="BD39" s="28" t="n">
        <v>110</v>
      </c>
      <c r="BE39" s="28" t="n">
        <v>110</v>
      </c>
      <c r="BF39" s="28" t="n">
        <v>110</v>
      </c>
      <c r="BG39" s="28" t="n">
        <v>110</v>
      </c>
      <c r="BH39" s="28" t="n">
        <v>110</v>
      </c>
      <c r="BI39" s="28" t="n">
        <v>110</v>
      </c>
      <c r="BJ39" s="28" t="n">
        <v>110</v>
      </c>
      <c r="BK39" s="28" t="n">
        <v>110</v>
      </c>
      <c r="BL39" s="28" t="n">
        <v>110</v>
      </c>
      <c r="BM39" s="28" t="n">
        <v>110</v>
      </c>
      <c r="BN39" s="28" t="n">
        <v>110</v>
      </c>
      <c r="BO39" s="28" t="n">
        <v>110</v>
      </c>
      <c r="BP39" s="28" t="n">
        <v>110</v>
      </c>
      <c r="BQ39" s="28" t="n">
        <v>110</v>
      </c>
      <c r="BR39" s="28" t="n">
        <v>110</v>
      </c>
      <c r="BS39" s="28" t="n">
        <v>110</v>
      </c>
      <c r="BT39" s="28" t="n">
        <v>110</v>
      </c>
      <c r="BU39" s="28" t="n">
        <v>110</v>
      </c>
      <c r="BV39" s="28" t="n">
        <v>110</v>
      </c>
      <c r="BW39" s="28" t="n">
        <v>110</v>
      </c>
      <c r="BX39" s="28" t="n">
        <v>110</v>
      </c>
      <c r="BY39" s="28" t="n">
        <v>110</v>
      </c>
      <c r="BZ39" s="28" t="n">
        <v>110</v>
      </c>
      <c r="CA39" s="28" t="n">
        <v>110</v>
      </c>
    </row>
    <row r="40" customFormat="false" ht="15" hidden="false" customHeight="false" outlineLevel="0" collapsed="false">
      <c r="A40" s="1"/>
      <c r="B40" s="1"/>
      <c r="C40" s="8" t="s">
        <v>103</v>
      </c>
      <c r="D40" s="1"/>
      <c r="E40" s="1"/>
      <c r="F40" s="1"/>
      <c r="G40" s="1"/>
      <c r="H40" s="1"/>
      <c r="I40" s="1"/>
      <c r="J40" s="28" t="n">
        <v>214</v>
      </c>
      <c r="K40" s="28" t="n">
        <v>165</v>
      </c>
      <c r="L40" s="28" t="n">
        <v>145</v>
      </c>
      <c r="M40" s="28" t="n">
        <v>135</v>
      </c>
      <c r="N40" s="28" t="n">
        <v>135</v>
      </c>
      <c r="O40" s="28" t="n">
        <v>135</v>
      </c>
      <c r="P40" s="28" t="n">
        <v>135</v>
      </c>
      <c r="Q40" s="28" t="n">
        <v>135</v>
      </c>
      <c r="R40" s="28" t="n">
        <v>135</v>
      </c>
      <c r="S40" s="28" t="n">
        <v>135</v>
      </c>
      <c r="T40" s="28" t="n">
        <v>135</v>
      </c>
      <c r="U40" s="28" t="n">
        <v>135</v>
      </c>
      <c r="V40" s="28" t="n">
        <v>135</v>
      </c>
      <c r="W40" s="28" t="n">
        <v>135</v>
      </c>
      <c r="X40" s="28" t="n">
        <v>135</v>
      </c>
      <c r="Y40" s="28" t="n">
        <v>135</v>
      </c>
      <c r="Z40" s="28" t="n">
        <v>135</v>
      </c>
      <c r="AA40" s="28" t="n">
        <v>135</v>
      </c>
      <c r="AB40" s="28" t="n">
        <v>135</v>
      </c>
      <c r="AC40" s="28" t="n">
        <v>135</v>
      </c>
      <c r="AD40" s="28" t="n">
        <v>135</v>
      </c>
      <c r="AE40" s="28" t="n">
        <v>135</v>
      </c>
      <c r="AF40" s="28" t="n">
        <v>135</v>
      </c>
      <c r="AG40" s="28" t="n">
        <v>135</v>
      </c>
      <c r="AH40" s="28" t="n">
        <v>135</v>
      </c>
      <c r="AI40" s="28" t="n">
        <v>135</v>
      </c>
      <c r="AJ40" s="28" t="n">
        <v>135</v>
      </c>
      <c r="AK40" s="28" t="n">
        <v>135</v>
      </c>
      <c r="AL40" s="28" t="n">
        <v>135</v>
      </c>
      <c r="AM40" s="28" t="n">
        <v>135</v>
      </c>
      <c r="AN40" s="28" t="n">
        <v>135</v>
      </c>
      <c r="AO40" s="28" t="n">
        <v>135</v>
      </c>
      <c r="AP40" s="28" t="n">
        <v>135</v>
      </c>
      <c r="AQ40" s="28" t="n">
        <v>135</v>
      </c>
      <c r="AR40" s="28" t="n">
        <v>135</v>
      </c>
      <c r="AS40" s="28" t="n">
        <v>135</v>
      </c>
      <c r="AT40" s="28" t="n">
        <v>135</v>
      </c>
      <c r="AU40" s="28" t="n">
        <v>135</v>
      </c>
      <c r="AV40" s="28" t="n">
        <v>135</v>
      </c>
      <c r="AW40" s="28" t="n">
        <v>135</v>
      </c>
      <c r="AX40" s="28" t="n">
        <v>135</v>
      </c>
      <c r="AY40" s="28" t="n">
        <v>135</v>
      </c>
      <c r="AZ40" s="28" t="n">
        <v>135</v>
      </c>
      <c r="BA40" s="28" t="n">
        <v>135</v>
      </c>
      <c r="BB40" s="28" t="n">
        <v>135</v>
      </c>
      <c r="BC40" s="28" t="n">
        <v>135</v>
      </c>
      <c r="BD40" s="28" t="n">
        <v>135</v>
      </c>
      <c r="BE40" s="28" t="n">
        <v>135</v>
      </c>
      <c r="BF40" s="28" t="n">
        <v>135</v>
      </c>
      <c r="BG40" s="28" t="n">
        <v>135</v>
      </c>
      <c r="BH40" s="28" t="n">
        <v>135</v>
      </c>
      <c r="BI40" s="28" t="n">
        <v>135</v>
      </c>
      <c r="BJ40" s="28" t="n">
        <v>135</v>
      </c>
      <c r="BK40" s="28" t="n">
        <v>135</v>
      </c>
      <c r="BL40" s="28" t="n">
        <v>135</v>
      </c>
      <c r="BM40" s="28" t="n">
        <v>135</v>
      </c>
      <c r="BN40" s="28" t="n">
        <v>135</v>
      </c>
      <c r="BO40" s="28" t="n">
        <v>135</v>
      </c>
      <c r="BP40" s="28" t="n">
        <v>135</v>
      </c>
      <c r="BQ40" s="28" t="n">
        <v>135</v>
      </c>
      <c r="BR40" s="28" t="n">
        <v>135</v>
      </c>
      <c r="BS40" s="28" t="n">
        <v>135</v>
      </c>
      <c r="BT40" s="28" t="n">
        <v>135</v>
      </c>
      <c r="BU40" s="28" t="n">
        <v>135</v>
      </c>
      <c r="BV40" s="28" t="n">
        <v>135</v>
      </c>
      <c r="BW40" s="28" t="n">
        <v>135</v>
      </c>
      <c r="BX40" s="28" t="n">
        <v>135</v>
      </c>
      <c r="BY40" s="28" t="n">
        <v>135</v>
      </c>
      <c r="BZ40" s="28" t="n">
        <v>135</v>
      </c>
      <c r="CA40" s="28" t="n">
        <v>135</v>
      </c>
    </row>
    <row r="41" customFormat="false" ht="15" hidden="false" customHeight="false" outlineLevel="0" collapsed="false">
      <c r="A41" s="1"/>
      <c r="B41" s="1"/>
      <c r="C41" s="8" t="s">
        <v>104</v>
      </c>
      <c r="D41" s="1"/>
      <c r="E41" s="1"/>
      <c r="F41" s="1"/>
      <c r="G41" s="1"/>
      <c r="H41" s="1"/>
      <c r="I41" s="1"/>
      <c r="J41" s="28" t="n">
        <v>290</v>
      </c>
      <c r="K41" s="28" t="n">
        <v>200</v>
      </c>
      <c r="L41" s="28" t="n">
        <v>185</v>
      </c>
      <c r="M41" s="28" t="n">
        <v>175</v>
      </c>
      <c r="N41" s="28" t="n">
        <v>175</v>
      </c>
      <c r="O41" s="28" t="n">
        <v>175</v>
      </c>
      <c r="P41" s="28" t="n">
        <v>175</v>
      </c>
      <c r="Q41" s="28" t="n">
        <v>175</v>
      </c>
      <c r="R41" s="28" t="n">
        <v>175</v>
      </c>
      <c r="S41" s="28" t="n">
        <v>175</v>
      </c>
      <c r="T41" s="28" t="n">
        <v>175</v>
      </c>
      <c r="U41" s="28" t="n">
        <v>175</v>
      </c>
      <c r="V41" s="28" t="n">
        <v>175</v>
      </c>
      <c r="W41" s="28" t="n">
        <v>175</v>
      </c>
      <c r="X41" s="28" t="n">
        <v>175</v>
      </c>
      <c r="Y41" s="28" t="n">
        <v>175</v>
      </c>
      <c r="Z41" s="28" t="n">
        <v>175</v>
      </c>
      <c r="AA41" s="28" t="n">
        <v>175</v>
      </c>
      <c r="AB41" s="28" t="n">
        <v>175</v>
      </c>
      <c r="AC41" s="28" t="n">
        <v>175</v>
      </c>
      <c r="AD41" s="28" t="n">
        <v>175</v>
      </c>
      <c r="AE41" s="28" t="n">
        <v>175</v>
      </c>
      <c r="AF41" s="28" t="n">
        <v>175</v>
      </c>
      <c r="AG41" s="28" t="n">
        <v>175</v>
      </c>
      <c r="AH41" s="28" t="n">
        <v>175</v>
      </c>
      <c r="AI41" s="28" t="n">
        <v>175</v>
      </c>
      <c r="AJ41" s="28" t="n">
        <v>175</v>
      </c>
      <c r="AK41" s="28" t="n">
        <v>175</v>
      </c>
      <c r="AL41" s="28" t="n">
        <v>175</v>
      </c>
      <c r="AM41" s="28" t="n">
        <v>175</v>
      </c>
      <c r="AN41" s="28" t="n">
        <v>175</v>
      </c>
      <c r="AO41" s="28" t="n">
        <v>175</v>
      </c>
      <c r="AP41" s="28" t="n">
        <v>175</v>
      </c>
      <c r="AQ41" s="28" t="n">
        <v>175</v>
      </c>
      <c r="AR41" s="28" t="n">
        <v>175</v>
      </c>
      <c r="AS41" s="28" t="n">
        <v>175</v>
      </c>
      <c r="AT41" s="28" t="n">
        <v>175</v>
      </c>
      <c r="AU41" s="28" t="n">
        <v>175</v>
      </c>
      <c r="AV41" s="28" t="n">
        <v>175</v>
      </c>
      <c r="AW41" s="28" t="n">
        <v>175</v>
      </c>
      <c r="AX41" s="28" t="n">
        <v>175</v>
      </c>
      <c r="AY41" s="28" t="n">
        <v>175</v>
      </c>
      <c r="AZ41" s="28" t="n">
        <v>175</v>
      </c>
      <c r="BA41" s="28" t="n">
        <v>175</v>
      </c>
      <c r="BB41" s="28" t="n">
        <v>175</v>
      </c>
      <c r="BC41" s="28" t="n">
        <v>175</v>
      </c>
      <c r="BD41" s="28" t="n">
        <v>175</v>
      </c>
      <c r="BE41" s="28" t="n">
        <v>175</v>
      </c>
      <c r="BF41" s="28" t="n">
        <v>175</v>
      </c>
      <c r="BG41" s="28" t="n">
        <v>175</v>
      </c>
      <c r="BH41" s="28" t="n">
        <v>175</v>
      </c>
      <c r="BI41" s="28" t="n">
        <v>175</v>
      </c>
      <c r="BJ41" s="28" t="n">
        <v>175</v>
      </c>
      <c r="BK41" s="28" t="n">
        <v>175</v>
      </c>
      <c r="BL41" s="28" t="n">
        <v>175</v>
      </c>
      <c r="BM41" s="28" t="n">
        <v>175</v>
      </c>
      <c r="BN41" s="28" t="n">
        <v>175</v>
      </c>
      <c r="BO41" s="28" t="n">
        <v>175</v>
      </c>
      <c r="BP41" s="28" t="n">
        <v>175</v>
      </c>
      <c r="BQ41" s="28" t="n">
        <v>175</v>
      </c>
      <c r="BR41" s="28" t="n">
        <v>175</v>
      </c>
      <c r="BS41" s="28" t="n">
        <v>175</v>
      </c>
      <c r="BT41" s="28" t="n">
        <v>175</v>
      </c>
      <c r="BU41" s="28" t="n">
        <v>175</v>
      </c>
      <c r="BV41" s="28" t="n">
        <v>175</v>
      </c>
      <c r="BW41" s="28" t="n">
        <v>175</v>
      </c>
      <c r="BX41" s="28" t="n">
        <v>175</v>
      </c>
      <c r="BY41" s="28" t="n">
        <v>175</v>
      </c>
      <c r="BZ41" s="28" t="n">
        <v>175</v>
      </c>
      <c r="CA41" s="28" t="n">
        <v>175</v>
      </c>
    </row>
    <row r="42" customFormat="false" ht="15" hidden="false" customHeight="false" outlineLevel="0" collapsed="false">
      <c r="A42" s="1"/>
      <c r="B42" s="1"/>
      <c r="C42" s="4" t="s">
        <v>105</v>
      </c>
      <c r="D42" s="1"/>
      <c r="E42" s="1"/>
      <c r="F42" s="1"/>
      <c r="G42" s="1"/>
      <c r="H42" s="1"/>
      <c r="I42" s="1"/>
      <c r="J42" s="27" t="n">
        <f aca="false">CHOOSE(Dashboard!$C$4,J39,J40,J41)</f>
        <v>214</v>
      </c>
      <c r="K42" s="27" t="n">
        <f aca="false">CHOOSE(Dashboard!$C$4,K39,K40,K41)</f>
        <v>165</v>
      </c>
      <c r="L42" s="27" t="n">
        <f aca="false">CHOOSE(Dashboard!$C$4,L39,L40,L41)</f>
        <v>145</v>
      </c>
      <c r="M42" s="27" t="n">
        <f aca="false">CHOOSE(Dashboard!$C$4,M39,M40,M41)</f>
        <v>135</v>
      </c>
      <c r="N42" s="27" t="n">
        <f aca="false">CHOOSE(Dashboard!$C$4,N39,N40,N41)</f>
        <v>135</v>
      </c>
      <c r="O42" s="27" t="n">
        <f aca="false">CHOOSE(Dashboard!$C$4,O39,O40,O41)</f>
        <v>135</v>
      </c>
      <c r="P42" s="27" t="n">
        <f aca="false">CHOOSE(Dashboard!$C$4,P39,P40,P41)</f>
        <v>135</v>
      </c>
      <c r="Q42" s="27" t="n">
        <f aca="false">CHOOSE(Dashboard!$C$4,Q39,Q40,Q41)</f>
        <v>135</v>
      </c>
      <c r="R42" s="27" t="n">
        <f aca="false">CHOOSE(Dashboard!$C$4,R39,R40,R41)</f>
        <v>135</v>
      </c>
      <c r="S42" s="27" t="n">
        <f aca="false">CHOOSE(Dashboard!$C$4,S39,S40,S41)</f>
        <v>135</v>
      </c>
      <c r="T42" s="27" t="n">
        <f aca="false">CHOOSE(Dashboard!$C$4,T39,T40,T41)</f>
        <v>135</v>
      </c>
      <c r="U42" s="27" t="n">
        <f aca="false">CHOOSE(Dashboard!$C$4,U39,U40,U41)</f>
        <v>135</v>
      </c>
      <c r="V42" s="27" t="n">
        <f aca="false">CHOOSE(Dashboard!$C$4,V39,V40,V41)</f>
        <v>135</v>
      </c>
      <c r="W42" s="27" t="n">
        <f aca="false">CHOOSE(Dashboard!$C$4,W39,W40,W41)</f>
        <v>135</v>
      </c>
      <c r="X42" s="27" t="n">
        <f aca="false">CHOOSE(Dashboard!$C$4,X39,X40,X41)</f>
        <v>135</v>
      </c>
      <c r="Y42" s="27" t="n">
        <f aca="false">CHOOSE(Dashboard!$C$4,Y39,Y40,Y41)</f>
        <v>135</v>
      </c>
      <c r="Z42" s="27" t="n">
        <f aca="false">CHOOSE(Dashboard!$C$4,Z39,Z40,Z41)</f>
        <v>135</v>
      </c>
      <c r="AA42" s="27" t="n">
        <f aca="false">CHOOSE(Dashboard!$C$4,AA39,AA40,AA41)</f>
        <v>135</v>
      </c>
      <c r="AB42" s="27" t="n">
        <f aca="false">CHOOSE(Dashboard!$C$4,AB39,AB40,AB41)</f>
        <v>135</v>
      </c>
      <c r="AC42" s="27" t="n">
        <f aca="false">CHOOSE(Dashboard!$C$4,AC39,AC40,AC41)</f>
        <v>135</v>
      </c>
      <c r="AD42" s="27" t="n">
        <f aca="false">CHOOSE(Dashboard!$C$4,AD39,AD40,AD41)</f>
        <v>135</v>
      </c>
      <c r="AE42" s="27" t="n">
        <f aca="false">CHOOSE(Dashboard!$C$4,AE39,AE40,AE41)</f>
        <v>135</v>
      </c>
      <c r="AF42" s="27" t="n">
        <f aca="false">CHOOSE(Dashboard!$C$4,AF39,AF40,AF41)</f>
        <v>135</v>
      </c>
      <c r="AG42" s="27" t="n">
        <f aca="false">CHOOSE(Dashboard!$C$4,AG39,AG40,AG41)</f>
        <v>135</v>
      </c>
      <c r="AH42" s="27" t="n">
        <f aca="false">CHOOSE(Dashboard!$C$4,AH39,AH40,AH41)</f>
        <v>135</v>
      </c>
      <c r="AI42" s="27" t="n">
        <f aca="false">CHOOSE(Dashboard!$C$4,AI39,AI40,AI41)</f>
        <v>135</v>
      </c>
      <c r="AJ42" s="27" t="n">
        <f aca="false">CHOOSE(Dashboard!$C$4,AJ39,AJ40,AJ41)</f>
        <v>135</v>
      </c>
      <c r="AK42" s="27" t="n">
        <f aca="false">CHOOSE(Dashboard!$C$4,AK39,AK40,AK41)</f>
        <v>135</v>
      </c>
      <c r="AL42" s="27" t="n">
        <f aca="false">CHOOSE(Dashboard!$C$4,AL39,AL40,AL41)</f>
        <v>135</v>
      </c>
      <c r="AM42" s="27" t="n">
        <f aca="false">CHOOSE(Dashboard!$C$4,AM39,AM40,AM41)</f>
        <v>135</v>
      </c>
      <c r="AN42" s="27" t="n">
        <f aca="false">CHOOSE(Dashboard!$C$4,AN39,AN40,AN41)</f>
        <v>135</v>
      </c>
      <c r="AO42" s="27" t="n">
        <f aca="false">CHOOSE(Dashboard!$C$4,AO39,AO40,AO41)</f>
        <v>135</v>
      </c>
      <c r="AP42" s="27" t="n">
        <f aca="false">CHOOSE(Dashboard!$C$4,AP39,AP40,AP41)</f>
        <v>135</v>
      </c>
      <c r="AQ42" s="27" t="n">
        <f aca="false">CHOOSE(Dashboard!$C$4,AQ39,AQ40,AQ41)</f>
        <v>135</v>
      </c>
      <c r="AR42" s="27" t="n">
        <f aca="false">CHOOSE(Dashboard!$C$4,AR39,AR40,AR41)</f>
        <v>135</v>
      </c>
      <c r="AS42" s="27" t="n">
        <f aca="false">CHOOSE(Dashboard!$C$4,AS39,AS40,AS41)</f>
        <v>135</v>
      </c>
      <c r="AT42" s="27" t="n">
        <f aca="false">CHOOSE(Dashboard!$C$4,AT39,AT40,AT41)</f>
        <v>135</v>
      </c>
      <c r="AU42" s="27" t="n">
        <f aca="false">CHOOSE(Dashboard!$C$4,AU39,AU40,AU41)</f>
        <v>135</v>
      </c>
      <c r="AV42" s="27" t="n">
        <f aca="false">CHOOSE(Dashboard!$C$4,AV39,AV40,AV41)</f>
        <v>135</v>
      </c>
      <c r="AW42" s="27" t="n">
        <f aca="false">CHOOSE(Dashboard!$C$4,AW39,AW40,AW41)</f>
        <v>135</v>
      </c>
      <c r="AX42" s="27" t="n">
        <f aca="false">CHOOSE(Dashboard!$C$4,AX39,AX40,AX41)</f>
        <v>135</v>
      </c>
      <c r="AY42" s="27" t="n">
        <f aca="false">CHOOSE(Dashboard!$C$4,AY39,AY40,AY41)</f>
        <v>135</v>
      </c>
      <c r="AZ42" s="27" t="n">
        <f aca="false">CHOOSE(Dashboard!$C$4,AZ39,AZ40,AZ41)</f>
        <v>135</v>
      </c>
      <c r="BA42" s="27" t="n">
        <f aca="false">CHOOSE(Dashboard!$C$4,BA39,BA40,BA41)</f>
        <v>135</v>
      </c>
      <c r="BB42" s="27" t="n">
        <f aca="false">CHOOSE(Dashboard!$C$4,BB39,BB40,BB41)</f>
        <v>135</v>
      </c>
      <c r="BC42" s="27" t="n">
        <f aca="false">CHOOSE(Dashboard!$C$4,BC39,BC40,BC41)</f>
        <v>135</v>
      </c>
      <c r="BD42" s="27" t="n">
        <f aca="false">CHOOSE(Dashboard!$C$4,BD39,BD40,BD41)</f>
        <v>135</v>
      </c>
      <c r="BE42" s="27" t="n">
        <f aca="false">CHOOSE(Dashboard!$C$4,BE39,BE40,BE41)</f>
        <v>135</v>
      </c>
      <c r="BF42" s="27" t="n">
        <f aca="false">CHOOSE(Dashboard!$C$4,BF39,BF40,BF41)</f>
        <v>135</v>
      </c>
      <c r="BG42" s="27" t="n">
        <f aca="false">CHOOSE(Dashboard!$C$4,BG39,BG40,BG41)</f>
        <v>135</v>
      </c>
      <c r="BH42" s="27" t="n">
        <f aca="false">CHOOSE(Dashboard!$C$4,BH39,BH40,BH41)</f>
        <v>135</v>
      </c>
      <c r="BI42" s="27" t="n">
        <f aca="false">CHOOSE(Dashboard!$C$4,BI39,BI40,BI41)</f>
        <v>135</v>
      </c>
      <c r="BJ42" s="27" t="n">
        <f aca="false">CHOOSE(Dashboard!$C$4,BJ39,BJ40,BJ41)</f>
        <v>135</v>
      </c>
      <c r="BK42" s="27" t="n">
        <f aca="false">CHOOSE(Dashboard!$C$4,BK39,BK40,BK41)</f>
        <v>135</v>
      </c>
      <c r="BL42" s="27" t="n">
        <f aca="false">CHOOSE(Dashboard!$C$4,BL39,BL40,BL41)</f>
        <v>135</v>
      </c>
      <c r="BM42" s="27" t="n">
        <f aca="false">CHOOSE(Dashboard!$C$4,BM39,BM40,BM41)</f>
        <v>135</v>
      </c>
      <c r="BN42" s="27" t="n">
        <f aca="false">CHOOSE(Dashboard!$C$4,BN39,BN40,BN41)</f>
        <v>135</v>
      </c>
      <c r="BO42" s="27" t="n">
        <f aca="false">CHOOSE(Dashboard!$C$4,BO39,BO40,BO41)</f>
        <v>135</v>
      </c>
      <c r="BP42" s="27" t="n">
        <f aca="false">CHOOSE(Dashboard!$C$4,BP39,BP40,BP41)</f>
        <v>135</v>
      </c>
      <c r="BQ42" s="27" t="n">
        <f aca="false">CHOOSE(Dashboard!$C$4,BQ39,BQ40,BQ41)</f>
        <v>135</v>
      </c>
      <c r="BR42" s="27" t="n">
        <f aca="false">CHOOSE(Dashboard!$C$4,BR39,BR40,BR41)</f>
        <v>135</v>
      </c>
      <c r="BS42" s="27" t="n">
        <f aca="false">CHOOSE(Dashboard!$C$4,BS39,BS40,BS41)</f>
        <v>135</v>
      </c>
      <c r="BT42" s="27" t="n">
        <f aca="false">CHOOSE(Dashboard!$C$4,BT39,BT40,BT41)</f>
        <v>135</v>
      </c>
      <c r="BU42" s="27" t="n">
        <f aca="false">CHOOSE(Dashboard!$C$4,BU39,BU40,BU41)</f>
        <v>135</v>
      </c>
      <c r="BV42" s="27" t="n">
        <f aca="false">CHOOSE(Dashboard!$C$4,BV39,BV40,BV41)</f>
        <v>135</v>
      </c>
      <c r="BW42" s="27" t="n">
        <f aca="false">CHOOSE(Dashboard!$C$4,BW39,BW40,BW41)</f>
        <v>135</v>
      </c>
      <c r="BX42" s="27" t="n">
        <f aca="false">CHOOSE(Dashboard!$C$4,BX39,BX40,BX41)</f>
        <v>135</v>
      </c>
      <c r="BY42" s="27" t="n">
        <f aca="false">CHOOSE(Dashboard!$C$4,BY39,BY40,BY41)</f>
        <v>135</v>
      </c>
      <c r="BZ42" s="27" t="n">
        <f aca="false">CHOOSE(Dashboard!$C$4,BZ39,BZ40,BZ41)</f>
        <v>135</v>
      </c>
      <c r="CA42" s="27" t="n">
        <f aca="false">CHOOSE(Dashboard!$C$4,CA39,CA40,CA41)</f>
        <v>135</v>
      </c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</row>
    <row r="44" customFormat="false" ht="15" hidden="false" customHeight="false" outlineLevel="0" collapsed="false">
      <c r="A44" s="1"/>
      <c r="B44" s="1"/>
      <c r="C44" s="4" t="s">
        <v>109</v>
      </c>
      <c r="D44" s="8" t="s">
        <v>110</v>
      </c>
      <c r="E44" s="1"/>
      <c r="F44" s="1"/>
      <c r="G44" s="1"/>
      <c r="H44" s="1"/>
      <c r="I44" s="17" t="s">
        <v>111</v>
      </c>
      <c r="J44" s="11" t="n">
        <v>2027</v>
      </c>
      <c r="K44" s="11" t="n">
        <v>2028</v>
      </c>
      <c r="L44" s="11" t="n">
        <v>2029</v>
      </c>
      <c r="M44" s="11" t="n">
        <v>2030</v>
      </c>
      <c r="N44" s="11" t="n">
        <v>2031</v>
      </c>
      <c r="O44" s="11" t="n">
        <v>2032</v>
      </c>
      <c r="P44" s="11" t="n">
        <v>2033</v>
      </c>
      <c r="Q44" s="11" t="n">
        <v>2034</v>
      </c>
      <c r="R44" s="11" t="n">
        <v>2035</v>
      </c>
      <c r="S44" s="11" t="n">
        <v>2036</v>
      </c>
      <c r="T44" s="11" t="n">
        <v>2037</v>
      </c>
      <c r="U44" s="11" t="n">
        <v>2038</v>
      </c>
      <c r="V44" s="11" t="n">
        <v>2039</v>
      </c>
      <c r="W44" s="11" t="n">
        <v>2040</v>
      </c>
      <c r="X44" s="11" t="n">
        <v>2041</v>
      </c>
      <c r="Y44" s="11" t="n">
        <v>2042</v>
      </c>
      <c r="Z44" s="11" t="n">
        <v>2043</v>
      </c>
      <c r="AA44" s="11" t="n">
        <v>2044</v>
      </c>
      <c r="AB44" s="11" t="n">
        <v>2045</v>
      </c>
      <c r="AC44" s="11" t="n">
        <v>2046</v>
      </c>
      <c r="AD44" s="11" t="n">
        <v>2047</v>
      </c>
      <c r="AE44" s="11" t="n">
        <v>2048</v>
      </c>
      <c r="AF44" s="11" t="n">
        <v>2049</v>
      </c>
      <c r="AG44" s="11" t="n">
        <v>2050</v>
      </c>
      <c r="AH44" s="11" t="n">
        <v>2051</v>
      </c>
      <c r="AI44" s="11" t="n">
        <v>2052</v>
      </c>
      <c r="AJ44" s="11" t="n">
        <v>2053</v>
      </c>
      <c r="AK44" s="11" t="n">
        <v>2054</v>
      </c>
      <c r="AL44" s="11" t="n">
        <v>2055</v>
      </c>
      <c r="AM44" s="11" t="n">
        <v>2056</v>
      </c>
      <c r="AN44" s="11" t="n">
        <v>2057</v>
      </c>
      <c r="AO44" s="11" t="n">
        <v>2058</v>
      </c>
      <c r="AP44" s="11" t="n">
        <v>2059</v>
      </c>
      <c r="AQ44" s="11" t="n">
        <v>2060</v>
      </c>
      <c r="AR44" s="11" t="n">
        <v>2061</v>
      </c>
      <c r="AS44" s="11" t="n">
        <v>2062</v>
      </c>
      <c r="AT44" s="11" t="n">
        <v>2063</v>
      </c>
      <c r="AU44" s="11" t="n">
        <v>2064</v>
      </c>
      <c r="AV44" s="11" t="n">
        <v>2065</v>
      </c>
      <c r="AW44" s="11" t="n">
        <v>2066</v>
      </c>
      <c r="AX44" s="11" t="n">
        <v>2067</v>
      </c>
      <c r="AY44" s="11" t="n">
        <v>2068</v>
      </c>
      <c r="AZ44" s="11" t="n">
        <v>2069</v>
      </c>
      <c r="BA44" s="11" t="n">
        <v>2070</v>
      </c>
      <c r="BB44" s="11" t="n">
        <v>2071</v>
      </c>
      <c r="BC44" s="11" t="n">
        <v>2072</v>
      </c>
      <c r="BD44" s="11" t="n">
        <v>2073</v>
      </c>
      <c r="BE44" s="11" t="n">
        <v>2074</v>
      </c>
      <c r="BF44" s="11" t="n">
        <v>2075</v>
      </c>
      <c r="BG44" s="11" t="n">
        <v>2076</v>
      </c>
      <c r="BH44" s="11" t="n">
        <v>2077</v>
      </c>
      <c r="BI44" s="11" t="n">
        <v>2078</v>
      </c>
      <c r="BJ44" s="11" t="n">
        <v>2079</v>
      </c>
      <c r="BK44" s="11" t="n">
        <v>2080</v>
      </c>
      <c r="BL44" s="11" t="n">
        <v>2081</v>
      </c>
      <c r="BM44" s="11" t="n">
        <v>2082</v>
      </c>
      <c r="BN44" s="11" t="n">
        <v>2083</v>
      </c>
      <c r="BO44" s="11" t="n">
        <v>2084</v>
      </c>
      <c r="BP44" s="11" t="n">
        <v>2085</v>
      </c>
      <c r="BQ44" s="11" t="n">
        <v>2086</v>
      </c>
      <c r="BR44" s="11" t="n">
        <v>2087</v>
      </c>
      <c r="BS44" s="11" t="n">
        <v>2088</v>
      </c>
      <c r="BT44" s="11" t="n">
        <v>2089</v>
      </c>
      <c r="BU44" s="11" t="n">
        <v>2090</v>
      </c>
      <c r="BV44" s="11" t="n">
        <v>2091</v>
      </c>
      <c r="BW44" s="11" t="n">
        <v>2092</v>
      </c>
      <c r="BX44" s="11" t="n">
        <v>2093</v>
      </c>
      <c r="BY44" s="11" t="n">
        <v>2094</v>
      </c>
      <c r="BZ44" s="11" t="n">
        <v>2095</v>
      </c>
      <c r="CA44" s="11" t="n">
        <v>2096</v>
      </c>
    </row>
    <row r="45" customFormat="false" ht="15" hidden="false" customHeight="false" outlineLevel="0" collapsed="false">
      <c r="A45" s="1"/>
      <c r="B45" s="1"/>
      <c r="C45" s="8" t="s">
        <v>102</v>
      </c>
      <c r="D45" s="1"/>
      <c r="E45" s="1"/>
      <c r="F45" s="1"/>
      <c r="G45" s="1"/>
      <c r="H45" s="1"/>
      <c r="I45" s="1"/>
      <c r="J45" s="28" t="n">
        <v>70</v>
      </c>
      <c r="K45" s="28" t="n">
        <v>73.3333333333333</v>
      </c>
      <c r="L45" s="28" t="n">
        <v>76.6666666666667</v>
      </c>
      <c r="M45" s="28" t="n">
        <v>80</v>
      </c>
      <c r="N45" s="28" t="n">
        <v>82</v>
      </c>
      <c r="O45" s="28" t="n">
        <v>84</v>
      </c>
      <c r="P45" s="28" t="n">
        <v>86</v>
      </c>
      <c r="Q45" s="28" t="n">
        <v>88</v>
      </c>
      <c r="R45" s="28" t="n">
        <v>90</v>
      </c>
      <c r="S45" s="28" t="n">
        <v>90</v>
      </c>
      <c r="T45" s="28" t="n">
        <v>90</v>
      </c>
      <c r="U45" s="28" t="n">
        <v>90</v>
      </c>
      <c r="V45" s="28" t="n">
        <v>90</v>
      </c>
      <c r="W45" s="28" t="n">
        <v>90</v>
      </c>
      <c r="X45" s="28" t="n">
        <v>90</v>
      </c>
      <c r="Y45" s="28" t="n">
        <v>90</v>
      </c>
      <c r="Z45" s="28" t="n">
        <v>90</v>
      </c>
      <c r="AA45" s="28" t="n">
        <v>90</v>
      </c>
      <c r="AB45" s="28" t="n">
        <v>90</v>
      </c>
      <c r="AC45" s="28" t="n">
        <v>90</v>
      </c>
      <c r="AD45" s="28" t="n">
        <v>90</v>
      </c>
      <c r="AE45" s="28" t="n">
        <v>90</v>
      </c>
      <c r="AF45" s="28" t="n">
        <v>90</v>
      </c>
      <c r="AG45" s="28" t="n">
        <v>90</v>
      </c>
      <c r="AH45" s="28" t="n">
        <v>90</v>
      </c>
      <c r="AI45" s="28" t="n">
        <v>90</v>
      </c>
      <c r="AJ45" s="28" t="n">
        <v>90</v>
      </c>
      <c r="AK45" s="28" t="n">
        <v>90</v>
      </c>
      <c r="AL45" s="28" t="n">
        <v>90</v>
      </c>
      <c r="AM45" s="28" t="n">
        <v>90</v>
      </c>
      <c r="AN45" s="28" t="n">
        <v>90</v>
      </c>
      <c r="AO45" s="28" t="n">
        <v>90</v>
      </c>
      <c r="AP45" s="28" t="n">
        <v>90</v>
      </c>
      <c r="AQ45" s="28" t="n">
        <v>90</v>
      </c>
      <c r="AR45" s="28" t="n">
        <v>90</v>
      </c>
      <c r="AS45" s="28" t="n">
        <v>90</v>
      </c>
      <c r="AT45" s="28" t="n">
        <v>90</v>
      </c>
      <c r="AU45" s="28" t="n">
        <v>90</v>
      </c>
      <c r="AV45" s="28" t="n">
        <v>90</v>
      </c>
      <c r="AW45" s="28" t="n">
        <v>90</v>
      </c>
      <c r="AX45" s="28" t="n">
        <v>90</v>
      </c>
      <c r="AY45" s="28" t="n">
        <v>90</v>
      </c>
      <c r="AZ45" s="28" t="n">
        <v>90</v>
      </c>
      <c r="BA45" s="28" t="n">
        <v>90</v>
      </c>
      <c r="BB45" s="28" t="n">
        <v>90</v>
      </c>
      <c r="BC45" s="28" t="n">
        <v>90</v>
      </c>
      <c r="BD45" s="28" t="n">
        <v>90</v>
      </c>
      <c r="BE45" s="28" t="n">
        <v>90</v>
      </c>
      <c r="BF45" s="28" t="n">
        <v>90</v>
      </c>
      <c r="BG45" s="28" t="n">
        <v>90</v>
      </c>
      <c r="BH45" s="28" t="n">
        <v>90</v>
      </c>
      <c r="BI45" s="28" t="n">
        <v>90</v>
      </c>
      <c r="BJ45" s="28" t="n">
        <v>90</v>
      </c>
      <c r="BK45" s="28" t="n">
        <v>90</v>
      </c>
      <c r="BL45" s="28" t="n">
        <v>90</v>
      </c>
      <c r="BM45" s="28" t="n">
        <v>90</v>
      </c>
      <c r="BN45" s="28" t="n">
        <v>90</v>
      </c>
      <c r="BO45" s="28" t="n">
        <v>90</v>
      </c>
      <c r="BP45" s="28" t="n">
        <v>90</v>
      </c>
      <c r="BQ45" s="28" t="n">
        <v>90</v>
      </c>
      <c r="BR45" s="28" t="n">
        <v>90</v>
      </c>
      <c r="BS45" s="28" t="n">
        <v>90</v>
      </c>
      <c r="BT45" s="28" t="n">
        <v>90</v>
      </c>
      <c r="BU45" s="28" t="n">
        <v>90</v>
      </c>
      <c r="BV45" s="28" t="n">
        <v>90</v>
      </c>
      <c r="BW45" s="28" t="n">
        <v>90</v>
      </c>
      <c r="BX45" s="28" t="n">
        <v>90</v>
      </c>
      <c r="BY45" s="28" t="n">
        <v>90</v>
      </c>
      <c r="BZ45" s="28" t="n">
        <v>90</v>
      </c>
      <c r="CA45" s="28" t="n">
        <v>90</v>
      </c>
    </row>
    <row r="46" customFormat="false" ht="15" hidden="false" customHeight="false" outlineLevel="0" collapsed="false">
      <c r="A46" s="1"/>
      <c r="B46" s="1"/>
      <c r="C46" s="8" t="s">
        <v>103</v>
      </c>
      <c r="D46" s="1"/>
      <c r="E46" s="1"/>
      <c r="F46" s="1"/>
      <c r="G46" s="1"/>
      <c r="H46" s="1"/>
      <c r="I46" s="1"/>
      <c r="J46" s="28" t="n">
        <v>90</v>
      </c>
      <c r="K46" s="28" t="n">
        <v>98.3333333333333</v>
      </c>
      <c r="L46" s="28" t="n">
        <v>106.666666666667</v>
      </c>
      <c r="M46" s="28" t="n">
        <v>115</v>
      </c>
      <c r="N46" s="28" t="n">
        <v>120</v>
      </c>
      <c r="O46" s="28" t="n">
        <v>125</v>
      </c>
      <c r="P46" s="28" t="n">
        <v>130</v>
      </c>
      <c r="Q46" s="28" t="n">
        <v>135</v>
      </c>
      <c r="R46" s="28" t="n">
        <v>140</v>
      </c>
      <c r="S46" s="28" t="n">
        <v>142</v>
      </c>
      <c r="T46" s="28" t="n">
        <v>144</v>
      </c>
      <c r="U46" s="28" t="n">
        <v>146</v>
      </c>
      <c r="V46" s="28" t="n">
        <v>148</v>
      </c>
      <c r="W46" s="28" t="n">
        <v>150</v>
      </c>
      <c r="X46" s="28" t="n">
        <v>150</v>
      </c>
      <c r="Y46" s="28" t="n">
        <v>150</v>
      </c>
      <c r="Z46" s="28" t="n">
        <v>150</v>
      </c>
      <c r="AA46" s="28" t="n">
        <v>150</v>
      </c>
      <c r="AB46" s="28" t="n">
        <v>150</v>
      </c>
      <c r="AC46" s="28" t="n">
        <v>150</v>
      </c>
      <c r="AD46" s="28" t="n">
        <v>150</v>
      </c>
      <c r="AE46" s="28" t="n">
        <v>150</v>
      </c>
      <c r="AF46" s="28" t="n">
        <v>150</v>
      </c>
      <c r="AG46" s="28" t="n">
        <v>150</v>
      </c>
      <c r="AH46" s="28" t="n">
        <v>150</v>
      </c>
      <c r="AI46" s="28" t="n">
        <v>150</v>
      </c>
      <c r="AJ46" s="28" t="n">
        <v>150</v>
      </c>
      <c r="AK46" s="28" t="n">
        <v>150</v>
      </c>
      <c r="AL46" s="28" t="n">
        <v>150</v>
      </c>
      <c r="AM46" s="28" t="n">
        <v>150</v>
      </c>
      <c r="AN46" s="28" t="n">
        <v>150</v>
      </c>
      <c r="AO46" s="28" t="n">
        <v>150</v>
      </c>
      <c r="AP46" s="28" t="n">
        <v>150</v>
      </c>
      <c r="AQ46" s="28" t="n">
        <v>150</v>
      </c>
      <c r="AR46" s="28" t="n">
        <v>150</v>
      </c>
      <c r="AS46" s="28" t="n">
        <v>150</v>
      </c>
      <c r="AT46" s="28" t="n">
        <v>150</v>
      </c>
      <c r="AU46" s="28" t="n">
        <v>150</v>
      </c>
      <c r="AV46" s="28" t="n">
        <v>150</v>
      </c>
      <c r="AW46" s="28" t="n">
        <v>150</v>
      </c>
      <c r="AX46" s="28" t="n">
        <v>150</v>
      </c>
      <c r="AY46" s="28" t="n">
        <v>150</v>
      </c>
      <c r="AZ46" s="28" t="n">
        <v>150</v>
      </c>
      <c r="BA46" s="28" t="n">
        <v>150</v>
      </c>
      <c r="BB46" s="28" t="n">
        <v>150</v>
      </c>
      <c r="BC46" s="28" t="n">
        <v>150</v>
      </c>
      <c r="BD46" s="28" t="n">
        <v>150</v>
      </c>
      <c r="BE46" s="28" t="n">
        <v>150</v>
      </c>
      <c r="BF46" s="28" t="n">
        <v>150</v>
      </c>
      <c r="BG46" s="28" t="n">
        <v>150</v>
      </c>
      <c r="BH46" s="28" t="n">
        <v>150</v>
      </c>
      <c r="BI46" s="28" t="n">
        <v>150</v>
      </c>
      <c r="BJ46" s="28" t="n">
        <v>150</v>
      </c>
      <c r="BK46" s="28" t="n">
        <v>150</v>
      </c>
      <c r="BL46" s="28" t="n">
        <v>150</v>
      </c>
      <c r="BM46" s="28" t="n">
        <v>150</v>
      </c>
      <c r="BN46" s="28" t="n">
        <v>150</v>
      </c>
      <c r="BO46" s="28" t="n">
        <v>150</v>
      </c>
      <c r="BP46" s="28" t="n">
        <v>150</v>
      </c>
      <c r="BQ46" s="28" t="n">
        <v>150</v>
      </c>
      <c r="BR46" s="28" t="n">
        <v>150</v>
      </c>
      <c r="BS46" s="28" t="n">
        <v>150</v>
      </c>
      <c r="BT46" s="28" t="n">
        <v>150</v>
      </c>
      <c r="BU46" s="28" t="n">
        <v>150</v>
      </c>
      <c r="BV46" s="28" t="n">
        <v>150</v>
      </c>
      <c r="BW46" s="28" t="n">
        <v>150</v>
      </c>
      <c r="BX46" s="28" t="n">
        <v>150</v>
      </c>
      <c r="BY46" s="28" t="n">
        <v>150</v>
      </c>
      <c r="BZ46" s="28" t="n">
        <v>150</v>
      </c>
      <c r="CA46" s="28" t="n">
        <v>150</v>
      </c>
    </row>
    <row r="47" customFormat="false" ht="15" hidden="false" customHeight="false" outlineLevel="0" collapsed="false">
      <c r="A47" s="1"/>
      <c r="B47" s="1"/>
      <c r="C47" s="8" t="s">
        <v>104</v>
      </c>
      <c r="D47" s="1"/>
      <c r="E47" s="1"/>
      <c r="F47" s="1"/>
      <c r="G47" s="1"/>
      <c r="H47" s="1"/>
      <c r="I47" s="1"/>
      <c r="J47" s="28" t="n">
        <v>105</v>
      </c>
      <c r="K47" s="28" t="n">
        <v>118.333333333333</v>
      </c>
      <c r="L47" s="28" t="n">
        <v>131.666666666667</v>
      </c>
      <c r="M47" s="28" t="n">
        <v>145</v>
      </c>
      <c r="N47" s="28" t="n">
        <v>156</v>
      </c>
      <c r="O47" s="28" t="n">
        <v>167</v>
      </c>
      <c r="P47" s="28" t="n">
        <v>178</v>
      </c>
      <c r="Q47" s="28" t="n">
        <v>189</v>
      </c>
      <c r="R47" s="28" t="n">
        <v>200</v>
      </c>
      <c r="S47" s="28" t="n">
        <v>204</v>
      </c>
      <c r="T47" s="28" t="n">
        <v>208</v>
      </c>
      <c r="U47" s="28" t="n">
        <v>212</v>
      </c>
      <c r="V47" s="28" t="n">
        <v>216</v>
      </c>
      <c r="W47" s="28" t="n">
        <v>220</v>
      </c>
      <c r="X47" s="28" t="n">
        <v>220</v>
      </c>
      <c r="Y47" s="28" t="n">
        <v>220</v>
      </c>
      <c r="Z47" s="28" t="n">
        <v>220</v>
      </c>
      <c r="AA47" s="28" t="n">
        <v>220</v>
      </c>
      <c r="AB47" s="28" t="n">
        <v>220</v>
      </c>
      <c r="AC47" s="28" t="n">
        <v>220</v>
      </c>
      <c r="AD47" s="28" t="n">
        <v>220</v>
      </c>
      <c r="AE47" s="28" t="n">
        <v>220</v>
      </c>
      <c r="AF47" s="28" t="n">
        <v>220</v>
      </c>
      <c r="AG47" s="28" t="n">
        <v>220</v>
      </c>
      <c r="AH47" s="28" t="n">
        <v>220</v>
      </c>
      <c r="AI47" s="28" t="n">
        <v>220</v>
      </c>
      <c r="AJ47" s="28" t="n">
        <v>220</v>
      </c>
      <c r="AK47" s="28" t="n">
        <v>220</v>
      </c>
      <c r="AL47" s="28" t="n">
        <v>220</v>
      </c>
      <c r="AM47" s="28" t="n">
        <v>220</v>
      </c>
      <c r="AN47" s="28" t="n">
        <v>220</v>
      </c>
      <c r="AO47" s="28" t="n">
        <v>220</v>
      </c>
      <c r="AP47" s="28" t="n">
        <v>220</v>
      </c>
      <c r="AQ47" s="28" t="n">
        <v>220</v>
      </c>
      <c r="AR47" s="28" t="n">
        <v>220</v>
      </c>
      <c r="AS47" s="28" t="n">
        <v>220</v>
      </c>
      <c r="AT47" s="28" t="n">
        <v>220</v>
      </c>
      <c r="AU47" s="28" t="n">
        <v>220</v>
      </c>
      <c r="AV47" s="28" t="n">
        <v>220</v>
      </c>
      <c r="AW47" s="28" t="n">
        <v>220</v>
      </c>
      <c r="AX47" s="28" t="n">
        <v>220</v>
      </c>
      <c r="AY47" s="28" t="n">
        <v>220</v>
      </c>
      <c r="AZ47" s="28" t="n">
        <v>220</v>
      </c>
      <c r="BA47" s="28" t="n">
        <v>220</v>
      </c>
      <c r="BB47" s="28" t="n">
        <v>220</v>
      </c>
      <c r="BC47" s="28" t="n">
        <v>220</v>
      </c>
      <c r="BD47" s="28" t="n">
        <v>220</v>
      </c>
      <c r="BE47" s="28" t="n">
        <v>220</v>
      </c>
      <c r="BF47" s="28" t="n">
        <v>220</v>
      </c>
      <c r="BG47" s="28" t="n">
        <v>220</v>
      </c>
      <c r="BH47" s="28" t="n">
        <v>220</v>
      </c>
      <c r="BI47" s="28" t="n">
        <v>220</v>
      </c>
      <c r="BJ47" s="28" t="n">
        <v>220</v>
      </c>
      <c r="BK47" s="28" t="n">
        <v>220</v>
      </c>
      <c r="BL47" s="28" t="n">
        <v>220</v>
      </c>
      <c r="BM47" s="28" t="n">
        <v>220</v>
      </c>
      <c r="BN47" s="28" t="n">
        <v>220</v>
      </c>
      <c r="BO47" s="28" t="n">
        <v>220</v>
      </c>
      <c r="BP47" s="28" t="n">
        <v>220</v>
      </c>
      <c r="BQ47" s="28" t="n">
        <v>220</v>
      </c>
      <c r="BR47" s="28" t="n">
        <v>220</v>
      </c>
      <c r="BS47" s="28" t="n">
        <v>220</v>
      </c>
      <c r="BT47" s="28" t="n">
        <v>220</v>
      </c>
      <c r="BU47" s="28" t="n">
        <v>220</v>
      </c>
      <c r="BV47" s="28" t="n">
        <v>220</v>
      </c>
      <c r="BW47" s="28" t="n">
        <v>220</v>
      </c>
      <c r="BX47" s="28" t="n">
        <v>220</v>
      </c>
      <c r="BY47" s="28" t="n">
        <v>220</v>
      </c>
      <c r="BZ47" s="28" t="n">
        <v>220</v>
      </c>
      <c r="CA47" s="28" t="n">
        <v>220</v>
      </c>
    </row>
    <row r="48" customFormat="false" ht="15" hidden="false" customHeight="false" outlineLevel="0" collapsed="false">
      <c r="A48" s="1"/>
      <c r="B48" s="1"/>
      <c r="C48" s="4" t="s">
        <v>105</v>
      </c>
      <c r="D48" s="1"/>
      <c r="E48" s="1"/>
      <c r="F48" s="1"/>
      <c r="G48" s="1"/>
      <c r="H48" s="1"/>
      <c r="I48" s="1"/>
      <c r="J48" s="27" t="n">
        <f aca="false">CHOOSE(Dashboard!$C$4,J45,J46,J47)</f>
        <v>90</v>
      </c>
      <c r="K48" s="27" t="n">
        <f aca="false">CHOOSE(Dashboard!$C$4,K45,K46,K47)</f>
        <v>98.3333333333333</v>
      </c>
      <c r="L48" s="27" t="n">
        <f aca="false">CHOOSE(Dashboard!$C$4,L45,L46,L47)</f>
        <v>106.666666666667</v>
      </c>
      <c r="M48" s="27" t="n">
        <f aca="false">CHOOSE(Dashboard!$C$4,M45,M46,M47)</f>
        <v>115</v>
      </c>
      <c r="N48" s="27" t="n">
        <f aca="false">CHOOSE(Dashboard!$C$4,N45,N46,N47)</f>
        <v>120</v>
      </c>
      <c r="O48" s="27" t="n">
        <f aca="false">CHOOSE(Dashboard!$C$4,O45,O46,O47)</f>
        <v>125</v>
      </c>
      <c r="P48" s="27" t="n">
        <f aca="false">CHOOSE(Dashboard!$C$4,P45,P46,P47)</f>
        <v>130</v>
      </c>
      <c r="Q48" s="27" t="n">
        <f aca="false">CHOOSE(Dashboard!$C$4,Q45,Q46,Q47)</f>
        <v>135</v>
      </c>
      <c r="R48" s="27" t="n">
        <f aca="false">CHOOSE(Dashboard!$C$4,R45,R46,R47)</f>
        <v>140</v>
      </c>
      <c r="S48" s="27" t="n">
        <f aca="false">CHOOSE(Dashboard!$C$4,S45,S46,S47)</f>
        <v>142</v>
      </c>
      <c r="T48" s="27" t="n">
        <f aca="false">CHOOSE(Dashboard!$C$4,T45,T46,T47)</f>
        <v>144</v>
      </c>
      <c r="U48" s="27" t="n">
        <f aca="false">CHOOSE(Dashboard!$C$4,U45,U46,U47)</f>
        <v>146</v>
      </c>
      <c r="V48" s="27" t="n">
        <f aca="false">CHOOSE(Dashboard!$C$4,V45,V46,V47)</f>
        <v>148</v>
      </c>
      <c r="W48" s="27" t="n">
        <f aca="false">CHOOSE(Dashboard!$C$4,W45,W46,W47)</f>
        <v>150</v>
      </c>
      <c r="X48" s="27" t="n">
        <f aca="false">CHOOSE(Dashboard!$C$4,X45,X46,X47)</f>
        <v>150</v>
      </c>
      <c r="Y48" s="27" t="n">
        <f aca="false">CHOOSE(Dashboard!$C$4,Y45,Y46,Y47)</f>
        <v>150</v>
      </c>
      <c r="Z48" s="27" t="n">
        <f aca="false">CHOOSE(Dashboard!$C$4,Z45,Z46,Z47)</f>
        <v>150</v>
      </c>
      <c r="AA48" s="27" t="n">
        <f aca="false">CHOOSE(Dashboard!$C$4,AA45,AA46,AA47)</f>
        <v>150</v>
      </c>
      <c r="AB48" s="27" t="n">
        <f aca="false">CHOOSE(Dashboard!$C$4,AB45,AB46,AB47)</f>
        <v>150</v>
      </c>
      <c r="AC48" s="27" t="n">
        <f aca="false">CHOOSE(Dashboard!$C$4,AC45,AC46,AC47)</f>
        <v>150</v>
      </c>
      <c r="AD48" s="27" t="n">
        <f aca="false">CHOOSE(Dashboard!$C$4,AD45,AD46,AD47)</f>
        <v>150</v>
      </c>
      <c r="AE48" s="27" t="n">
        <f aca="false">CHOOSE(Dashboard!$C$4,AE45,AE46,AE47)</f>
        <v>150</v>
      </c>
      <c r="AF48" s="27" t="n">
        <f aca="false">CHOOSE(Dashboard!$C$4,AF45,AF46,AF47)</f>
        <v>150</v>
      </c>
      <c r="AG48" s="27" t="n">
        <f aca="false">CHOOSE(Dashboard!$C$4,AG45,AG46,AG47)</f>
        <v>150</v>
      </c>
      <c r="AH48" s="27" t="n">
        <f aca="false">CHOOSE(Dashboard!$C$4,AH45,AH46,AH47)</f>
        <v>150</v>
      </c>
      <c r="AI48" s="27" t="n">
        <f aca="false">CHOOSE(Dashboard!$C$4,AI45,AI46,AI47)</f>
        <v>150</v>
      </c>
      <c r="AJ48" s="27" t="n">
        <f aca="false">CHOOSE(Dashboard!$C$4,AJ45,AJ46,AJ47)</f>
        <v>150</v>
      </c>
      <c r="AK48" s="27" t="n">
        <f aca="false">CHOOSE(Dashboard!$C$4,AK45,AK46,AK47)</f>
        <v>150</v>
      </c>
      <c r="AL48" s="27" t="n">
        <f aca="false">CHOOSE(Dashboard!$C$4,AL45,AL46,AL47)</f>
        <v>150</v>
      </c>
      <c r="AM48" s="27" t="n">
        <f aca="false">CHOOSE(Dashboard!$C$4,AM45,AM46,AM47)</f>
        <v>150</v>
      </c>
      <c r="AN48" s="27" t="n">
        <f aca="false">CHOOSE(Dashboard!$C$4,AN45,AN46,AN47)</f>
        <v>150</v>
      </c>
      <c r="AO48" s="27" t="n">
        <f aca="false">CHOOSE(Dashboard!$C$4,AO45,AO46,AO47)</f>
        <v>150</v>
      </c>
      <c r="AP48" s="27" t="n">
        <f aca="false">CHOOSE(Dashboard!$C$4,AP45,AP46,AP47)</f>
        <v>150</v>
      </c>
      <c r="AQ48" s="27" t="n">
        <f aca="false">CHOOSE(Dashboard!$C$4,AQ45,AQ46,AQ47)</f>
        <v>150</v>
      </c>
      <c r="AR48" s="27" t="n">
        <f aca="false">CHOOSE(Dashboard!$C$4,AR45,AR46,AR47)</f>
        <v>150</v>
      </c>
      <c r="AS48" s="27" t="n">
        <f aca="false">CHOOSE(Dashboard!$C$4,AS45,AS46,AS47)</f>
        <v>150</v>
      </c>
      <c r="AT48" s="27" t="n">
        <f aca="false">CHOOSE(Dashboard!$C$4,AT45,AT46,AT47)</f>
        <v>150</v>
      </c>
      <c r="AU48" s="27" t="n">
        <f aca="false">CHOOSE(Dashboard!$C$4,AU45,AU46,AU47)</f>
        <v>150</v>
      </c>
      <c r="AV48" s="27" t="n">
        <f aca="false">CHOOSE(Dashboard!$C$4,AV45,AV46,AV47)</f>
        <v>150</v>
      </c>
      <c r="AW48" s="27" t="n">
        <f aca="false">CHOOSE(Dashboard!$C$4,AW45,AW46,AW47)</f>
        <v>150</v>
      </c>
      <c r="AX48" s="27" t="n">
        <f aca="false">CHOOSE(Dashboard!$C$4,AX45,AX46,AX47)</f>
        <v>150</v>
      </c>
      <c r="AY48" s="27" t="n">
        <f aca="false">CHOOSE(Dashboard!$C$4,AY45,AY46,AY47)</f>
        <v>150</v>
      </c>
      <c r="AZ48" s="27" t="n">
        <f aca="false">CHOOSE(Dashboard!$C$4,AZ45,AZ46,AZ47)</f>
        <v>150</v>
      </c>
      <c r="BA48" s="27" t="n">
        <f aca="false">CHOOSE(Dashboard!$C$4,BA45,BA46,BA47)</f>
        <v>150</v>
      </c>
      <c r="BB48" s="27" t="n">
        <f aca="false">CHOOSE(Dashboard!$C$4,BB45,BB46,BB47)</f>
        <v>150</v>
      </c>
      <c r="BC48" s="27" t="n">
        <f aca="false">CHOOSE(Dashboard!$C$4,BC45,BC46,BC47)</f>
        <v>150</v>
      </c>
      <c r="BD48" s="27" t="n">
        <f aca="false">CHOOSE(Dashboard!$C$4,BD45,BD46,BD47)</f>
        <v>150</v>
      </c>
      <c r="BE48" s="27" t="n">
        <f aca="false">CHOOSE(Dashboard!$C$4,BE45,BE46,BE47)</f>
        <v>150</v>
      </c>
      <c r="BF48" s="27" t="n">
        <f aca="false">CHOOSE(Dashboard!$C$4,BF45,BF46,BF47)</f>
        <v>150</v>
      </c>
      <c r="BG48" s="27" t="n">
        <f aca="false">CHOOSE(Dashboard!$C$4,BG45,BG46,BG47)</f>
        <v>150</v>
      </c>
      <c r="BH48" s="27" t="n">
        <f aca="false">CHOOSE(Dashboard!$C$4,BH45,BH46,BH47)</f>
        <v>150</v>
      </c>
      <c r="BI48" s="27" t="n">
        <f aca="false">CHOOSE(Dashboard!$C$4,BI45,BI46,BI47)</f>
        <v>150</v>
      </c>
      <c r="BJ48" s="27" t="n">
        <f aca="false">CHOOSE(Dashboard!$C$4,BJ45,BJ46,BJ47)</f>
        <v>150</v>
      </c>
      <c r="BK48" s="27" t="n">
        <f aca="false">CHOOSE(Dashboard!$C$4,BK45,BK46,BK47)</f>
        <v>150</v>
      </c>
      <c r="BL48" s="27" t="n">
        <f aca="false">CHOOSE(Dashboard!$C$4,BL45,BL46,BL47)</f>
        <v>150</v>
      </c>
      <c r="BM48" s="27" t="n">
        <f aca="false">CHOOSE(Dashboard!$C$4,BM45,BM46,BM47)</f>
        <v>150</v>
      </c>
      <c r="BN48" s="27" t="n">
        <f aca="false">CHOOSE(Dashboard!$C$4,BN45,BN46,BN47)</f>
        <v>150</v>
      </c>
      <c r="BO48" s="27" t="n">
        <f aca="false">CHOOSE(Dashboard!$C$4,BO45,BO46,BO47)</f>
        <v>150</v>
      </c>
      <c r="BP48" s="27" t="n">
        <f aca="false">CHOOSE(Dashboard!$C$4,BP45,BP46,BP47)</f>
        <v>150</v>
      </c>
      <c r="BQ48" s="27" t="n">
        <f aca="false">CHOOSE(Dashboard!$C$4,BQ45,BQ46,BQ47)</f>
        <v>150</v>
      </c>
      <c r="BR48" s="27" t="n">
        <f aca="false">CHOOSE(Dashboard!$C$4,BR45,BR46,BR47)</f>
        <v>150</v>
      </c>
      <c r="BS48" s="27" t="n">
        <f aca="false">CHOOSE(Dashboard!$C$4,BS45,BS46,BS47)</f>
        <v>150</v>
      </c>
      <c r="BT48" s="27" t="n">
        <f aca="false">CHOOSE(Dashboard!$C$4,BT45,BT46,BT47)</f>
        <v>150</v>
      </c>
      <c r="BU48" s="27" t="n">
        <f aca="false">CHOOSE(Dashboard!$C$4,BU45,BU46,BU47)</f>
        <v>150</v>
      </c>
      <c r="BV48" s="27" t="n">
        <f aca="false">CHOOSE(Dashboard!$C$4,BV45,BV46,BV47)</f>
        <v>150</v>
      </c>
      <c r="BW48" s="27" t="n">
        <f aca="false">CHOOSE(Dashboard!$C$4,BW45,BW46,BW47)</f>
        <v>150</v>
      </c>
      <c r="BX48" s="27" t="n">
        <f aca="false">CHOOSE(Dashboard!$C$4,BX45,BX46,BX47)</f>
        <v>150</v>
      </c>
      <c r="BY48" s="27" t="n">
        <f aca="false">CHOOSE(Dashboard!$C$4,BY45,BY46,BY47)</f>
        <v>150</v>
      </c>
      <c r="BZ48" s="27" t="n">
        <f aca="false">CHOOSE(Dashboard!$C$4,BZ45,BZ46,BZ47)</f>
        <v>150</v>
      </c>
      <c r="CA48" s="27" t="n">
        <f aca="false">CHOOSE(Dashboard!$C$4,CA45,CA46,CA47)</f>
        <v>150</v>
      </c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</row>
    <row r="51" customFormat="false" ht="15" hidden="false" customHeight="false" outlineLevel="0" collapsed="false">
      <c r="A51" s="1"/>
      <c r="B51" s="13" t="s">
        <v>112</v>
      </c>
      <c r="C51" s="14"/>
      <c r="D51" s="14"/>
      <c r="E51" s="14"/>
      <c r="F51" s="14"/>
      <c r="G51" s="14"/>
      <c r="H51" s="14"/>
      <c r="I51" s="1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</row>
    <row r="52" customFormat="false" ht="15" hidden="false" customHeight="false" outlineLevel="0" collapsed="false">
      <c r="A52" s="1"/>
      <c r="B52" s="1"/>
      <c r="C52" s="8" t="s">
        <v>113</v>
      </c>
      <c r="D52" s="8" t="s">
        <v>114</v>
      </c>
      <c r="E52" s="28" t="n">
        <v>285</v>
      </c>
      <c r="F52" s="28" t="n">
        <v>300</v>
      </c>
      <c r="G52" s="28" t="n">
        <v>300</v>
      </c>
      <c r="H52" s="27" t="n">
        <f aca="false">INDEX(E52:G52,1,Dashboard!$C$4)</f>
        <v>300</v>
      </c>
      <c r="I52" s="17" t="s">
        <v>115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</row>
    <row r="53" customFormat="false" ht="15" hidden="false" customHeight="false" outlineLevel="0" collapsed="false">
      <c r="A53" s="1"/>
      <c r="B53" s="1"/>
      <c r="C53" s="8" t="s">
        <v>116</v>
      </c>
      <c r="D53" s="8" t="s">
        <v>117</v>
      </c>
      <c r="E53" s="26" t="n">
        <v>28000</v>
      </c>
      <c r="F53" s="26" t="n">
        <v>38000</v>
      </c>
      <c r="G53" s="26" t="n">
        <v>55000</v>
      </c>
      <c r="H53" s="27" t="n">
        <f aca="false">INDEX(E53:G53,1,Dashboard!$C$4)</f>
        <v>38000</v>
      </c>
      <c r="I53" s="17" t="s">
        <v>118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</row>
    <row r="54" customFormat="false" ht="15" hidden="false" customHeight="false" outlineLevel="0" collapsed="false">
      <c r="A54" s="1"/>
      <c r="B54" s="1"/>
      <c r="C54" s="8" t="s">
        <v>119</v>
      </c>
      <c r="D54" s="8" t="s">
        <v>84</v>
      </c>
      <c r="E54" s="31" t="n">
        <v>4</v>
      </c>
      <c r="F54" s="31" t="n">
        <v>5</v>
      </c>
      <c r="G54" s="31" t="n">
        <v>6</v>
      </c>
      <c r="H54" s="16" t="n">
        <f aca="false">INDEX(E54:G54,1,Dashboard!$C$4)</f>
        <v>5</v>
      </c>
      <c r="I54" s="17" t="s">
        <v>120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</row>
    <row r="55" customFormat="false" ht="15" hidden="false" customHeight="false" outlineLevel="0" collapsed="false">
      <c r="A55" s="1"/>
      <c r="B55" s="1"/>
      <c r="C55" s="8" t="s">
        <v>121</v>
      </c>
      <c r="D55" s="8" t="s">
        <v>55</v>
      </c>
      <c r="E55" s="31" t="n">
        <v>2035</v>
      </c>
      <c r="F55" s="31" t="n">
        <v>2035</v>
      </c>
      <c r="G55" s="31" t="n">
        <v>2035</v>
      </c>
      <c r="H55" s="16" t="n">
        <f aca="false">INDEX(E55:G55,1,Dashboard!$C$4)</f>
        <v>2035</v>
      </c>
      <c r="I55" s="17" t="s">
        <v>122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</row>
    <row r="56" customFormat="false" ht="15" hidden="false" customHeight="false" outlineLevel="0" collapsed="false">
      <c r="A56" s="1"/>
      <c r="B56" s="1"/>
      <c r="C56" s="8" t="s">
        <v>123</v>
      </c>
      <c r="D56" s="8" t="s">
        <v>84</v>
      </c>
      <c r="E56" s="15" t="n">
        <v>60</v>
      </c>
      <c r="F56" s="15" t="n">
        <v>60</v>
      </c>
      <c r="G56" s="15" t="n">
        <v>60</v>
      </c>
      <c r="H56" s="16" t="n">
        <f aca="false">INDEX(E56:G56,1,Dashboard!$C$4)</f>
        <v>60</v>
      </c>
      <c r="I56" s="17" t="s">
        <v>124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</row>
    <row r="57" customFormat="false" ht="15" hidden="false" customHeight="false" outlineLevel="0" collapsed="false">
      <c r="A57" s="1"/>
      <c r="B57" s="1"/>
      <c r="C57" s="8" t="s">
        <v>125</v>
      </c>
      <c r="D57" s="8" t="s">
        <v>126</v>
      </c>
      <c r="E57" s="28" t="n">
        <v>300</v>
      </c>
      <c r="F57" s="28" t="n">
        <v>500</v>
      </c>
      <c r="G57" s="28" t="n">
        <v>900</v>
      </c>
      <c r="H57" s="27" t="n">
        <f aca="false">INDEX(E57:G57,1,Dashboard!$C$4)</f>
        <v>500</v>
      </c>
      <c r="I57" s="17" t="s">
        <v>127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customFormat="false" ht="15" hidden="false" customHeight="false" outlineLevel="0" collapsed="false">
      <c r="A58" s="1"/>
      <c r="B58" s="1"/>
      <c r="C58" s="8" t="s">
        <v>128</v>
      </c>
      <c r="D58" s="8" t="s">
        <v>126</v>
      </c>
      <c r="E58" s="28" t="n">
        <v>450</v>
      </c>
      <c r="F58" s="28" t="n">
        <v>550</v>
      </c>
      <c r="G58" s="28" t="n">
        <v>700</v>
      </c>
      <c r="H58" s="27" t="n">
        <f aca="false">INDEX(E58:G58,1,Dashboard!$C$4)</f>
        <v>550</v>
      </c>
      <c r="I58" s="17" t="s">
        <v>129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customFormat="false" ht="15" hidden="false" customHeight="false" outlineLevel="0" collapsed="false">
      <c r="A59" s="1"/>
      <c r="B59" s="1"/>
      <c r="C59" s="8" t="s">
        <v>130</v>
      </c>
      <c r="D59" s="8" t="s">
        <v>126</v>
      </c>
      <c r="E59" s="28" t="n">
        <v>60</v>
      </c>
      <c r="F59" s="28" t="n">
        <v>125</v>
      </c>
      <c r="G59" s="28" t="n">
        <v>200</v>
      </c>
      <c r="H59" s="27" t="n">
        <f aca="false">INDEX(E59:G59,1,Dashboard!$C$4)</f>
        <v>125</v>
      </c>
      <c r="I59" s="17" t="s">
        <v>131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customFormat="false" ht="15" hidden="false" customHeight="false" outlineLevel="0" collapsed="false">
      <c r="A60" s="1"/>
      <c r="B60" s="1"/>
      <c r="C60" s="8" t="s">
        <v>132</v>
      </c>
      <c r="D60" s="8" t="s">
        <v>81</v>
      </c>
      <c r="E60" s="26" t="n">
        <v>400</v>
      </c>
      <c r="F60" s="26" t="n">
        <v>520</v>
      </c>
      <c r="G60" s="26" t="n">
        <v>820</v>
      </c>
      <c r="H60" s="27" t="n">
        <f aca="false">INDEX(E60:G60,1,Dashboard!$C$4)</f>
        <v>520</v>
      </c>
      <c r="I60" s="17" t="s">
        <v>133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customFormat="false" ht="15" hidden="false" customHeight="false" outlineLevel="0" collapsed="false">
      <c r="A61" s="1"/>
      <c r="B61" s="1"/>
      <c r="C61" s="8" t="s">
        <v>134</v>
      </c>
      <c r="D61" s="8" t="s">
        <v>135</v>
      </c>
      <c r="E61" s="32" t="n">
        <v>1.3</v>
      </c>
      <c r="F61" s="32" t="n">
        <v>1.5</v>
      </c>
      <c r="G61" s="32" t="n">
        <v>1.8</v>
      </c>
      <c r="H61" s="33" t="n">
        <f aca="false">INDEX(E61:G61,1,Dashboard!$C$4)</f>
        <v>1.5</v>
      </c>
      <c r="I61" s="17" t="s">
        <v>136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customFormat="false" ht="15" hidden="false" customHeight="false" outlineLevel="0" collapsed="false">
      <c r="A62" s="1"/>
      <c r="B62" s="1"/>
      <c r="C62" s="8" t="s">
        <v>137</v>
      </c>
      <c r="D62" s="8" t="s">
        <v>84</v>
      </c>
      <c r="E62" s="15" t="n">
        <v>3</v>
      </c>
      <c r="F62" s="15" t="n">
        <v>3</v>
      </c>
      <c r="G62" s="15" t="n">
        <v>3</v>
      </c>
      <c r="H62" s="16" t="n">
        <f aca="false">INDEX(E62:G62,1,Dashboard!$C$4)</f>
        <v>3</v>
      </c>
      <c r="I62" s="17" t="s">
        <v>138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customFormat="false" ht="15" hidden="false" customHeight="false" outlineLevel="0" collapsed="false">
      <c r="A63" s="1"/>
      <c r="B63" s="1"/>
      <c r="C63" s="8" t="s">
        <v>139</v>
      </c>
      <c r="D63" s="8" t="s">
        <v>140</v>
      </c>
      <c r="E63" s="28" t="n">
        <v>120</v>
      </c>
      <c r="F63" s="28" t="n">
        <v>180</v>
      </c>
      <c r="G63" s="28" t="n">
        <v>250</v>
      </c>
      <c r="H63" s="27" t="n">
        <f aca="false">INDEX(E63:G63,1,Dashboard!$C$4)</f>
        <v>180</v>
      </c>
      <c r="I63" s="17" t="s">
        <v>141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customFormat="false" ht="15" hidden="false" customHeight="false" outlineLevel="0" collapsed="false">
      <c r="A64" s="1"/>
      <c r="B64" s="1"/>
      <c r="C64" s="8" t="s">
        <v>142</v>
      </c>
      <c r="D64" s="8" t="s">
        <v>143</v>
      </c>
      <c r="E64" s="28" t="n">
        <v>200</v>
      </c>
      <c r="F64" s="28" t="n">
        <v>290</v>
      </c>
      <c r="G64" s="28" t="n">
        <v>380</v>
      </c>
      <c r="H64" s="27" t="n">
        <f aca="false">INDEX(E64:G64,1,Dashboard!$C$4)</f>
        <v>290</v>
      </c>
      <c r="I64" s="17" t="s">
        <v>144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customFormat="false" ht="15" hidden="false" customHeight="false" outlineLevel="0" collapsed="false">
      <c r="A65" s="1"/>
      <c r="B65" s="1"/>
      <c r="C65" s="8" t="s">
        <v>145</v>
      </c>
      <c r="D65" s="8" t="s">
        <v>76</v>
      </c>
      <c r="E65" s="25" t="n">
        <v>23</v>
      </c>
      <c r="F65" s="25" t="n">
        <v>31</v>
      </c>
      <c r="G65" s="25" t="n">
        <v>40</v>
      </c>
      <c r="H65" s="24" t="n">
        <f aca="false">INDEX(E65:G65,1,Dashboard!$C$4)</f>
        <v>31</v>
      </c>
      <c r="I65" s="17" t="s">
        <v>146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customFormat="false" ht="15" hidden="false" customHeight="false" outlineLevel="0" collapsed="false">
      <c r="A66" s="1"/>
      <c r="B66" s="1"/>
      <c r="C66" s="8" t="s">
        <v>147</v>
      </c>
      <c r="D66" s="8" t="s">
        <v>76</v>
      </c>
      <c r="E66" s="23" t="n">
        <v>8</v>
      </c>
      <c r="F66" s="23" t="n">
        <v>11</v>
      </c>
      <c r="G66" s="23" t="n">
        <v>15</v>
      </c>
      <c r="H66" s="24" t="n">
        <f aca="false">INDEX(E66:G66,1,Dashboard!$C$4)</f>
        <v>11</v>
      </c>
      <c r="I66" s="17" t="s">
        <v>148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customFormat="false" ht="15" hidden="false" customHeight="false" outlineLevel="0" collapsed="false">
      <c r="A67" s="1"/>
      <c r="B67" s="1"/>
      <c r="C67" s="8" t="s">
        <v>149</v>
      </c>
      <c r="D67" s="8" t="s">
        <v>76</v>
      </c>
      <c r="E67" s="23" t="n">
        <v>17.16</v>
      </c>
      <c r="F67" s="23" t="n">
        <v>26</v>
      </c>
      <c r="G67" s="23" t="n">
        <v>35</v>
      </c>
      <c r="H67" s="24" t="n">
        <f aca="false">INDEX(E67:G67,1,Dashboard!$C$4)</f>
        <v>26</v>
      </c>
      <c r="I67" s="17" t="s">
        <v>150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customFormat="false" ht="15" hidden="false" customHeight="false" outlineLevel="0" collapsed="false">
      <c r="A68" s="1"/>
      <c r="B68" s="1"/>
      <c r="C68" s="8" t="s">
        <v>151</v>
      </c>
      <c r="D68" s="8" t="s">
        <v>76</v>
      </c>
      <c r="E68" s="23" t="n">
        <v>15</v>
      </c>
      <c r="F68" s="23" t="n">
        <v>25</v>
      </c>
      <c r="G68" s="23" t="n">
        <v>40</v>
      </c>
      <c r="H68" s="24" t="n">
        <f aca="false">INDEX(E68:G68,1,Dashboard!$C$4)</f>
        <v>25</v>
      </c>
      <c r="I68" s="17" t="s">
        <v>152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customFormat="false" ht="15" hidden="false" customHeight="false" outlineLevel="0" collapsed="false">
      <c r="A69" s="1"/>
      <c r="B69" s="1"/>
      <c r="C69" s="8" t="s">
        <v>153</v>
      </c>
      <c r="D69" s="8" t="s">
        <v>66</v>
      </c>
      <c r="E69" s="20" t="n">
        <v>0.08</v>
      </c>
      <c r="F69" s="20" t="n">
        <v>0.2</v>
      </c>
      <c r="G69" s="20" t="n">
        <v>0.4</v>
      </c>
      <c r="H69" s="21" t="n">
        <f aca="false">INDEX(E69:G69,1,Dashboard!$C$4)</f>
        <v>0.2</v>
      </c>
      <c r="I69" s="17" t="s">
        <v>154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customFormat="false" ht="15" hidden="false" customHeight="false" outlineLevel="0" collapsed="false">
      <c r="A70" s="1"/>
      <c r="B70" s="1"/>
      <c r="C70" s="8" t="s">
        <v>155</v>
      </c>
      <c r="D70" s="8" t="s">
        <v>66</v>
      </c>
      <c r="E70" s="22" t="n">
        <v>0.5</v>
      </c>
      <c r="F70" s="22" t="n">
        <v>0.5</v>
      </c>
      <c r="G70" s="22" t="n">
        <v>0.5</v>
      </c>
      <c r="H70" s="21" t="n">
        <f aca="false">INDEX(E70:G70,1,Dashboard!$C$4)</f>
        <v>0.5</v>
      </c>
      <c r="I70" s="17" t="s">
        <v>156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customFormat="false" ht="15" hidden="false" customHeight="false" outlineLevel="0" collapsed="false">
      <c r="A71" s="1"/>
      <c r="B71" s="1"/>
      <c r="C71" s="8" t="s">
        <v>157</v>
      </c>
      <c r="D71" s="8" t="s">
        <v>66</v>
      </c>
      <c r="E71" s="22" t="n">
        <v>0</v>
      </c>
      <c r="F71" s="22" t="n">
        <v>0.012</v>
      </c>
      <c r="G71" s="22" t="n">
        <v>0.02</v>
      </c>
      <c r="H71" s="21" t="n">
        <f aca="false">INDEX(E71:G71,1,Dashboard!$C$4)</f>
        <v>0.012</v>
      </c>
      <c r="I71" s="17" t="s">
        <v>158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customFormat="false" ht="15" hidden="false" customHeight="false" outlineLevel="0" collapsed="false">
      <c r="A72" s="1"/>
      <c r="B72" s="1"/>
      <c r="C72" s="8" t="s">
        <v>159</v>
      </c>
      <c r="D72" s="8" t="s">
        <v>66</v>
      </c>
      <c r="E72" s="22" t="n">
        <v>0</v>
      </c>
      <c r="F72" s="22" t="n">
        <v>0.01</v>
      </c>
      <c r="G72" s="22" t="n">
        <v>0.02</v>
      </c>
      <c r="H72" s="21" t="n">
        <f aca="false">INDEX(E72:G72,1,Dashboard!$C$4)</f>
        <v>0.01</v>
      </c>
      <c r="I72" s="17" t="s">
        <v>160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customFormat="false" ht="15" hidden="false" customHeight="false" outlineLevel="0" collapsed="false">
      <c r="A73" s="1"/>
      <c r="B73" s="1"/>
      <c r="C73" s="8" t="s">
        <v>161</v>
      </c>
      <c r="D73" s="8" t="s">
        <v>162</v>
      </c>
      <c r="E73" s="25" t="n">
        <v>115</v>
      </c>
      <c r="F73" s="25" t="n">
        <v>125</v>
      </c>
      <c r="G73" s="25" t="n">
        <v>135</v>
      </c>
      <c r="H73" s="24" t="n">
        <f aca="false">INDEX(E73:G73,1,Dashboard!$C$4)</f>
        <v>125</v>
      </c>
      <c r="I73" s="17" t="s">
        <v>163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  <row r="74" customFormat="false" ht="15" hidden="false" customHeight="false" outlineLevel="0" collapsed="false">
      <c r="A74" s="1"/>
      <c r="B74" s="1"/>
      <c r="C74" s="8" t="s">
        <v>164</v>
      </c>
      <c r="D74" s="8" t="s">
        <v>84</v>
      </c>
      <c r="E74" s="31" t="n">
        <v>40</v>
      </c>
      <c r="F74" s="31" t="n">
        <v>40</v>
      </c>
      <c r="G74" s="31" t="n">
        <v>40</v>
      </c>
      <c r="H74" s="16" t="n">
        <f aca="false">INDEX(E74:G74,1,Dashboard!$C$4)</f>
        <v>40</v>
      </c>
      <c r="I74" s="17" t="s">
        <v>165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</row>
    <row r="75" customFormat="false" ht="15" hidden="false" customHeight="false" outlineLevel="0" collapsed="false">
      <c r="A75" s="1"/>
      <c r="B75" s="1"/>
      <c r="C75" s="8" t="s">
        <v>166</v>
      </c>
      <c r="D75" s="8" t="s">
        <v>140</v>
      </c>
      <c r="E75" s="28" t="n">
        <v>1500</v>
      </c>
      <c r="F75" s="28" t="n">
        <v>1500</v>
      </c>
      <c r="G75" s="28" t="n">
        <v>1500</v>
      </c>
      <c r="H75" s="27" t="n">
        <f aca="false">INDEX(E75:G75,1,Dashboard!$C$4)</f>
        <v>1500</v>
      </c>
      <c r="I75" s="17" t="s">
        <v>167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</row>
    <row r="76" customFormat="false" ht="15" hidden="false" customHeight="false" outlineLevel="0" collapsed="false">
      <c r="A76" s="1"/>
      <c r="B76" s="1"/>
      <c r="C76" s="8" t="s">
        <v>168</v>
      </c>
      <c r="D76" s="8" t="s">
        <v>66</v>
      </c>
      <c r="E76" s="22" t="n">
        <v>0.2</v>
      </c>
      <c r="F76" s="22" t="n">
        <v>0.2</v>
      </c>
      <c r="G76" s="22" t="n">
        <v>0.2</v>
      </c>
      <c r="H76" s="21" t="n">
        <f aca="false">INDEX(E76:G76,1,Dashboard!$C$4)</f>
        <v>0.2</v>
      </c>
      <c r="I76" s="17" t="s">
        <v>169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</row>
    <row r="77" customFormat="false" ht="15" hidden="false" customHeight="false" outlineLevel="0" collapsed="false">
      <c r="A77" s="1"/>
      <c r="B77" s="1"/>
      <c r="C77" s="8" t="s">
        <v>170</v>
      </c>
      <c r="D77" s="8" t="s">
        <v>66</v>
      </c>
      <c r="E77" s="22" t="n">
        <v>0.15</v>
      </c>
      <c r="F77" s="22" t="n">
        <v>0.15</v>
      </c>
      <c r="G77" s="22" t="n">
        <v>0.15</v>
      </c>
      <c r="H77" s="21" t="n">
        <f aca="false">INDEX(E77:G77,1,Dashboard!$C$4)</f>
        <v>0.15</v>
      </c>
      <c r="I77" s="17" t="s">
        <v>171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</row>
    <row r="78" customFormat="false" ht="15" hidden="false" customHeight="false" outlineLevel="0" collapsed="false">
      <c r="A78" s="1"/>
      <c r="B78" s="1"/>
      <c r="C78" s="8" t="s">
        <v>172</v>
      </c>
      <c r="D78" s="8" t="s">
        <v>66</v>
      </c>
      <c r="E78" s="22" t="n">
        <v>0.25</v>
      </c>
      <c r="F78" s="22" t="n">
        <v>0.25</v>
      </c>
      <c r="G78" s="22" t="n">
        <v>0.25</v>
      </c>
      <c r="H78" s="21" t="n">
        <f aca="false">INDEX(E78:G78,1,Dashboard!$C$4)</f>
        <v>0.25</v>
      </c>
      <c r="I78" s="17" t="s">
        <v>173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</row>
    <row r="79" customFormat="false" ht="15" hidden="false" customHeight="false" outlineLevel="0" collapsed="false">
      <c r="A79" s="1"/>
      <c r="B79" s="1"/>
      <c r="C79" s="8" t="s">
        <v>174</v>
      </c>
      <c r="D79" s="8" t="s">
        <v>66</v>
      </c>
      <c r="E79" s="22" t="n">
        <v>0.3</v>
      </c>
      <c r="F79" s="22" t="n">
        <v>0.3</v>
      </c>
      <c r="G79" s="22" t="n">
        <v>0.3</v>
      </c>
      <c r="H79" s="21" t="n">
        <f aca="false">INDEX(E79:G79,1,Dashboard!$C$4)</f>
        <v>0.3</v>
      </c>
      <c r="I79" s="17" t="s">
        <v>175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</row>
    <row r="80" customFormat="false" ht="15" hidden="false" customHeight="false" outlineLevel="0" collapsed="false">
      <c r="A80" s="1"/>
      <c r="B80" s="1"/>
      <c r="C80" s="8" t="s">
        <v>176</v>
      </c>
      <c r="D80" s="8" t="s">
        <v>66</v>
      </c>
      <c r="E80" s="22" t="n">
        <v>0.1</v>
      </c>
      <c r="F80" s="22" t="n">
        <v>0.1</v>
      </c>
      <c r="G80" s="22" t="n">
        <v>0.1</v>
      </c>
      <c r="H80" s="21" t="n">
        <f aca="false">INDEX(E80:G80,1,Dashboard!$C$4)</f>
        <v>0.1</v>
      </c>
      <c r="I80" s="17" t="s">
        <v>177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</row>
    <row r="82" customFormat="false" ht="15" hidden="false" customHeight="false" outlineLevel="0" collapsed="false">
      <c r="A82" s="1"/>
      <c r="B82" s="13" t="s">
        <v>178</v>
      </c>
      <c r="C82" s="14"/>
      <c r="D82" s="14"/>
      <c r="E82" s="14"/>
      <c r="F82" s="14"/>
      <c r="G82" s="14"/>
      <c r="H82" s="14"/>
      <c r="I82" s="1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</row>
    <row r="83" customFormat="false" ht="15" hidden="false" customHeight="false" outlineLevel="0" collapsed="false">
      <c r="A83" s="1"/>
      <c r="B83" s="1"/>
      <c r="C83" s="8" t="s">
        <v>179</v>
      </c>
      <c r="D83" s="8" t="s">
        <v>55</v>
      </c>
      <c r="E83" s="31" t="n">
        <v>2031</v>
      </c>
      <c r="F83" s="31" t="n">
        <v>2031</v>
      </c>
      <c r="G83" s="31" t="n">
        <v>2031</v>
      </c>
      <c r="H83" s="16" t="n">
        <f aca="false">INDEX(E83:G83,1,Dashboard!$C$4)</f>
        <v>2031</v>
      </c>
      <c r="I83" s="17" t="s">
        <v>180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</row>
    <row r="84" customFormat="false" ht="15" hidden="false" customHeight="false" outlineLevel="0" collapsed="false">
      <c r="A84" s="1"/>
      <c r="B84" s="1"/>
      <c r="C84" s="8" t="s">
        <v>181</v>
      </c>
      <c r="D84" s="8" t="s">
        <v>66</v>
      </c>
      <c r="E84" s="22" t="n">
        <v>0.02</v>
      </c>
      <c r="F84" s="22" t="n">
        <v>0.02</v>
      </c>
      <c r="G84" s="22" t="n">
        <v>0.02</v>
      </c>
      <c r="H84" s="21" t="n">
        <f aca="false">INDEX(E84:G84,1,Dashboard!$C$4)</f>
        <v>0.02</v>
      </c>
      <c r="I84" s="17" t="s">
        <v>182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</row>
    <row r="85" customFormat="false" ht="15" hidden="false" customHeight="false" outlineLevel="0" collapsed="false">
      <c r="A85" s="1"/>
      <c r="B85" s="1"/>
      <c r="C85" s="8" t="s">
        <v>183</v>
      </c>
      <c r="D85" s="8" t="s">
        <v>117</v>
      </c>
      <c r="E85" s="28" t="n">
        <v>350</v>
      </c>
      <c r="F85" s="28" t="n">
        <v>350</v>
      </c>
      <c r="G85" s="28" t="n">
        <v>350</v>
      </c>
      <c r="H85" s="27" t="n">
        <f aca="false">INDEX(E85:G85,1,Dashboard!$C$4)</f>
        <v>350</v>
      </c>
      <c r="I85" s="17" t="s">
        <v>184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</row>
    <row r="86" customFormat="false" ht="15" hidden="false" customHeight="false" outlineLevel="0" collapsed="false">
      <c r="A86" s="1"/>
      <c r="B86" s="1"/>
      <c r="C86" s="8" t="s">
        <v>185</v>
      </c>
      <c r="D86" s="8" t="s">
        <v>66</v>
      </c>
      <c r="E86" s="22" t="n">
        <v>0.05</v>
      </c>
      <c r="F86" s="22" t="n">
        <v>0.05</v>
      </c>
      <c r="G86" s="22" t="n">
        <v>0.05</v>
      </c>
      <c r="H86" s="21" t="n">
        <f aca="false">INDEX(E86:G86,1,Dashboard!$C$4)</f>
        <v>0.05</v>
      </c>
      <c r="I86" s="17" t="s">
        <v>138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</row>
    <row r="87" customFormat="false" ht="15" hidden="false" customHeight="false" outlineLevel="0" collapsed="false">
      <c r="A87" s="1"/>
      <c r="B87" s="1"/>
      <c r="C87" s="8" t="s">
        <v>186</v>
      </c>
      <c r="D87" s="8" t="s">
        <v>140</v>
      </c>
      <c r="E87" s="28" t="n">
        <v>300</v>
      </c>
      <c r="F87" s="28" t="n">
        <v>300</v>
      </c>
      <c r="G87" s="28" t="n">
        <v>300</v>
      </c>
      <c r="H87" s="27" t="n">
        <f aca="false">INDEX(E87:G87,1,Dashboard!$C$4)</f>
        <v>300</v>
      </c>
      <c r="I87" s="17" t="s">
        <v>138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</row>
    <row r="89" customFormat="false" ht="15" hidden="false" customHeight="false" outlineLevel="0" collapsed="false">
      <c r="A89" s="1"/>
      <c r="B89" s="13" t="s">
        <v>187</v>
      </c>
      <c r="C89" s="14"/>
      <c r="D89" s="14"/>
      <c r="E89" s="14"/>
      <c r="F89" s="14"/>
      <c r="G89" s="14"/>
      <c r="H89" s="14"/>
      <c r="I89" s="1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</row>
    <row r="90" customFormat="false" ht="15" hidden="false" customHeight="false" outlineLevel="0" collapsed="false">
      <c r="A90" s="1"/>
      <c r="B90" s="1"/>
      <c r="C90" s="8" t="s">
        <v>188</v>
      </c>
      <c r="D90" s="8" t="s">
        <v>114</v>
      </c>
      <c r="E90" s="28" t="n">
        <v>300</v>
      </c>
      <c r="F90" s="28" t="n">
        <v>300</v>
      </c>
      <c r="G90" s="28" t="n">
        <v>300</v>
      </c>
      <c r="H90" s="27" t="n">
        <f aca="false">INDEX(E90:G90,1,Dashboard!$C$4)</f>
        <v>300</v>
      </c>
      <c r="I90" s="17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</row>
    <row r="91" customFormat="false" ht="15" hidden="false" customHeight="false" outlineLevel="0" collapsed="false">
      <c r="A91" s="1"/>
      <c r="B91" s="1"/>
      <c r="C91" s="8" t="s">
        <v>189</v>
      </c>
      <c r="D91" s="8" t="s">
        <v>117</v>
      </c>
      <c r="E91" s="26" t="n">
        <v>4800</v>
      </c>
      <c r="F91" s="26" t="n">
        <v>6200</v>
      </c>
      <c r="G91" s="26" t="n">
        <v>8500</v>
      </c>
      <c r="H91" s="27" t="n">
        <f aca="false">INDEX(E91:G91,1,Dashboard!$C$4)</f>
        <v>6200</v>
      </c>
      <c r="I91" s="17" t="s">
        <v>190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</row>
    <row r="92" customFormat="false" ht="15" hidden="false" customHeight="false" outlineLevel="0" collapsed="false">
      <c r="A92" s="1"/>
      <c r="B92" s="1"/>
      <c r="C92" s="8" t="s">
        <v>191</v>
      </c>
      <c r="D92" s="8" t="s">
        <v>84</v>
      </c>
      <c r="E92" s="15" t="n">
        <v>3</v>
      </c>
      <c r="F92" s="15" t="n">
        <v>4</v>
      </c>
      <c r="G92" s="15" t="n">
        <v>5</v>
      </c>
      <c r="H92" s="16" t="n">
        <f aca="false">INDEX(E92:G92,1,Dashboard!$C$4)</f>
        <v>4</v>
      </c>
      <c r="I92" s="17" t="s">
        <v>192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</row>
    <row r="93" customFormat="false" ht="15" hidden="false" customHeight="false" outlineLevel="0" collapsed="false">
      <c r="A93" s="1"/>
      <c r="B93" s="1"/>
      <c r="C93" s="8" t="s">
        <v>123</v>
      </c>
      <c r="D93" s="8" t="s">
        <v>84</v>
      </c>
      <c r="E93" s="15" t="n">
        <v>30</v>
      </c>
      <c r="F93" s="15" t="n">
        <v>30</v>
      </c>
      <c r="G93" s="15" t="n">
        <v>30</v>
      </c>
      <c r="H93" s="16" t="n">
        <f aca="false">INDEX(E93:G93,1,Dashboard!$C$4)</f>
        <v>30</v>
      </c>
      <c r="I93" s="17" t="s">
        <v>193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</row>
    <row r="94" customFormat="false" ht="15" hidden="false" customHeight="false" outlineLevel="0" collapsed="false">
      <c r="A94" s="1"/>
      <c r="B94" s="1"/>
      <c r="C94" s="8" t="s">
        <v>194</v>
      </c>
      <c r="D94" s="8" t="s">
        <v>66</v>
      </c>
      <c r="E94" s="22" t="n">
        <v>0.55</v>
      </c>
      <c r="F94" s="22" t="n">
        <v>0.57</v>
      </c>
      <c r="G94" s="22" t="n">
        <v>0.6</v>
      </c>
      <c r="H94" s="21" t="n">
        <f aca="false">INDEX(E94:G94,1,Dashboard!$C$4)</f>
        <v>0.57</v>
      </c>
      <c r="I94" s="17" t="s">
        <v>195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</row>
    <row r="95" customFormat="false" ht="15" hidden="false" customHeight="false" outlineLevel="0" collapsed="false">
      <c r="A95" s="1"/>
      <c r="B95" s="1"/>
      <c r="C95" s="8" t="s">
        <v>196</v>
      </c>
      <c r="D95" s="8" t="s">
        <v>81</v>
      </c>
      <c r="E95" s="28" t="n">
        <v>70</v>
      </c>
      <c r="F95" s="28" t="n">
        <v>100</v>
      </c>
      <c r="G95" s="28" t="n">
        <v>130</v>
      </c>
      <c r="H95" s="27" t="n">
        <f aca="false">INDEX(E95:G95,1,Dashboard!$C$4)</f>
        <v>100</v>
      </c>
      <c r="I95" s="17" t="s">
        <v>197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</row>
    <row r="96" customFormat="false" ht="15" hidden="false" customHeight="false" outlineLevel="0" collapsed="false">
      <c r="A96" s="1"/>
      <c r="B96" s="1"/>
      <c r="C96" s="8" t="s">
        <v>198</v>
      </c>
      <c r="D96" s="8" t="s">
        <v>76</v>
      </c>
      <c r="E96" s="23" t="n">
        <v>12</v>
      </c>
      <c r="F96" s="23" t="n">
        <v>16</v>
      </c>
      <c r="G96" s="23" t="n">
        <v>22</v>
      </c>
      <c r="H96" s="24" t="n">
        <f aca="false">INDEX(E96:G96,1,Dashboard!$C$4)</f>
        <v>16</v>
      </c>
      <c r="I96" s="17" t="s">
        <v>199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</row>
    <row r="97" customFormat="false" ht="15" hidden="false" customHeight="false" outlineLevel="0" collapsed="false">
      <c r="A97" s="1"/>
      <c r="B97" s="1"/>
      <c r="C97" s="8" t="s">
        <v>200</v>
      </c>
      <c r="D97" s="8" t="s">
        <v>81</v>
      </c>
      <c r="E97" s="28" t="n">
        <v>58</v>
      </c>
      <c r="F97" s="28" t="n">
        <v>58</v>
      </c>
      <c r="G97" s="28" t="n">
        <v>58</v>
      </c>
      <c r="H97" s="27" t="n">
        <f aca="false">INDEX(E97:G97,1,Dashboard!$C$4)</f>
        <v>58</v>
      </c>
      <c r="I97" s="17" t="s">
        <v>201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</row>
    <row r="98" customFormat="false" ht="15" hidden="false" customHeight="false" outlineLevel="0" collapsed="false">
      <c r="A98" s="1"/>
      <c r="B98" s="1"/>
      <c r="C98" s="8" t="s">
        <v>139</v>
      </c>
      <c r="D98" s="8" t="s">
        <v>140</v>
      </c>
      <c r="E98" s="28" t="n">
        <v>45</v>
      </c>
      <c r="F98" s="28" t="n">
        <v>60</v>
      </c>
      <c r="G98" s="28" t="n">
        <v>80</v>
      </c>
      <c r="H98" s="27" t="n">
        <f aca="false">INDEX(E98:G98,1,Dashboard!$C$4)</f>
        <v>60</v>
      </c>
      <c r="I98" s="17" t="s">
        <v>202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</row>
    <row r="99" customFormat="false" ht="15" hidden="false" customHeight="false" outlineLevel="0" collapsed="false">
      <c r="A99" s="1"/>
      <c r="B99" s="1"/>
      <c r="C99" s="8" t="s">
        <v>142</v>
      </c>
      <c r="D99" s="8" t="s">
        <v>143</v>
      </c>
      <c r="E99" s="28" t="n">
        <v>150</v>
      </c>
      <c r="F99" s="28" t="n">
        <v>200</v>
      </c>
      <c r="G99" s="28" t="n">
        <v>260</v>
      </c>
      <c r="H99" s="27" t="n">
        <f aca="false">INDEX(E99:G99,1,Dashboard!$C$4)</f>
        <v>200</v>
      </c>
      <c r="I99" s="17" t="s">
        <v>203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</row>
    <row r="100" customFormat="false" ht="15" hidden="false" customHeight="false" outlineLevel="0" collapsed="false">
      <c r="A100" s="1"/>
      <c r="B100" s="1"/>
      <c r="C100" s="8" t="s">
        <v>204</v>
      </c>
      <c r="D100" s="8" t="s">
        <v>66</v>
      </c>
      <c r="E100" s="22" t="n">
        <v>0.15</v>
      </c>
      <c r="F100" s="22" t="n">
        <v>0.15</v>
      </c>
      <c r="G100" s="22" t="n">
        <v>0.15</v>
      </c>
      <c r="H100" s="21" t="n">
        <f aca="false">INDEX(E100:G100,1,Dashboard!$C$4)</f>
        <v>0.15</v>
      </c>
      <c r="I100" s="17" t="s">
        <v>205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</row>
    <row r="101" customFormat="false" ht="15" hidden="false" customHeight="false" outlineLevel="0" collapsed="false">
      <c r="A101" s="1"/>
      <c r="B101" s="1"/>
      <c r="C101" s="8" t="s">
        <v>168</v>
      </c>
      <c r="D101" s="8" t="s">
        <v>66</v>
      </c>
      <c r="E101" s="22" t="n">
        <v>0.15</v>
      </c>
      <c r="F101" s="22" t="n">
        <v>0.15</v>
      </c>
      <c r="G101" s="22" t="n">
        <v>0.15</v>
      </c>
      <c r="H101" s="21" t="n">
        <f aca="false">INDEX(E101:G101,1,Dashboard!$C$4)</f>
        <v>0.15</v>
      </c>
      <c r="I101" s="17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</row>
    <row r="102" customFormat="false" ht="15" hidden="false" customHeight="false" outlineLevel="0" collapsed="false">
      <c r="A102" s="1"/>
      <c r="B102" s="1"/>
      <c r="C102" s="8" t="s">
        <v>170</v>
      </c>
      <c r="D102" s="8" t="s">
        <v>66</v>
      </c>
      <c r="E102" s="22" t="n">
        <v>0.1</v>
      </c>
      <c r="F102" s="22" t="n">
        <v>0.1</v>
      </c>
      <c r="G102" s="22" t="n">
        <v>0.1</v>
      </c>
      <c r="H102" s="21" t="n">
        <f aca="false">INDEX(E102:G102,1,Dashboard!$C$4)</f>
        <v>0.1</v>
      </c>
      <c r="I102" s="17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</row>
    <row r="103" customFormat="false" ht="15" hidden="false" customHeight="false" outlineLevel="0" collapsed="false">
      <c r="A103" s="1"/>
      <c r="B103" s="1"/>
      <c r="C103" s="8" t="s">
        <v>206</v>
      </c>
      <c r="D103" s="8" t="s">
        <v>66</v>
      </c>
      <c r="E103" s="22" t="n">
        <v>0.6</v>
      </c>
      <c r="F103" s="22" t="n">
        <v>0.6</v>
      </c>
      <c r="G103" s="22" t="n">
        <v>0.6</v>
      </c>
      <c r="H103" s="21" t="n">
        <f aca="false">INDEX(E103:G103,1,Dashboard!$C$4)</f>
        <v>0.6</v>
      </c>
      <c r="I103" s="17" t="s">
        <v>207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</row>
    <row r="104" customFormat="false" ht="15" hidden="false" customHeight="false" outlineLevel="0" collapsed="false">
      <c r="A104" s="1"/>
      <c r="B104" s="1"/>
      <c r="C104" s="8" t="s">
        <v>176</v>
      </c>
      <c r="D104" s="8" t="s">
        <v>66</v>
      </c>
      <c r="E104" s="22" t="n">
        <v>0.15</v>
      </c>
      <c r="F104" s="22" t="n">
        <v>0.15</v>
      </c>
      <c r="G104" s="22" t="n">
        <v>0.15</v>
      </c>
      <c r="H104" s="21" t="n">
        <f aca="false">INDEX(E104:G104,1,Dashboard!$C$4)</f>
        <v>0.15</v>
      </c>
      <c r="I104" s="17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</row>
    <row r="106" customFormat="false" ht="15" hidden="false" customHeight="false" outlineLevel="0" collapsed="false">
      <c r="A106" s="1"/>
      <c r="B106" s="13" t="s">
        <v>208</v>
      </c>
      <c r="C106" s="14"/>
      <c r="D106" s="14"/>
      <c r="E106" s="14"/>
      <c r="F106" s="14"/>
      <c r="G106" s="14"/>
      <c r="H106" s="14"/>
      <c r="I106" s="1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</row>
    <row r="107" customFormat="false" ht="15" hidden="false" customHeight="false" outlineLevel="0" collapsed="false">
      <c r="A107" s="1"/>
      <c r="B107" s="1"/>
      <c r="C107" s="8" t="s">
        <v>188</v>
      </c>
      <c r="D107" s="8" t="s">
        <v>114</v>
      </c>
      <c r="E107" s="28" t="n">
        <v>300</v>
      </c>
      <c r="F107" s="28" t="n">
        <v>300</v>
      </c>
      <c r="G107" s="28" t="n">
        <v>300</v>
      </c>
      <c r="H107" s="27" t="n">
        <f aca="false">INDEX(E107:G107,1,Dashboard!$C$4)</f>
        <v>300</v>
      </c>
      <c r="I107" s="17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</row>
    <row r="108" customFormat="false" ht="15" hidden="false" customHeight="false" outlineLevel="0" collapsed="false">
      <c r="A108" s="1"/>
      <c r="B108" s="1"/>
      <c r="C108" s="8" t="s">
        <v>189</v>
      </c>
      <c r="D108" s="8" t="s">
        <v>117</v>
      </c>
      <c r="E108" s="26" t="n">
        <v>2000</v>
      </c>
      <c r="F108" s="26" t="n">
        <v>3400</v>
      </c>
      <c r="G108" s="26" t="n">
        <v>5800</v>
      </c>
      <c r="H108" s="27" t="n">
        <f aca="false">INDEX(E108:G108,1,Dashboard!$C$4)</f>
        <v>3400</v>
      </c>
      <c r="I108" s="17" t="s">
        <v>209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</row>
    <row r="109" customFormat="false" ht="15" hidden="false" customHeight="false" outlineLevel="0" collapsed="false">
      <c r="A109" s="1"/>
      <c r="B109" s="1"/>
      <c r="C109" s="8" t="s">
        <v>191</v>
      </c>
      <c r="D109" s="8" t="s">
        <v>84</v>
      </c>
      <c r="E109" s="15" t="n">
        <v>2</v>
      </c>
      <c r="F109" s="15" t="n">
        <v>2</v>
      </c>
      <c r="G109" s="15" t="n">
        <v>3</v>
      </c>
      <c r="H109" s="16" t="n">
        <f aca="false">INDEX(E109:G109,1,Dashboard!$C$4)</f>
        <v>2</v>
      </c>
      <c r="I109" s="17" t="s">
        <v>192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</row>
    <row r="110" customFormat="false" ht="15" hidden="false" customHeight="false" outlineLevel="0" collapsed="false">
      <c r="A110" s="1"/>
      <c r="B110" s="1"/>
      <c r="C110" s="8" t="s">
        <v>123</v>
      </c>
      <c r="D110" s="8" t="s">
        <v>84</v>
      </c>
      <c r="E110" s="15" t="n">
        <v>30</v>
      </c>
      <c r="F110" s="15" t="n">
        <v>30</v>
      </c>
      <c r="G110" s="15" t="n">
        <v>30</v>
      </c>
      <c r="H110" s="16" t="n">
        <f aca="false">INDEX(E110:G110,1,Dashboard!$C$4)</f>
        <v>30</v>
      </c>
      <c r="I110" s="17" t="s">
        <v>193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</row>
    <row r="111" customFormat="false" ht="15" hidden="false" customHeight="false" outlineLevel="0" collapsed="false">
      <c r="A111" s="1"/>
      <c r="B111" s="1"/>
      <c r="C111" s="8" t="s">
        <v>194</v>
      </c>
      <c r="D111" s="8" t="s">
        <v>66</v>
      </c>
      <c r="E111" s="22" t="n">
        <v>0.36</v>
      </c>
      <c r="F111" s="22" t="n">
        <v>0.39</v>
      </c>
      <c r="G111" s="22" t="n">
        <v>0.43</v>
      </c>
      <c r="H111" s="21" t="n">
        <f aca="false">INDEX(E111:G111,1,Dashboard!$C$4)</f>
        <v>0.39</v>
      </c>
      <c r="I111" s="17" t="s">
        <v>210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</row>
    <row r="112" customFormat="false" ht="15" hidden="false" customHeight="false" outlineLevel="0" collapsed="false">
      <c r="A112" s="1"/>
      <c r="B112" s="1"/>
      <c r="C112" s="8" t="s">
        <v>196</v>
      </c>
      <c r="D112" s="8" t="s">
        <v>81</v>
      </c>
      <c r="E112" s="28" t="n">
        <v>30</v>
      </c>
      <c r="F112" s="28" t="n">
        <v>55</v>
      </c>
      <c r="G112" s="28" t="n">
        <v>85</v>
      </c>
      <c r="H112" s="27" t="n">
        <f aca="false">INDEX(E112:G112,1,Dashboard!$C$4)</f>
        <v>55</v>
      </c>
      <c r="I112" s="17" t="s">
        <v>197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</row>
    <row r="113" customFormat="false" ht="15" hidden="false" customHeight="false" outlineLevel="0" collapsed="false">
      <c r="A113" s="1"/>
      <c r="B113" s="1"/>
      <c r="C113" s="8" t="s">
        <v>198</v>
      </c>
      <c r="D113" s="8" t="s">
        <v>76</v>
      </c>
      <c r="E113" s="23" t="n">
        <v>15</v>
      </c>
      <c r="F113" s="23" t="n">
        <v>20</v>
      </c>
      <c r="G113" s="23" t="n">
        <v>30</v>
      </c>
      <c r="H113" s="24" t="n">
        <f aca="false">INDEX(E113:G113,1,Dashboard!$C$4)</f>
        <v>20</v>
      </c>
      <c r="I113" s="17" t="s">
        <v>199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</row>
    <row r="114" customFormat="false" ht="15" hidden="false" customHeight="false" outlineLevel="0" collapsed="false">
      <c r="A114" s="1"/>
      <c r="B114" s="1"/>
      <c r="C114" s="8" t="s">
        <v>200</v>
      </c>
      <c r="D114" s="8" t="s">
        <v>81</v>
      </c>
      <c r="E114" s="28" t="n">
        <v>35</v>
      </c>
      <c r="F114" s="28" t="n">
        <v>35</v>
      </c>
      <c r="G114" s="28" t="n">
        <v>35</v>
      </c>
      <c r="H114" s="27" t="n">
        <f aca="false">INDEX(E114:G114,1,Dashboard!$C$4)</f>
        <v>35</v>
      </c>
      <c r="I114" s="17" t="s">
        <v>201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</row>
    <row r="115" customFormat="false" ht="15" hidden="false" customHeight="false" outlineLevel="0" collapsed="false">
      <c r="A115" s="1"/>
      <c r="B115" s="1"/>
      <c r="C115" s="8" t="s">
        <v>139</v>
      </c>
      <c r="D115" s="8" t="s">
        <v>140</v>
      </c>
      <c r="E115" s="28" t="n">
        <v>10</v>
      </c>
      <c r="F115" s="28" t="n">
        <v>15</v>
      </c>
      <c r="G115" s="28" t="n">
        <v>20</v>
      </c>
      <c r="H115" s="27" t="n">
        <f aca="false">INDEX(E115:G115,1,Dashboard!$C$4)</f>
        <v>15</v>
      </c>
      <c r="I115" s="34" t="s">
        <v>202</v>
      </c>
      <c r="J115" s="28" t="n">
        <v>20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</row>
    <row r="116" customFormat="false" ht="15" hidden="false" customHeight="false" outlineLevel="0" collapsed="false">
      <c r="A116" s="1"/>
      <c r="B116" s="1"/>
      <c r="C116" s="8" t="s">
        <v>142</v>
      </c>
      <c r="D116" s="8" t="s">
        <v>143</v>
      </c>
      <c r="E116" s="28" t="n">
        <v>150</v>
      </c>
      <c r="F116" s="28" t="n">
        <v>200</v>
      </c>
      <c r="G116" s="28" t="n">
        <v>260</v>
      </c>
      <c r="H116" s="27" t="n">
        <f aca="false">INDEX(E116:G116,1,Dashboard!$C$4)</f>
        <v>200</v>
      </c>
      <c r="I116" s="17" t="s">
        <v>203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</row>
    <row r="117" customFormat="false" ht="15" hidden="false" customHeight="false" outlineLevel="0" collapsed="false">
      <c r="A117" s="1"/>
      <c r="B117" s="1"/>
      <c r="C117" s="8" t="s">
        <v>204</v>
      </c>
      <c r="D117" s="8" t="s">
        <v>66</v>
      </c>
      <c r="E117" s="22" t="n">
        <v>0.12</v>
      </c>
      <c r="F117" s="22" t="n">
        <v>0.12</v>
      </c>
      <c r="G117" s="22" t="n">
        <v>0.12</v>
      </c>
      <c r="H117" s="21" t="n">
        <f aca="false">INDEX(E117:G117,1,Dashboard!$C$4)</f>
        <v>0.12</v>
      </c>
      <c r="I117" s="17" t="s">
        <v>205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</row>
    <row r="118" customFormat="false" ht="15" hidden="false" customHeight="false" outlineLevel="0" collapsed="false">
      <c r="A118" s="1"/>
      <c r="B118" s="1"/>
      <c r="C118" s="8" t="s">
        <v>168</v>
      </c>
      <c r="D118" s="8" t="s">
        <v>66</v>
      </c>
      <c r="E118" s="22" t="n">
        <v>0.1</v>
      </c>
      <c r="F118" s="22" t="n">
        <v>0.1</v>
      </c>
      <c r="G118" s="22" t="n">
        <v>0.1</v>
      </c>
      <c r="H118" s="21" t="n">
        <f aca="false">INDEX(E118:G118,1,Dashboard!$C$4)</f>
        <v>0.1</v>
      </c>
      <c r="I118" s="17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</row>
    <row r="119" customFormat="false" ht="15" hidden="false" customHeight="false" outlineLevel="0" collapsed="false">
      <c r="A119" s="1"/>
      <c r="B119" s="1"/>
      <c r="C119" s="8" t="s">
        <v>170</v>
      </c>
      <c r="D119" s="8" t="s">
        <v>66</v>
      </c>
      <c r="E119" s="22" t="n">
        <v>0.1</v>
      </c>
      <c r="F119" s="22" t="n">
        <v>0.1</v>
      </c>
      <c r="G119" s="22" t="n">
        <v>0.1</v>
      </c>
      <c r="H119" s="21" t="n">
        <f aca="false">INDEX(E119:G119,1,Dashboard!$C$4)</f>
        <v>0.1</v>
      </c>
      <c r="I119" s="17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</row>
    <row r="120" customFormat="false" ht="15" hidden="false" customHeight="false" outlineLevel="0" collapsed="false">
      <c r="A120" s="1"/>
      <c r="B120" s="1"/>
      <c r="C120" s="8" t="s">
        <v>206</v>
      </c>
      <c r="D120" s="8" t="s">
        <v>66</v>
      </c>
      <c r="E120" s="22" t="n">
        <v>0.65</v>
      </c>
      <c r="F120" s="22" t="n">
        <v>0.65</v>
      </c>
      <c r="G120" s="22" t="n">
        <v>0.65</v>
      </c>
      <c r="H120" s="21" t="n">
        <f aca="false">INDEX(E120:G120,1,Dashboard!$C$4)</f>
        <v>0.65</v>
      </c>
      <c r="I120" s="17" t="s">
        <v>207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</row>
    <row r="121" customFormat="false" ht="15" hidden="false" customHeight="false" outlineLevel="0" collapsed="false">
      <c r="A121" s="1"/>
      <c r="B121" s="1"/>
      <c r="C121" s="8" t="s">
        <v>176</v>
      </c>
      <c r="D121" s="8" t="s">
        <v>66</v>
      </c>
      <c r="E121" s="22" t="n">
        <v>0.15</v>
      </c>
      <c r="F121" s="22" t="n">
        <v>0.15</v>
      </c>
      <c r="G121" s="22" t="n">
        <v>0.15</v>
      </c>
      <c r="H121" s="21" t="n">
        <f aca="false">INDEX(E121:G121,1,Dashboard!$C$4)</f>
        <v>0.15</v>
      </c>
      <c r="I121" s="1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</row>
    <row r="123" customFormat="false" ht="15" hidden="false" customHeight="false" outlineLevel="0" collapsed="false">
      <c r="A123" s="1"/>
      <c r="B123" s="13" t="s">
        <v>211</v>
      </c>
      <c r="C123" s="14"/>
      <c r="D123" s="14"/>
      <c r="E123" s="14"/>
      <c r="F123" s="14"/>
      <c r="G123" s="14"/>
      <c r="H123" s="14"/>
      <c r="I123" s="1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</row>
    <row r="124" customFormat="false" ht="15" hidden="false" customHeight="false" outlineLevel="0" collapsed="false">
      <c r="A124" s="1"/>
      <c r="B124" s="1"/>
      <c r="C124" s="8" t="s">
        <v>188</v>
      </c>
      <c r="D124" s="8" t="s">
        <v>114</v>
      </c>
      <c r="E124" s="28" t="n">
        <v>72</v>
      </c>
      <c r="F124" s="28" t="n">
        <v>72</v>
      </c>
      <c r="G124" s="28" t="n">
        <v>72</v>
      </c>
      <c r="H124" s="27" t="n">
        <f aca="false">INDEX(E124:G124,1,Dashboard!$C$4)</f>
        <v>72</v>
      </c>
      <c r="I124" s="1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</row>
    <row r="125" customFormat="false" ht="15" hidden="false" customHeight="false" outlineLevel="0" collapsed="false">
      <c r="A125" s="1"/>
      <c r="B125" s="1"/>
      <c r="C125" s="8" t="s">
        <v>189</v>
      </c>
      <c r="D125" s="8" t="s">
        <v>117</v>
      </c>
      <c r="E125" s="26" t="n">
        <v>2700</v>
      </c>
      <c r="F125" s="26" t="n">
        <v>3800</v>
      </c>
      <c r="G125" s="26" t="n">
        <v>5000</v>
      </c>
      <c r="H125" s="27" t="n">
        <f aca="false">INDEX(E125:G125,1,Dashboard!$C$4)</f>
        <v>3800</v>
      </c>
      <c r="I125" s="17" t="s">
        <v>212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</row>
    <row r="126" customFormat="false" ht="15" hidden="false" customHeight="false" outlineLevel="0" collapsed="false">
      <c r="A126" s="1"/>
      <c r="B126" s="1"/>
      <c r="C126" s="8" t="s">
        <v>191</v>
      </c>
      <c r="D126" s="8" t="s">
        <v>84</v>
      </c>
      <c r="E126" s="15" t="n">
        <v>1</v>
      </c>
      <c r="F126" s="15" t="n">
        <v>2</v>
      </c>
      <c r="G126" s="15" t="n">
        <v>2</v>
      </c>
      <c r="H126" s="16" t="n">
        <f aca="false">INDEX(E126:G126,1,Dashboard!$C$4)</f>
        <v>2</v>
      </c>
      <c r="I126" s="17" t="s">
        <v>192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</row>
    <row r="127" customFormat="false" ht="15" hidden="false" customHeight="false" outlineLevel="0" collapsed="false">
      <c r="A127" s="1"/>
      <c r="B127" s="1"/>
      <c r="C127" s="8" t="s">
        <v>123</v>
      </c>
      <c r="D127" s="8" t="s">
        <v>84</v>
      </c>
      <c r="E127" s="15" t="n">
        <v>25</v>
      </c>
      <c r="F127" s="15" t="n">
        <v>25</v>
      </c>
      <c r="G127" s="15" t="n">
        <v>25</v>
      </c>
      <c r="H127" s="16" t="n">
        <f aca="false">INDEX(E127:G127,1,Dashboard!$C$4)</f>
        <v>25</v>
      </c>
      <c r="I127" s="17" t="s">
        <v>193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</row>
    <row r="128" customFormat="false" ht="15" hidden="false" customHeight="false" outlineLevel="0" collapsed="false">
      <c r="A128" s="1"/>
      <c r="B128" s="1"/>
      <c r="C128" s="8" t="s">
        <v>194</v>
      </c>
      <c r="D128" s="8" t="s">
        <v>66</v>
      </c>
      <c r="E128" s="22" t="n">
        <v>0.45</v>
      </c>
      <c r="F128" s="22" t="n">
        <v>0.48</v>
      </c>
      <c r="G128" s="22" t="n">
        <v>0.5</v>
      </c>
      <c r="H128" s="21" t="n">
        <f aca="false">INDEX(E128:G128,1,Dashboard!$C$4)</f>
        <v>0.48</v>
      </c>
      <c r="I128" s="17" t="s">
        <v>213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</row>
    <row r="129" customFormat="false" ht="15" hidden="false" customHeight="false" outlineLevel="0" collapsed="false">
      <c r="A129" s="1"/>
      <c r="B129" s="1"/>
      <c r="C129" s="8" t="s">
        <v>196</v>
      </c>
      <c r="D129" s="8" t="s">
        <v>81</v>
      </c>
      <c r="E129" s="28" t="n">
        <v>55</v>
      </c>
      <c r="F129" s="28" t="n">
        <v>75</v>
      </c>
      <c r="G129" s="28" t="n">
        <v>95</v>
      </c>
      <c r="H129" s="27" t="n">
        <f aca="false">INDEX(E129:G129,1,Dashboard!$C$4)</f>
        <v>75</v>
      </c>
      <c r="I129" s="17" t="s">
        <v>197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</row>
    <row r="130" customFormat="false" ht="15" hidden="false" customHeight="false" outlineLevel="0" collapsed="false">
      <c r="A130" s="1"/>
      <c r="B130" s="1"/>
      <c r="C130" s="8" t="s">
        <v>198</v>
      </c>
      <c r="D130" s="8" t="s">
        <v>76</v>
      </c>
      <c r="E130" s="23" t="n">
        <v>25</v>
      </c>
      <c r="F130" s="23" t="n">
        <v>32</v>
      </c>
      <c r="G130" s="23" t="n">
        <v>40</v>
      </c>
      <c r="H130" s="24" t="n">
        <f aca="false">INDEX(E130:G130,1,Dashboard!$C$4)</f>
        <v>32</v>
      </c>
      <c r="I130" s="17" t="s">
        <v>199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</row>
    <row r="131" customFormat="false" ht="15" hidden="false" customHeight="false" outlineLevel="0" collapsed="false">
      <c r="A131" s="1"/>
      <c r="B131" s="1"/>
      <c r="C131" s="8" t="s">
        <v>200</v>
      </c>
      <c r="D131" s="8" t="s">
        <v>81</v>
      </c>
      <c r="E131" s="28" t="n">
        <v>35</v>
      </c>
      <c r="F131" s="28" t="n">
        <v>35</v>
      </c>
      <c r="G131" s="28" t="n">
        <v>35</v>
      </c>
      <c r="H131" s="27" t="n">
        <f aca="false">INDEX(E131:G131,1,Dashboard!$C$4)</f>
        <v>35</v>
      </c>
      <c r="I131" s="17" t="s">
        <v>201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</row>
    <row r="132" customFormat="false" ht="15" hidden="false" customHeight="false" outlineLevel="0" collapsed="false">
      <c r="A132" s="1"/>
      <c r="B132" s="1"/>
      <c r="C132" s="8" t="s">
        <v>139</v>
      </c>
      <c r="D132" s="8" t="s">
        <v>140</v>
      </c>
      <c r="E132" s="28" t="n">
        <v>10</v>
      </c>
      <c r="F132" s="28" t="n">
        <v>15</v>
      </c>
      <c r="G132" s="28" t="n">
        <v>20</v>
      </c>
      <c r="H132" s="27" t="n">
        <f aca="false">INDEX(E132:G132,1,Dashboard!$C$4)</f>
        <v>15</v>
      </c>
      <c r="I132" s="34" t="s">
        <v>202</v>
      </c>
      <c r="J132" s="28" t="n">
        <v>20</v>
      </c>
      <c r="K132" s="28" t="n">
        <v>10</v>
      </c>
      <c r="L132" s="28" t="n">
        <v>15</v>
      </c>
      <c r="M132" s="28" t="n">
        <v>20</v>
      </c>
      <c r="N132" s="28" t="n">
        <v>10</v>
      </c>
      <c r="O132" s="28" t="n">
        <v>15</v>
      </c>
      <c r="P132" s="28" t="n">
        <v>20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</row>
    <row r="133" customFormat="false" ht="15" hidden="false" customHeight="false" outlineLevel="0" collapsed="false">
      <c r="A133" s="1"/>
      <c r="B133" s="1"/>
      <c r="C133" s="8" t="s">
        <v>142</v>
      </c>
      <c r="D133" s="8" t="s">
        <v>143</v>
      </c>
      <c r="E133" s="28" t="n">
        <v>150</v>
      </c>
      <c r="F133" s="28" t="n">
        <v>200</v>
      </c>
      <c r="G133" s="28" t="n">
        <v>260</v>
      </c>
      <c r="H133" s="27" t="n">
        <f aca="false">INDEX(E133:G133,1,Dashboard!$C$4)</f>
        <v>200</v>
      </c>
      <c r="I133" s="17" t="s">
        <v>203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</row>
    <row r="134" customFormat="false" ht="15" hidden="false" customHeight="false" outlineLevel="0" collapsed="false">
      <c r="A134" s="1"/>
      <c r="B134" s="1"/>
      <c r="C134" s="8" t="s">
        <v>204</v>
      </c>
      <c r="D134" s="8" t="s">
        <v>66</v>
      </c>
      <c r="E134" s="22" t="n">
        <v>0.12</v>
      </c>
      <c r="F134" s="22" t="n">
        <v>0.12</v>
      </c>
      <c r="G134" s="22" t="n">
        <v>0.12</v>
      </c>
      <c r="H134" s="21" t="n">
        <f aca="false">INDEX(E134:G134,1,Dashboard!$C$4)</f>
        <v>0.12</v>
      </c>
      <c r="I134" s="17" t="s">
        <v>205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</row>
    <row r="135" customFormat="false" ht="15" hidden="false" customHeight="false" outlineLevel="0" collapsed="false">
      <c r="A135" s="1"/>
      <c r="B135" s="1"/>
      <c r="C135" s="8" t="s">
        <v>168</v>
      </c>
      <c r="D135" s="8" t="s">
        <v>66</v>
      </c>
      <c r="E135" s="22" t="n">
        <v>0.1</v>
      </c>
      <c r="F135" s="22" t="n">
        <v>0.1</v>
      </c>
      <c r="G135" s="22" t="n">
        <v>0.1</v>
      </c>
      <c r="H135" s="21" t="n">
        <f aca="false">INDEX(E135:G135,1,Dashboard!$C$4)</f>
        <v>0.1</v>
      </c>
      <c r="I135" s="1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</row>
    <row r="136" customFormat="false" ht="15" hidden="false" customHeight="false" outlineLevel="0" collapsed="false">
      <c r="A136" s="1"/>
      <c r="B136" s="1"/>
      <c r="C136" s="8" t="s">
        <v>170</v>
      </c>
      <c r="D136" s="8" t="s">
        <v>66</v>
      </c>
      <c r="E136" s="22" t="n">
        <v>0.1</v>
      </c>
      <c r="F136" s="22" t="n">
        <v>0.1</v>
      </c>
      <c r="G136" s="22" t="n">
        <v>0.1</v>
      </c>
      <c r="H136" s="21" t="n">
        <f aca="false">INDEX(E136:G136,1,Dashboard!$C$4)</f>
        <v>0.1</v>
      </c>
      <c r="I136" s="1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</row>
    <row r="137" customFormat="false" ht="15" hidden="false" customHeight="false" outlineLevel="0" collapsed="false">
      <c r="A137" s="1"/>
      <c r="B137" s="1"/>
      <c r="C137" s="8" t="s">
        <v>206</v>
      </c>
      <c r="D137" s="8" t="s">
        <v>66</v>
      </c>
      <c r="E137" s="22" t="n">
        <v>0.65</v>
      </c>
      <c r="F137" s="22" t="n">
        <v>0.65</v>
      </c>
      <c r="G137" s="22" t="n">
        <v>0.65</v>
      </c>
      <c r="H137" s="21" t="n">
        <f aca="false">INDEX(E137:G137,1,Dashboard!$C$4)</f>
        <v>0.65</v>
      </c>
      <c r="I137" s="17" t="s">
        <v>207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</row>
    <row r="138" customFormat="false" ht="15" hidden="false" customHeight="false" outlineLevel="0" collapsed="false">
      <c r="A138" s="1"/>
      <c r="B138" s="1"/>
      <c r="C138" s="8" t="s">
        <v>176</v>
      </c>
      <c r="D138" s="8" t="s">
        <v>66</v>
      </c>
      <c r="E138" s="22" t="n">
        <v>0.15</v>
      </c>
      <c r="F138" s="22" t="n">
        <v>0.15</v>
      </c>
      <c r="G138" s="22" t="n">
        <v>0.15</v>
      </c>
      <c r="H138" s="21" t="n">
        <f aca="false">INDEX(E138:G138,1,Dashboard!$C$4)</f>
        <v>0.15</v>
      </c>
      <c r="I138" s="1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</row>
    <row r="140" customFormat="false" ht="15" hidden="false" customHeight="false" outlineLevel="0" collapsed="false">
      <c r="A140" s="1"/>
      <c r="B140" s="13" t="s">
        <v>214</v>
      </c>
      <c r="C140" s="14"/>
      <c r="D140" s="14"/>
      <c r="E140" s="14"/>
      <c r="F140" s="14"/>
      <c r="G140" s="14"/>
      <c r="H140" s="14"/>
      <c r="I140" s="1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</row>
    <row r="141" customFormat="false" ht="15" hidden="false" customHeight="false" outlineLevel="0" collapsed="false">
      <c r="A141" s="1"/>
      <c r="B141" s="1"/>
      <c r="C141" s="8" t="s">
        <v>215</v>
      </c>
      <c r="D141" s="8" t="s">
        <v>66</v>
      </c>
      <c r="E141" s="22" t="n">
        <v>0.19</v>
      </c>
      <c r="F141" s="22" t="n">
        <v>0.19</v>
      </c>
      <c r="G141" s="22" t="n">
        <v>0.19</v>
      </c>
      <c r="H141" s="21" t="n">
        <f aca="false">INDEX(E141:G141,1,Dashboard!$C$4)</f>
        <v>0.19</v>
      </c>
      <c r="I141" s="17" t="s">
        <v>216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</row>
    <row r="142" customFormat="false" ht="15" hidden="false" customHeight="false" outlineLevel="0" collapsed="false">
      <c r="A142" s="1"/>
      <c r="B142" s="1"/>
      <c r="C142" s="8" t="s">
        <v>217</v>
      </c>
      <c r="D142" s="8" t="s">
        <v>218</v>
      </c>
      <c r="E142" s="22" t="n">
        <v>0.025</v>
      </c>
      <c r="F142" s="22" t="n">
        <v>0.025</v>
      </c>
      <c r="G142" s="22" t="n">
        <v>0.025</v>
      </c>
      <c r="H142" s="21" t="n">
        <f aca="false">INDEX(E142:G142,1,Dashboard!$C$4)</f>
        <v>0.025</v>
      </c>
      <c r="I142" s="17" t="s">
        <v>219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</row>
    <row r="143" customFormat="false" ht="15" hidden="false" customHeight="false" outlineLevel="0" collapsed="false">
      <c r="A143" s="1"/>
      <c r="B143" s="1"/>
      <c r="C143" s="8" t="s">
        <v>220</v>
      </c>
      <c r="D143" s="8" t="s">
        <v>218</v>
      </c>
      <c r="E143" s="22" t="n">
        <v>0.045</v>
      </c>
      <c r="F143" s="22" t="n">
        <v>0.045</v>
      </c>
      <c r="G143" s="22" t="n">
        <v>0.045</v>
      </c>
      <c r="H143" s="21" t="n">
        <f aca="false">INDEX(E143:G143,1,Dashboard!$C$4)</f>
        <v>0.045</v>
      </c>
      <c r="I143" s="1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</row>
    <row r="144" customFormat="false" ht="15" hidden="false" customHeight="false" outlineLevel="0" collapsed="false">
      <c r="A144" s="1"/>
      <c r="B144" s="1"/>
      <c r="C144" s="8" t="s">
        <v>221</v>
      </c>
      <c r="D144" s="8" t="s">
        <v>218</v>
      </c>
      <c r="E144" s="22" t="n">
        <v>0.14</v>
      </c>
      <c r="F144" s="22" t="n">
        <v>0.14</v>
      </c>
      <c r="G144" s="22" t="n">
        <v>0.14</v>
      </c>
      <c r="H144" s="21" t="n">
        <f aca="false">INDEX(E144:G144,1,Dashboard!$C$4)</f>
        <v>0.14</v>
      </c>
      <c r="I144" s="1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</row>
    <row r="145" customFormat="false" ht="15" hidden="false" customHeight="false" outlineLevel="0" collapsed="false">
      <c r="A145" s="1"/>
      <c r="B145" s="1"/>
      <c r="C145" s="8" t="s">
        <v>222</v>
      </c>
      <c r="D145" s="8" t="s">
        <v>218</v>
      </c>
      <c r="E145" s="22" t="n">
        <v>0.07</v>
      </c>
      <c r="F145" s="22" t="n">
        <v>0.07</v>
      </c>
      <c r="G145" s="22" t="n">
        <v>0.07</v>
      </c>
      <c r="H145" s="21" t="n">
        <f aca="false">INDEX(E145:G145,1,Dashboard!$C$4)</f>
        <v>0.07</v>
      </c>
      <c r="I145" s="1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</row>
    <row r="146" customFormat="false" ht="15" hidden="false" customHeight="false" outlineLevel="0" collapsed="false">
      <c r="A146" s="1"/>
      <c r="B146" s="1"/>
      <c r="C146" s="8" t="s">
        <v>223</v>
      </c>
      <c r="D146" s="8" t="s">
        <v>218</v>
      </c>
      <c r="E146" s="22" t="n">
        <v>0.1</v>
      </c>
      <c r="F146" s="22" t="n">
        <v>0.1</v>
      </c>
      <c r="G146" s="22" t="n">
        <v>0.1</v>
      </c>
      <c r="H146" s="21" t="n">
        <f aca="false">INDEX(E146:G146,1,Dashboard!$C$4)</f>
        <v>0.1</v>
      </c>
      <c r="I146" s="1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</row>
    <row r="147" customFormat="false" ht="15" hidden="false" customHeight="false" outlineLevel="0" collapsed="false">
      <c r="A147" s="1"/>
      <c r="B147" s="1"/>
      <c r="C147" s="8" t="s">
        <v>224</v>
      </c>
      <c r="D147" s="8" t="s">
        <v>66</v>
      </c>
      <c r="E147" s="29" t="n">
        <v>0.016</v>
      </c>
      <c r="F147" s="29" t="n">
        <v>0.016</v>
      </c>
      <c r="G147" s="29" t="n">
        <v>0.016</v>
      </c>
      <c r="H147" s="30" t="n">
        <f aca="false">INDEX(E147:G147,1,Dashboard!$C$4)</f>
        <v>0.016</v>
      </c>
      <c r="I147" s="17" t="s">
        <v>225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</row>
    <row r="148" customFormat="false" ht="15" hidden="false" customHeight="false" outlineLevel="0" collapsed="false">
      <c r="A148" s="1"/>
      <c r="B148" s="1"/>
      <c r="C148" s="8" t="s">
        <v>226</v>
      </c>
      <c r="D148" s="8" t="s">
        <v>66</v>
      </c>
      <c r="E148" s="29" t="n">
        <v>0.017</v>
      </c>
      <c r="F148" s="29" t="n">
        <v>0.017</v>
      </c>
      <c r="G148" s="29" t="n">
        <v>0.017</v>
      </c>
      <c r="H148" s="30" t="n">
        <f aca="false">INDEX(E148:G148,1,Dashboard!$C$4)</f>
        <v>0.017</v>
      </c>
      <c r="I148" s="1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</row>
    <row r="149" customFormat="false" ht="15" hidden="false" customHeight="false" outlineLevel="0" collapsed="false">
      <c r="A149" s="1"/>
      <c r="B149" s="1"/>
      <c r="C149" s="8" t="s">
        <v>227</v>
      </c>
      <c r="D149" s="8" t="s">
        <v>66</v>
      </c>
      <c r="E149" s="29" t="n">
        <v>0.023</v>
      </c>
      <c r="F149" s="29" t="n">
        <v>0.023</v>
      </c>
      <c r="G149" s="29" t="n">
        <v>0.023</v>
      </c>
      <c r="H149" s="30" t="n">
        <f aca="false">INDEX(E149:G149,1,Dashboard!$C$4)</f>
        <v>0.023</v>
      </c>
      <c r="I149" s="1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</row>
    <row r="150" customFormat="false" ht="15" hidden="false" customHeight="false" outlineLevel="0" collapsed="false">
      <c r="A150" s="1"/>
      <c r="B150" s="1"/>
      <c r="C150" s="8" t="s">
        <v>228</v>
      </c>
      <c r="D150" s="8" t="s">
        <v>66</v>
      </c>
      <c r="E150" s="29" t="n">
        <v>0.07</v>
      </c>
      <c r="F150" s="29" t="n">
        <v>0.07</v>
      </c>
      <c r="G150" s="29" t="n">
        <v>0.07</v>
      </c>
      <c r="H150" s="30" t="n">
        <f aca="false">INDEX(E150:G150,1,Dashboard!$C$4)</f>
        <v>0.07</v>
      </c>
      <c r="I150" s="17" t="s">
        <v>229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</row>
    <row r="151" customFormat="false" ht="15" hidden="false" customHeight="false" outlineLevel="0" collapsed="false">
      <c r="A151" s="1"/>
      <c r="B151" s="1"/>
      <c r="C151" s="8" t="s">
        <v>230</v>
      </c>
      <c r="D151" s="8" t="s">
        <v>66</v>
      </c>
      <c r="E151" s="29" t="n">
        <v>0.02</v>
      </c>
      <c r="F151" s="29" t="n">
        <v>0.02</v>
      </c>
      <c r="G151" s="29" t="n">
        <v>0.02</v>
      </c>
      <c r="H151" s="30" t="n">
        <f aca="false">INDEX(E151:G151,1,Dashboard!$C$4)</f>
        <v>0.02</v>
      </c>
      <c r="I151" s="1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</row>
    <row r="152" customFormat="false" ht="15" hidden="false" customHeight="false" outlineLevel="0" collapsed="false">
      <c r="A152" s="1"/>
      <c r="B152" s="1"/>
      <c r="C152" s="8" t="s">
        <v>231</v>
      </c>
      <c r="D152" s="8" t="s">
        <v>66</v>
      </c>
      <c r="E152" s="29" t="n">
        <v>0.0035</v>
      </c>
      <c r="F152" s="29" t="n">
        <v>0.0035</v>
      </c>
      <c r="G152" s="29" t="n">
        <v>0.0035</v>
      </c>
      <c r="H152" s="30" t="n">
        <f aca="false">INDEX(E152:G152,1,Dashboard!$C$4)</f>
        <v>0.0035</v>
      </c>
      <c r="I152" s="1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</row>
    <row r="153" customFormat="false" ht="15" hidden="false" customHeight="false" outlineLevel="0" collapsed="false">
      <c r="A153" s="1"/>
      <c r="B153" s="1"/>
      <c r="C153" s="8" t="s">
        <v>232</v>
      </c>
      <c r="D153" s="8" t="s">
        <v>66</v>
      </c>
      <c r="E153" s="29" t="n">
        <v>0.1371</v>
      </c>
      <c r="F153" s="29" t="n">
        <v>0.1371</v>
      </c>
      <c r="G153" s="29" t="n">
        <v>0.1371</v>
      </c>
      <c r="H153" s="30" t="n">
        <f aca="false">INDEX(E153:G153,1,Dashboard!$C$4)</f>
        <v>0.1371</v>
      </c>
      <c r="I153" s="17" t="s">
        <v>233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</row>
    <row r="154" customFormat="false" ht="15" hidden="false" customHeight="false" outlineLevel="0" collapsed="false">
      <c r="A154" s="1"/>
      <c r="B154" s="1"/>
      <c r="C154" s="8" t="s">
        <v>234</v>
      </c>
      <c r="D154" s="8" t="s">
        <v>66</v>
      </c>
      <c r="E154" s="29" t="n">
        <v>0.2048</v>
      </c>
      <c r="F154" s="29" t="n">
        <v>0.2048</v>
      </c>
      <c r="G154" s="29" t="n">
        <v>0.2048</v>
      </c>
      <c r="H154" s="30" t="n">
        <f aca="false">INDEX(E154:G154,1,Dashboard!$C$4)</f>
        <v>0.2048</v>
      </c>
      <c r="I154" s="17" t="s">
        <v>235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</row>
    <row r="155" customFormat="false" ht="15" hidden="false" customHeight="false" outlineLevel="0" collapsed="false">
      <c r="A155" s="1"/>
      <c r="B155" s="1"/>
      <c r="C155" s="8" t="s">
        <v>236</v>
      </c>
      <c r="D155" s="8" t="s">
        <v>58</v>
      </c>
      <c r="E155" s="28" t="n">
        <v>120000</v>
      </c>
      <c r="F155" s="28" t="n">
        <v>120000</v>
      </c>
      <c r="G155" s="28" t="n">
        <v>120000</v>
      </c>
      <c r="H155" s="27" t="n">
        <f aca="false">INDEX(E155:G155,1,Dashboard!$C$4)</f>
        <v>120000</v>
      </c>
      <c r="I155" s="17" t="s">
        <v>237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</row>
    <row r="156" customFormat="false" ht="15" hidden="false" customHeight="false" outlineLevel="0" collapsed="false">
      <c r="A156" s="1"/>
      <c r="B156" s="1"/>
      <c r="C156" s="8" t="s">
        <v>238</v>
      </c>
      <c r="D156" s="8" t="s">
        <v>66</v>
      </c>
      <c r="E156" s="22" t="n">
        <v>0.12</v>
      </c>
      <c r="F156" s="22" t="n">
        <v>0.12</v>
      </c>
      <c r="G156" s="22" t="n">
        <v>0.12</v>
      </c>
      <c r="H156" s="21" t="n">
        <f aca="false">INDEX(E156:G156,1,Dashboard!$C$4)</f>
        <v>0.12</v>
      </c>
      <c r="I156" s="1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</row>
    <row r="157" customFormat="false" ht="15" hidden="false" customHeight="false" outlineLevel="0" collapsed="false">
      <c r="A157" s="1"/>
      <c r="B157" s="1"/>
      <c r="C157" s="8" t="s">
        <v>239</v>
      </c>
      <c r="D157" s="8" t="s">
        <v>66</v>
      </c>
      <c r="E157" s="22" t="n">
        <v>0.32</v>
      </c>
      <c r="F157" s="22" t="n">
        <v>0.32</v>
      </c>
      <c r="G157" s="22" t="n">
        <v>0.32</v>
      </c>
      <c r="H157" s="21" t="n">
        <f aca="false">INDEX(E157:G157,1,Dashboard!$C$4)</f>
        <v>0.32</v>
      </c>
      <c r="I157" s="1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</row>
    <row r="158" customFormat="false" ht="15" hidden="false" customHeight="false" outlineLevel="0" collapsed="false">
      <c r="A158" s="1"/>
      <c r="B158" s="1"/>
      <c r="C158" s="8" t="s">
        <v>240</v>
      </c>
      <c r="D158" s="8" t="s">
        <v>58</v>
      </c>
      <c r="E158" s="28" t="n">
        <v>3600</v>
      </c>
      <c r="F158" s="28" t="n">
        <v>3600</v>
      </c>
      <c r="G158" s="28" t="n">
        <v>3600</v>
      </c>
      <c r="H158" s="27" t="n">
        <f aca="false">INDEX(E158:G158,1,Dashboard!$C$4)</f>
        <v>3600</v>
      </c>
      <c r="I158" s="17" t="s">
        <v>241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</row>
    <row r="159" customFormat="false" ht="15" hidden="false" customHeight="false" outlineLevel="0" collapsed="false">
      <c r="A159" s="1"/>
      <c r="B159" s="1"/>
      <c r="C159" s="8" t="s">
        <v>242</v>
      </c>
      <c r="D159" s="8" t="s">
        <v>66</v>
      </c>
      <c r="E159" s="22" t="n">
        <v>0.6</v>
      </c>
      <c r="F159" s="22" t="n">
        <v>0.6</v>
      </c>
      <c r="G159" s="22" t="n">
        <v>0.6</v>
      </c>
      <c r="H159" s="21" t="n">
        <f aca="false">INDEX(E159:G159,1,Dashboard!$C$4)</f>
        <v>0.6</v>
      </c>
      <c r="I159" s="17" t="s">
        <v>138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</row>
    <row r="160" customFormat="false" ht="15" hidden="false" customHeight="false" outlineLevel="0" collapsed="false">
      <c r="A160" s="1"/>
      <c r="B160" s="1"/>
      <c r="C160" s="8" t="s">
        <v>243</v>
      </c>
      <c r="D160" s="8" t="s">
        <v>244</v>
      </c>
      <c r="E160" s="28" t="n">
        <v>9000</v>
      </c>
      <c r="F160" s="28" t="n">
        <v>9000</v>
      </c>
      <c r="G160" s="28" t="n">
        <v>9000</v>
      </c>
      <c r="H160" s="27" t="n">
        <f aca="false">INDEX(E160:G160,1,Dashboard!$C$4)</f>
        <v>9000</v>
      </c>
      <c r="I160" s="17" t="s">
        <v>138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</row>
    <row r="161" customFormat="false" ht="15" hidden="false" customHeight="false" outlineLevel="0" collapsed="false">
      <c r="A161" s="1"/>
      <c r="B161" s="1"/>
      <c r="C161" s="8" t="s">
        <v>245</v>
      </c>
      <c r="D161" s="8" t="s">
        <v>66</v>
      </c>
      <c r="E161" s="22" t="n">
        <v>0.25</v>
      </c>
      <c r="F161" s="22" t="n">
        <v>0.25</v>
      </c>
      <c r="G161" s="22" t="n">
        <v>0.25</v>
      </c>
      <c r="H161" s="21" t="n">
        <f aca="false">INDEX(E161:G161,1,Dashboard!$C$4)</f>
        <v>0.25</v>
      </c>
      <c r="I161" s="17" t="s">
        <v>138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/>
      <c r="B1" s="2" t="s">
        <v>246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customFormat="false" ht="15" hidden="false" customHeight="false" outlineLevel="0" collapsed="false">
      <c r="A2" s="1"/>
      <c r="B2" s="6" t="s">
        <v>247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4" customFormat="false" ht="15" hidden="false" customHeight="false" outlineLevel="0" collapsed="false">
      <c r="A4" s="1"/>
      <c r="B4" s="1"/>
      <c r="C4" s="4" t="s">
        <v>248</v>
      </c>
      <c r="D4" s="1"/>
      <c r="E4" s="1"/>
      <c r="F4" s="1"/>
      <c r="G4" s="4" t="n">
        <v>1</v>
      </c>
      <c r="H4" s="4" t="n">
        <v>2</v>
      </c>
      <c r="I4" s="4" t="n">
        <v>3</v>
      </c>
      <c r="J4" s="4" t="n">
        <v>4</v>
      </c>
      <c r="K4" s="4" t="n">
        <v>5</v>
      </c>
      <c r="L4" s="4" t="n">
        <v>6</v>
      </c>
      <c r="M4" s="4" t="n">
        <v>7</v>
      </c>
      <c r="N4" s="4" t="n">
        <v>8</v>
      </c>
      <c r="O4" s="4" t="n">
        <v>9</v>
      </c>
      <c r="P4" s="4" t="n">
        <v>10</v>
      </c>
      <c r="Q4" s="4" t="n">
        <v>11</v>
      </c>
      <c r="R4" s="4" t="n">
        <v>12</v>
      </c>
      <c r="S4" s="4" t="n">
        <v>13</v>
      </c>
      <c r="T4" s="4" t="n">
        <v>14</v>
      </c>
      <c r="U4" s="4" t="n">
        <v>15</v>
      </c>
      <c r="V4" s="4" t="n">
        <v>16</v>
      </c>
      <c r="W4" s="4" t="n">
        <v>17</v>
      </c>
      <c r="X4" s="4" t="n">
        <v>18</v>
      </c>
      <c r="Y4" s="4" t="n">
        <v>19</v>
      </c>
      <c r="Z4" s="4" t="n">
        <v>20</v>
      </c>
      <c r="AA4" s="4" t="n">
        <v>21</v>
      </c>
      <c r="AB4" s="4" t="n">
        <v>22</v>
      </c>
      <c r="AC4" s="4" t="n">
        <v>23</v>
      </c>
      <c r="AD4" s="4" t="n">
        <v>24</v>
      </c>
      <c r="AE4" s="4" t="n">
        <v>25</v>
      </c>
      <c r="AF4" s="4" t="n">
        <v>26</v>
      </c>
      <c r="AG4" s="4" t="n">
        <v>27</v>
      </c>
      <c r="AH4" s="4" t="n">
        <v>28</v>
      </c>
      <c r="AI4" s="4" t="n">
        <v>29</v>
      </c>
      <c r="AJ4" s="4" t="n">
        <v>30</v>
      </c>
      <c r="AK4" s="4" t="n">
        <v>31</v>
      </c>
      <c r="AL4" s="4" t="n">
        <v>32</v>
      </c>
      <c r="AM4" s="4" t="n">
        <v>33</v>
      </c>
      <c r="AN4" s="4" t="n">
        <v>34</v>
      </c>
      <c r="AO4" s="4" t="n">
        <v>35</v>
      </c>
      <c r="AP4" s="4" t="n">
        <v>36</v>
      </c>
      <c r="AQ4" s="4" t="n">
        <v>37</v>
      </c>
      <c r="AR4" s="4" t="n">
        <v>38</v>
      </c>
      <c r="AS4" s="4" t="n">
        <v>39</v>
      </c>
      <c r="AT4" s="4" t="n">
        <v>40</v>
      </c>
      <c r="AU4" s="4" t="n">
        <v>41</v>
      </c>
      <c r="AV4" s="4" t="n">
        <v>42</v>
      </c>
      <c r="AW4" s="4" t="n">
        <v>43</v>
      </c>
      <c r="AX4" s="4" t="n">
        <v>44</v>
      </c>
      <c r="AY4" s="4" t="n">
        <v>45</v>
      </c>
      <c r="AZ4" s="4" t="n">
        <v>46</v>
      </c>
      <c r="BA4" s="4" t="n">
        <v>47</v>
      </c>
      <c r="BB4" s="4" t="n">
        <v>48</v>
      </c>
      <c r="BC4" s="4" t="n">
        <v>49</v>
      </c>
      <c r="BD4" s="4" t="n">
        <v>50</v>
      </c>
      <c r="BE4" s="4" t="n">
        <v>51</v>
      </c>
      <c r="BF4" s="4" t="n">
        <v>52</v>
      </c>
      <c r="BG4" s="4" t="n">
        <v>53</v>
      </c>
      <c r="BH4" s="4" t="n">
        <v>54</v>
      </c>
      <c r="BI4" s="4" t="n">
        <v>55</v>
      </c>
      <c r="BJ4" s="4" t="n">
        <v>56</v>
      </c>
      <c r="BK4" s="4" t="n">
        <v>57</v>
      </c>
      <c r="BL4" s="4" t="n">
        <v>58</v>
      </c>
      <c r="BM4" s="4" t="n">
        <v>59</v>
      </c>
      <c r="BN4" s="4" t="n">
        <v>60</v>
      </c>
    </row>
    <row r="5" customFormat="false" ht="15" hidden="false" customHeight="false" outlineLevel="0" collapsed="false">
      <c r="A5" s="1"/>
      <c r="B5" s="13" t="s">
        <v>16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</row>
    <row r="6" customFormat="false" ht="15" hidden="false" customHeight="false" outlineLevel="0" collapsed="false">
      <c r="A6" s="1"/>
      <c r="B6" s="8" t="s">
        <v>249</v>
      </c>
      <c r="C6" s="1"/>
      <c r="D6" s="1"/>
      <c r="E6" s="1"/>
      <c r="F6" s="1"/>
      <c r="G6" s="35" t="n">
        <v>0.949335045662101</v>
      </c>
      <c r="H6" s="35" t="n">
        <v>0.918102168949772</v>
      </c>
      <c r="I6" s="35" t="n">
        <v>0.918102168949772</v>
      </c>
      <c r="J6" s="35" t="n">
        <v>0.979312785388128</v>
      </c>
      <c r="K6" s="35" t="n">
        <v>0.947093607305936</v>
      </c>
      <c r="L6" s="35" t="n">
        <v>0.947093607305936</v>
      </c>
      <c r="M6" s="35" t="n">
        <v>0.979312785388128</v>
      </c>
      <c r="N6" s="35" t="n">
        <v>0.947093607305936</v>
      </c>
      <c r="O6" s="35" t="n">
        <v>0.947093607305936</v>
      </c>
      <c r="P6" s="35" t="n">
        <v>0.912189497716895</v>
      </c>
      <c r="Q6" s="35" t="n">
        <v>0.947093607305936</v>
      </c>
      <c r="R6" s="35" t="n">
        <v>0.947093607305936</v>
      </c>
      <c r="S6" s="35" t="n">
        <v>0.979312785388128</v>
      </c>
      <c r="T6" s="35" t="n">
        <v>0.947093607305936</v>
      </c>
      <c r="U6" s="35" t="n">
        <v>0.947093607305936</v>
      </c>
      <c r="V6" s="35" t="n">
        <v>0.979312785388128</v>
      </c>
      <c r="W6" s="35" t="n">
        <v>0.947093607305936</v>
      </c>
      <c r="X6" s="35" t="n">
        <v>0.947093607305936</v>
      </c>
      <c r="Y6" s="35" t="n">
        <v>0.979312785388128</v>
      </c>
      <c r="Z6" s="35" t="n">
        <v>0.898764840182648</v>
      </c>
      <c r="AA6" s="35" t="n">
        <v>0.947093607305936</v>
      </c>
      <c r="AB6" s="35" t="n">
        <v>0.979312785388128</v>
      </c>
      <c r="AC6" s="35" t="n">
        <v>0.947093607305936</v>
      </c>
      <c r="AD6" s="35" t="n">
        <v>0.947093607305936</v>
      </c>
      <c r="AE6" s="35" t="n">
        <v>0.979312785388128</v>
      </c>
      <c r="AF6" s="35" t="n">
        <v>0.947093607305936</v>
      </c>
      <c r="AG6" s="35" t="n">
        <v>0.947093607305936</v>
      </c>
      <c r="AH6" s="35" t="n">
        <v>0.979312785388128</v>
      </c>
      <c r="AI6" s="35" t="n">
        <v>0.947093607305936</v>
      </c>
      <c r="AJ6" s="35" t="n">
        <v>0.898764840182648</v>
      </c>
      <c r="AK6" s="35" t="n">
        <v>0.979312785388128</v>
      </c>
      <c r="AL6" s="35" t="n">
        <v>0.947093607305936</v>
      </c>
      <c r="AM6" s="35" t="n">
        <v>0.947093607305936</v>
      </c>
      <c r="AN6" s="35" t="n">
        <v>0.979312785388128</v>
      </c>
      <c r="AO6" s="35" t="n">
        <v>0.947093607305936</v>
      </c>
      <c r="AP6" s="35" t="n">
        <v>0.947093607305936</v>
      </c>
      <c r="AQ6" s="35" t="n">
        <v>0.979312785388128</v>
      </c>
      <c r="AR6" s="35" t="n">
        <v>0.947061643835617</v>
      </c>
      <c r="AS6" s="35" t="n">
        <v>0.947061643835617</v>
      </c>
      <c r="AT6" s="35" t="n">
        <v>0.912157534246575</v>
      </c>
      <c r="AU6" s="35" t="n">
        <v>0.911406392694064</v>
      </c>
      <c r="AV6" s="35" t="n">
        <v>0.911398401826484</v>
      </c>
      <c r="AW6" s="35" t="n">
        <v>0.943521689497717</v>
      </c>
      <c r="AX6" s="35" t="n">
        <v>0.911302511415525</v>
      </c>
      <c r="AY6" s="35" t="n">
        <v>0.911198630136986</v>
      </c>
      <c r="AZ6" s="35" t="n">
        <v>0.943417808219178</v>
      </c>
      <c r="BA6" s="35" t="n">
        <v>0.911102739726027</v>
      </c>
      <c r="BB6" s="35" t="n">
        <v>0.911070776255708</v>
      </c>
      <c r="BC6" s="35" t="n">
        <v>0.94326598173516</v>
      </c>
      <c r="BD6" s="35" t="n">
        <v>0.862686073059361</v>
      </c>
      <c r="BE6" s="35" t="n">
        <v>0.91093493150685</v>
      </c>
      <c r="BF6" s="35" t="n">
        <v>0.943154109589041</v>
      </c>
      <c r="BG6" s="35" t="n">
        <v>0.91088698630137</v>
      </c>
      <c r="BH6" s="35" t="n">
        <v>0.91087100456621</v>
      </c>
      <c r="BI6" s="35" t="n">
        <v>0.943090182648402</v>
      </c>
      <c r="BJ6" s="35" t="n">
        <v>0.91084703196347</v>
      </c>
      <c r="BK6" s="35" t="n">
        <v>0.910783105022831</v>
      </c>
      <c r="BL6" s="35" t="n">
        <v>0.943002283105023</v>
      </c>
      <c r="BM6" s="35" t="n">
        <v>0.910743150684932</v>
      </c>
      <c r="BN6" s="35" t="n">
        <v>0.862382420091324</v>
      </c>
    </row>
    <row r="7" customFormat="false" ht="15" hidden="false" customHeight="false" outlineLevel="0" collapsed="false">
      <c r="A7" s="1"/>
      <c r="B7" s="8" t="s">
        <v>250</v>
      </c>
      <c r="C7" s="1"/>
      <c r="D7" s="1"/>
      <c r="E7" s="1"/>
      <c r="F7" s="1"/>
      <c r="G7" s="35" t="n">
        <v>0.925928561643836</v>
      </c>
      <c r="H7" s="35" t="n">
        <v>0.887789054794521</v>
      </c>
      <c r="I7" s="35" t="n">
        <v>0.887789054794521</v>
      </c>
      <c r="J7" s="35" t="n">
        <v>0.955592246575343</v>
      </c>
      <c r="K7" s="35" t="n">
        <v>0.916231837899543</v>
      </c>
      <c r="L7" s="35" t="n">
        <v>0.916247063926941</v>
      </c>
      <c r="M7" s="35" t="n">
        <v>0.955631721461187</v>
      </c>
      <c r="N7" s="35" t="n">
        <v>0.916231837899543</v>
      </c>
      <c r="O7" s="35" t="n">
        <v>0.916256086757991</v>
      </c>
      <c r="P7" s="35" t="n">
        <v>0.889999648401826</v>
      </c>
      <c r="Q7" s="35" t="n">
        <v>0.916280335616438</v>
      </c>
      <c r="R7" s="35" t="n">
        <v>0.916280335616438</v>
      </c>
      <c r="S7" s="35" t="n">
        <v>0.955640744292238</v>
      </c>
      <c r="T7" s="35" t="n">
        <v>0.916295561643836</v>
      </c>
      <c r="U7" s="35" t="n">
        <v>0.916350262557078</v>
      </c>
      <c r="V7" s="35" t="n">
        <v>0.95570446803653</v>
      </c>
      <c r="W7" s="35" t="n">
        <v>0.916265109589041</v>
      </c>
      <c r="X7" s="35" t="n">
        <v>0.916265109589041</v>
      </c>
      <c r="Y7" s="35" t="n">
        <v>0.95562551826484</v>
      </c>
      <c r="Z7" s="35" t="n">
        <v>0.876856203196347</v>
      </c>
      <c r="AA7" s="35" t="n">
        <v>0.916265109589041</v>
      </c>
      <c r="AB7" s="35" t="n">
        <v>0.955610292237443</v>
      </c>
      <c r="AC7" s="35" t="n">
        <v>0.916225634703196</v>
      </c>
      <c r="AD7" s="35" t="n">
        <v>0.916201385844749</v>
      </c>
      <c r="AE7" s="35" t="n">
        <v>0.955586043378995</v>
      </c>
      <c r="AF7" s="35" t="n">
        <v>0.916201385844749</v>
      </c>
      <c r="AG7" s="35" t="n">
        <v>0.916201385844749</v>
      </c>
      <c r="AH7" s="35" t="n">
        <v>0.955586043378995</v>
      </c>
      <c r="AI7" s="35" t="n">
        <v>0.916201385844749</v>
      </c>
      <c r="AJ7" s="35" t="n">
        <v>0.876816728310502</v>
      </c>
      <c r="AK7" s="35" t="n">
        <v>0.955586043378995</v>
      </c>
      <c r="AL7" s="35" t="n">
        <v>0.916201385844749</v>
      </c>
      <c r="AM7" s="35" t="n">
        <v>0.916201385844749</v>
      </c>
      <c r="AN7" s="35" t="n">
        <v>0.955586043378995</v>
      </c>
      <c r="AO7" s="35" t="n">
        <v>0.916201385844749</v>
      </c>
      <c r="AP7" s="35" t="n">
        <v>0.916201385844749</v>
      </c>
      <c r="AQ7" s="35" t="n">
        <v>0.955586043378995</v>
      </c>
      <c r="AR7" s="35" t="n">
        <v>0.916201385844749</v>
      </c>
      <c r="AS7" s="35" t="n">
        <v>0.916201385844749</v>
      </c>
      <c r="AT7" s="35" t="n">
        <v>0.889944947488585</v>
      </c>
      <c r="AU7" s="35" t="n">
        <v>0.882262006849315</v>
      </c>
      <c r="AV7" s="35" t="n">
        <v>0.882262006849315</v>
      </c>
      <c r="AW7" s="35" t="n">
        <v>0.921646664383562</v>
      </c>
      <c r="AX7" s="35" t="n">
        <v>0.882262006849315</v>
      </c>
      <c r="AY7" s="35" t="n">
        <v>0.882262006849315</v>
      </c>
      <c r="AZ7" s="35" t="n">
        <v>0.921646664383562</v>
      </c>
      <c r="BA7" s="35" t="n">
        <v>0.882262006849315</v>
      </c>
      <c r="BB7" s="35" t="n">
        <v>0.882262006849315</v>
      </c>
      <c r="BC7" s="35" t="n">
        <v>0.921646664383562</v>
      </c>
      <c r="BD7" s="35" t="n">
        <v>0.842877349315069</v>
      </c>
      <c r="BE7" s="35" t="n">
        <v>0.882262006849315</v>
      </c>
      <c r="BF7" s="35" t="n">
        <v>0.921646664383562</v>
      </c>
      <c r="BG7" s="35" t="n">
        <v>0.882262006849315</v>
      </c>
      <c r="BH7" s="35" t="n">
        <v>0.882262006849315</v>
      </c>
      <c r="BI7" s="35" t="n">
        <v>0.921646664383562</v>
      </c>
      <c r="BJ7" s="35" t="n">
        <v>0.882262006849315</v>
      </c>
      <c r="BK7" s="35" t="n">
        <v>0.882262006849315</v>
      </c>
      <c r="BL7" s="35" t="n">
        <v>0.921646664383562</v>
      </c>
      <c r="BM7" s="35" t="n">
        <v>0.882262006849315</v>
      </c>
      <c r="BN7" s="35" t="n">
        <v>0.842877349315069</v>
      </c>
    </row>
    <row r="8" customFormat="false" ht="15" hidden="false" customHeight="false" outlineLevel="0" collapsed="false">
      <c r="A8" s="1"/>
      <c r="B8" s="8" t="s">
        <v>251</v>
      </c>
      <c r="C8" s="1"/>
      <c r="D8" s="1"/>
      <c r="E8" s="1"/>
      <c r="F8" s="1"/>
      <c r="G8" s="35" t="n">
        <v>0.897704611872146</v>
      </c>
      <c r="H8" s="35" t="n">
        <v>0.848081484018265</v>
      </c>
      <c r="I8" s="35" t="n">
        <v>0.847838721461187</v>
      </c>
      <c r="J8" s="35" t="n">
        <v>0.926334931506849</v>
      </c>
      <c r="K8" s="35" t="n">
        <v>0.875173002283105</v>
      </c>
      <c r="L8" s="35" t="n">
        <v>0.874896118721461</v>
      </c>
      <c r="M8" s="35" t="n">
        <v>0.925736415525114</v>
      </c>
      <c r="N8" s="35" t="n">
        <v>0.874524143835617</v>
      </c>
      <c r="O8" s="35" t="n">
        <v>0.874250057077626</v>
      </c>
      <c r="P8" s="35" t="n">
        <v>0.861393150684932</v>
      </c>
      <c r="Q8" s="35" t="n">
        <v>0.873629166666667</v>
      </c>
      <c r="R8" s="35" t="n">
        <v>0.873329908675799</v>
      </c>
      <c r="S8" s="35" t="n">
        <v>0.924181392694064</v>
      </c>
      <c r="T8" s="35" t="n">
        <v>0.873072602739726</v>
      </c>
      <c r="U8" s="35" t="n">
        <v>0.872994292237443</v>
      </c>
      <c r="V8" s="35" t="n">
        <v>0.923929680365297</v>
      </c>
      <c r="W8" s="35" t="n">
        <v>0.87291598173516</v>
      </c>
      <c r="X8" s="35" t="n">
        <v>0.87291598173516</v>
      </c>
      <c r="Y8" s="35" t="n">
        <v>0.923929680365297</v>
      </c>
      <c r="Z8" s="35" t="n">
        <v>0.847409132420091</v>
      </c>
      <c r="AA8" s="35" t="n">
        <v>0.87291598173516</v>
      </c>
      <c r="AB8" s="35" t="n">
        <v>0.923929680365297</v>
      </c>
      <c r="AC8" s="35" t="n">
        <v>0.87291598173516</v>
      </c>
      <c r="AD8" s="35" t="n">
        <v>0.87291598173516</v>
      </c>
      <c r="AE8" s="35" t="n">
        <v>0.923929680365297</v>
      </c>
      <c r="AF8" s="35" t="n">
        <v>0.87291598173516</v>
      </c>
      <c r="AG8" s="35" t="n">
        <v>0.87291598173516</v>
      </c>
      <c r="AH8" s="35" t="n">
        <v>0.923929680365297</v>
      </c>
      <c r="AI8" s="35" t="n">
        <v>0.87291598173516</v>
      </c>
      <c r="AJ8" s="35" t="n">
        <v>0.847409132420091</v>
      </c>
      <c r="AK8" s="35" t="n">
        <v>0.923929680365297</v>
      </c>
      <c r="AL8" s="35" t="n">
        <v>0.87291598173516</v>
      </c>
      <c r="AM8" s="35" t="n">
        <v>0.87291598173516</v>
      </c>
      <c r="AN8" s="35" t="n">
        <v>0.923929680365297</v>
      </c>
      <c r="AO8" s="35" t="n">
        <v>0.87291598173516</v>
      </c>
      <c r="AP8" s="35" t="n">
        <v>0.87291598173516</v>
      </c>
      <c r="AQ8" s="35" t="n">
        <v>0.923929680365297</v>
      </c>
      <c r="AR8" s="35" t="n">
        <v>0.87291598173516</v>
      </c>
      <c r="AS8" s="35" t="n">
        <v>0.87291598173516</v>
      </c>
      <c r="AT8" s="35" t="n">
        <v>0.860162557077626</v>
      </c>
      <c r="AU8" s="35" t="n">
        <v>0.845800970319635</v>
      </c>
      <c r="AV8" s="35" t="n">
        <v>0.845800970319635</v>
      </c>
      <c r="AW8" s="35" t="n">
        <v>0.896814668949772</v>
      </c>
      <c r="AX8" s="35" t="n">
        <v>0.845800970319635</v>
      </c>
      <c r="AY8" s="35" t="n">
        <v>0.845800970319635</v>
      </c>
      <c r="AZ8" s="35" t="n">
        <v>0.896814668949772</v>
      </c>
      <c r="BA8" s="35" t="n">
        <v>0.845800970319635</v>
      </c>
      <c r="BB8" s="35" t="n">
        <v>0.845800970319635</v>
      </c>
      <c r="BC8" s="35" t="n">
        <v>0.896814668949772</v>
      </c>
      <c r="BD8" s="35" t="n">
        <v>0.820294121004566</v>
      </c>
      <c r="BE8" s="35" t="n">
        <v>0.845800970319635</v>
      </c>
      <c r="BF8" s="35" t="n">
        <v>0.896814668949772</v>
      </c>
      <c r="BG8" s="35" t="n">
        <v>0.845800970319635</v>
      </c>
      <c r="BH8" s="35" t="n">
        <v>0.845800970319635</v>
      </c>
      <c r="BI8" s="35" t="n">
        <v>0.896814668949772</v>
      </c>
      <c r="BJ8" s="35" t="n">
        <v>0.845800970319635</v>
      </c>
      <c r="BK8" s="35" t="n">
        <v>0.845800970319635</v>
      </c>
      <c r="BL8" s="35" t="n">
        <v>0.896814668949772</v>
      </c>
      <c r="BM8" s="35" t="n">
        <v>0.845800970319635</v>
      </c>
      <c r="BN8" s="35" t="n">
        <v>0.820294121004566</v>
      </c>
    </row>
    <row r="9" customFormat="false" ht="15" hidden="false" customHeight="false" outlineLevel="0" collapsed="false">
      <c r="A9" s="1"/>
      <c r="B9" s="4" t="s">
        <v>252</v>
      </c>
      <c r="C9" s="1"/>
      <c r="D9" s="1"/>
      <c r="E9" s="1"/>
      <c r="F9" s="1"/>
      <c r="G9" s="36" t="n">
        <f aca="false">CHOOSE(Dashboard!$C$4,G6,G7,G8)</f>
        <v>0.925928561643836</v>
      </c>
      <c r="H9" s="36" t="n">
        <f aca="false">CHOOSE(Dashboard!$C$4,H6,H7,H8)</f>
        <v>0.887789054794521</v>
      </c>
      <c r="I9" s="36" t="n">
        <f aca="false">CHOOSE(Dashboard!$C$4,I6,I7,I8)</f>
        <v>0.887789054794521</v>
      </c>
      <c r="J9" s="36" t="n">
        <f aca="false">CHOOSE(Dashboard!$C$4,J6,J7,J8)</f>
        <v>0.955592246575343</v>
      </c>
      <c r="K9" s="36" t="n">
        <f aca="false">CHOOSE(Dashboard!$C$4,K6,K7,K8)</f>
        <v>0.916231837899543</v>
      </c>
      <c r="L9" s="36" t="n">
        <f aca="false">CHOOSE(Dashboard!$C$4,L6,L7,L8)</f>
        <v>0.916247063926941</v>
      </c>
      <c r="M9" s="36" t="n">
        <f aca="false">CHOOSE(Dashboard!$C$4,M6,M7,M8)</f>
        <v>0.955631721461187</v>
      </c>
      <c r="N9" s="36" t="n">
        <f aca="false">CHOOSE(Dashboard!$C$4,N6,N7,N8)</f>
        <v>0.916231837899543</v>
      </c>
      <c r="O9" s="36" t="n">
        <f aca="false">CHOOSE(Dashboard!$C$4,O6,O7,O8)</f>
        <v>0.916256086757991</v>
      </c>
      <c r="P9" s="36" t="n">
        <f aca="false">CHOOSE(Dashboard!$C$4,P6,P7,P8)</f>
        <v>0.889999648401826</v>
      </c>
      <c r="Q9" s="36" t="n">
        <f aca="false">CHOOSE(Dashboard!$C$4,Q6,Q7,Q8)</f>
        <v>0.916280335616438</v>
      </c>
      <c r="R9" s="36" t="n">
        <f aca="false">CHOOSE(Dashboard!$C$4,R6,R7,R8)</f>
        <v>0.916280335616438</v>
      </c>
      <c r="S9" s="36" t="n">
        <f aca="false">CHOOSE(Dashboard!$C$4,S6,S7,S8)</f>
        <v>0.955640744292238</v>
      </c>
      <c r="T9" s="36" t="n">
        <f aca="false">CHOOSE(Dashboard!$C$4,T6,T7,T8)</f>
        <v>0.916295561643836</v>
      </c>
      <c r="U9" s="36" t="n">
        <f aca="false">CHOOSE(Dashboard!$C$4,U6,U7,U8)</f>
        <v>0.916350262557078</v>
      </c>
      <c r="V9" s="36" t="n">
        <f aca="false">CHOOSE(Dashboard!$C$4,V6,V7,V8)</f>
        <v>0.95570446803653</v>
      </c>
      <c r="W9" s="36" t="n">
        <f aca="false">CHOOSE(Dashboard!$C$4,W6,W7,W8)</f>
        <v>0.916265109589041</v>
      </c>
      <c r="X9" s="36" t="n">
        <f aca="false">CHOOSE(Dashboard!$C$4,X6,X7,X8)</f>
        <v>0.916265109589041</v>
      </c>
      <c r="Y9" s="36" t="n">
        <f aca="false">CHOOSE(Dashboard!$C$4,Y6,Y7,Y8)</f>
        <v>0.95562551826484</v>
      </c>
      <c r="Z9" s="36" t="n">
        <f aca="false">CHOOSE(Dashboard!$C$4,Z6,Z7,Z8)</f>
        <v>0.876856203196347</v>
      </c>
      <c r="AA9" s="36" t="n">
        <f aca="false">CHOOSE(Dashboard!$C$4,AA6,AA7,AA8)</f>
        <v>0.916265109589041</v>
      </c>
      <c r="AB9" s="36" t="n">
        <f aca="false">CHOOSE(Dashboard!$C$4,AB6,AB7,AB8)</f>
        <v>0.955610292237443</v>
      </c>
      <c r="AC9" s="36" t="n">
        <f aca="false">CHOOSE(Dashboard!$C$4,AC6,AC7,AC8)</f>
        <v>0.916225634703196</v>
      </c>
      <c r="AD9" s="36" t="n">
        <f aca="false">CHOOSE(Dashboard!$C$4,AD6,AD7,AD8)</f>
        <v>0.916201385844749</v>
      </c>
      <c r="AE9" s="36" t="n">
        <f aca="false">CHOOSE(Dashboard!$C$4,AE6,AE7,AE8)</f>
        <v>0.955586043378995</v>
      </c>
      <c r="AF9" s="36" t="n">
        <f aca="false">CHOOSE(Dashboard!$C$4,AF6,AF7,AF8)</f>
        <v>0.916201385844749</v>
      </c>
      <c r="AG9" s="36" t="n">
        <f aca="false">CHOOSE(Dashboard!$C$4,AG6,AG7,AG8)</f>
        <v>0.916201385844749</v>
      </c>
      <c r="AH9" s="36" t="n">
        <f aca="false">CHOOSE(Dashboard!$C$4,AH6,AH7,AH8)</f>
        <v>0.955586043378995</v>
      </c>
      <c r="AI9" s="36" t="n">
        <f aca="false">CHOOSE(Dashboard!$C$4,AI6,AI7,AI8)</f>
        <v>0.916201385844749</v>
      </c>
      <c r="AJ9" s="36" t="n">
        <f aca="false">CHOOSE(Dashboard!$C$4,AJ6,AJ7,AJ8)</f>
        <v>0.876816728310502</v>
      </c>
      <c r="AK9" s="36" t="n">
        <f aca="false">CHOOSE(Dashboard!$C$4,AK6,AK7,AK8)</f>
        <v>0.955586043378995</v>
      </c>
      <c r="AL9" s="36" t="n">
        <f aca="false">CHOOSE(Dashboard!$C$4,AL6,AL7,AL8)</f>
        <v>0.916201385844749</v>
      </c>
      <c r="AM9" s="36" t="n">
        <f aca="false">CHOOSE(Dashboard!$C$4,AM6,AM7,AM8)</f>
        <v>0.916201385844749</v>
      </c>
      <c r="AN9" s="36" t="n">
        <f aca="false">CHOOSE(Dashboard!$C$4,AN6,AN7,AN8)</f>
        <v>0.955586043378995</v>
      </c>
      <c r="AO9" s="36" t="n">
        <f aca="false">CHOOSE(Dashboard!$C$4,AO6,AO7,AO8)</f>
        <v>0.916201385844749</v>
      </c>
      <c r="AP9" s="36" t="n">
        <f aca="false">CHOOSE(Dashboard!$C$4,AP6,AP7,AP8)</f>
        <v>0.916201385844749</v>
      </c>
      <c r="AQ9" s="36" t="n">
        <f aca="false">CHOOSE(Dashboard!$C$4,AQ6,AQ7,AQ8)</f>
        <v>0.955586043378995</v>
      </c>
      <c r="AR9" s="36" t="n">
        <f aca="false">CHOOSE(Dashboard!$C$4,AR6,AR7,AR8)</f>
        <v>0.916201385844749</v>
      </c>
      <c r="AS9" s="36" t="n">
        <f aca="false">CHOOSE(Dashboard!$C$4,AS6,AS7,AS8)</f>
        <v>0.916201385844749</v>
      </c>
      <c r="AT9" s="36" t="n">
        <f aca="false">CHOOSE(Dashboard!$C$4,AT6,AT7,AT8)</f>
        <v>0.889944947488585</v>
      </c>
      <c r="AU9" s="36" t="n">
        <f aca="false">CHOOSE(Dashboard!$C$4,AU6,AU7,AU8)</f>
        <v>0.882262006849315</v>
      </c>
      <c r="AV9" s="36" t="n">
        <f aca="false">CHOOSE(Dashboard!$C$4,AV6,AV7,AV8)</f>
        <v>0.882262006849315</v>
      </c>
      <c r="AW9" s="36" t="n">
        <f aca="false">CHOOSE(Dashboard!$C$4,AW6,AW7,AW8)</f>
        <v>0.921646664383562</v>
      </c>
      <c r="AX9" s="36" t="n">
        <f aca="false">CHOOSE(Dashboard!$C$4,AX6,AX7,AX8)</f>
        <v>0.882262006849315</v>
      </c>
      <c r="AY9" s="36" t="n">
        <f aca="false">CHOOSE(Dashboard!$C$4,AY6,AY7,AY8)</f>
        <v>0.882262006849315</v>
      </c>
      <c r="AZ9" s="36" t="n">
        <f aca="false">CHOOSE(Dashboard!$C$4,AZ6,AZ7,AZ8)</f>
        <v>0.921646664383562</v>
      </c>
      <c r="BA9" s="36" t="n">
        <f aca="false">CHOOSE(Dashboard!$C$4,BA6,BA7,BA8)</f>
        <v>0.882262006849315</v>
      </c>
      <c r="BB9" s="36" t="n">
        <f aca="false">CHOOSE(Dashboard!$C$4,BB6,BB7,BB8)</f>
        <v>0.882262006849315</v>
      </c>
      <c r="BC9" s="36" t="n">
        <f aca="false">CHOOSE(Dashboard!$C$4,BC6,BC7,BC8)</f>
        <v>0.921646664383562</v>
      </c>
      <c r="BD9" s="36" t="n">
        <f aca="false">CHOOSE(Dashboard!$C$4,BD6,BD7,BD8)</f>
        <v>0.842877349315069</v>
      </c>
      <c r="BE9" s="36" t="n">
        <f aca="false">CHOOSE(Dashboard!$C$4,BE6,BE7,BE8)</f>
        <v>0.882262006849315</v>
      </c>
      <c r="BF9" s="36" t="n">
        <f aca="false">CHOOSE(Dashboard!$C$4,BF6,BF7,BF8)</f>
        <v>0.921646664383562</v>
      </c>
      <c r="BG9" s="36" t="n">
        <f aca="false">CHOOSE(Dashboard!$C$4,BG6,BG7,BG8)</f>
        <v>0.882262006849315</v>
      </c>
      <c r="BH9" s="36" t="n">
        <f aca="false">CHOOSE(Dashboard!$C$4,BH6,BH7,BH8)</f>
        <v>0.882262006849315</v>
      </c>
      <c r="BI9" s="36" t="n">
        <f aca="false">CHOOSE(Dashboard!$C$4,BI6,BI7,BI8)</f>
        <v>0.921646664383562</v>
      </c>
      <c r="BJ9" s="36" t="n">
        <f aca="false">CHOOSE(Dashboard!$C$4,BJ6,BJ7,BJ8)</f>
        <v>0.882262006849315</v>
      </c>
      <c r="BK9" s="36" t="n">
        <f aca="false">CHOOSE(Dashboard!$C$4,BK6,BK7,BK8)</f>
        <v>0.882262006849315</v>
      </c>
      <c r="BL9" s="36" t="n">
        <f aca="false">CHOOSE(Dashboard!$C$4,BL6,BL7,BL8)</f>
        <v>0.921646664383562</v>
      </c>
      <c r="BM9" s="36" t="n">
        <f aca="false">CHOOSE(Dashboard!$C$4,BM6,BM7,BM8)</f>
        <v>0.882262006849315</v>
      </c>
      <c r="BN9" s="36" t="n">
        <f aca="false">CHOOSE(Dashboard!$C$4,BN6,BN7,BN8)</f>
        <v>0.842877349315069</v>
      </c>
    </row>
    <row r="10" customFormat="false" ht="15" hidden="false" customHeight="false" outlineLevel="0" collapsed="false">
      <c r="A10" s="1"/>
      <c r="B10" s="8" t="s">
        <v>253</v>
      </c>
      <c r="C10" s="1"/>
      <c r="D10" s="1"/>
      <c r="E10" s="1"/>
      <c r="F10" s="1"/>
      <c r="G10" s="35" t="n">
        <v>1.00240881340527</v>
      </c>
      <c r="H10" s="35" t="n">
        <v>0.996994647130087</v>
      </c>
      <c r="I10" s="35" t="n">
        <v>0.99698632989537</v>
      </c>
      <c r="J10" s="35" t="n">
        <v>1.00242825876094</v>
      </c>
      <c r="K10" s="35" t="n">
        <v>0.996970142720465</v>
      </c>
      <c r="L10" s="35" t="n">
        <v>0.996961820885556</v>
      </c>
      <c r="M10" s="35" t="n">
        <v>1.00244724677787</v>
      </c>
      <c r="N10" s="35" t="n">
        <v>0.996945177215739</v>
      </c>
      <c r="O10" s="35" t="n">
        <v>0.996936855380831</v>
      </c>
      <c r="P10" s="35" t="n">
        <v>0.997023298049451</v>
      </c>
      <c r="Q10" s="35" t="n">
        <v>0.996920211711014</v>
      </c>
      <c r="R10" s="35" t="n">
        <v>0.996911889876106</v>
      </c>
      <c r="S10" s="35" t="n">
        <v>1.00248522281173</v>
      </c>
      <c r="T10" s="35" t="n">
        <v>0.996895246206289</v>
      </c>
      <c r="U10" s="35" t="n">
        <v>0.996886924371381</v>
      </c>
      <c r="V10" s="35" t="n">
        <v>1.00250421082866</v>
      </c>
      <c r="W10" s="35" t="n">
        <v>0.996870280701564</v>
      </c>
      <c r="X10" s="35" t="n">
        <v>0.996861958866656</v>
      </c>
      <c r="Y10" s="35" t="n">
        <v>1.00252319884559</v>
      </c>
      <c r="Z10" s="35" t="n">
        <v>0.99886422523171</v>
      </c>
      <c r="AA10" s="35" t="n">
        <v>0.996836993361931</v>
      </c>
      <c r="AB10" s="35" t="n">
        <v>1.00254218686252</v>
      </c>
      <c r="AC10" s="35" t="n">
        <v>0.996820349692114</v>
      </c>
      <c r="AD10" s="35" t="n">
        <v>0.996812027857206</v>
      </c>
      <c r="AE10" s="35" t="n">
        <v>1.00256117487945</v>
      </c>
      <c r="AF10" s="35" t="n">
        <v>0.996795384187389</v>
      </c>
      <c r="AG10" s="35" t="n">
        <v>0.996787062352481</v>
      </c>
      <c r="AH10" s="35" t="n">
        <v>1.00258016289638</v>
      </c>
      <c r="AI10" s="35" t="n">
        <v>0.996770418682664</v>
      </c>
      <c r="AJ10" s="35" t="n">
        <v>0.998505225397502</v>
      </c>
      <c r="AK10" s="35" t="n">
        <v>1.00259915091331</v>
      </c>
      <c r="AL10" s="35" t="n">
        <v>0.996745453177939</v>
      </c>
      <c r="AM10" s="35" t="n">
        <v>0.99673713134303</v>
      </c>
      <c r="AN10" s="35" t="n">
        <v>1.00261813893023</v>
      </c>
      <c r="AO10" s="35" t="n">
        <v>0.996720487673214</v>
      </c>
      <c r="AP10" s="35" t="n">
        <v>0.996712165838306</v>
      </c>
      <c r="AQ10" s="35" t="n">
        <v>1.00263712694716</v>
      </c>
      <c r="AR10" s="35" t="n">
        <v>0.996785271065806</v>
      </c>
      <c r="AS10" s="35" t="n">
        <v>0.996777134776746</v>
      </c>
      <c r="AT10" s="35" t="n">
        <v>0.996290503127297</v>
      </c>
      <c r="AU10" s="35" t="n">
        <v>1.03695167479473</v>
      </c>
      <c r="AV10" s="35" t="n">
        <v>1.03695819332311</v>
      </c>
      <c r="AW10" s="35" t="n">
        <v>1.041918419614</v>
      </c>
      <c r="AX10" s="35" t="n">
        <v>1.0370472502008</v>
      </c>
      <c r="AY10" s="35" t="n">
        <v>1.03714495479215</v>
      </c>
      <c r="AZ10" s="35" t="n">
        <v>1.04205637129069</v>
      </c>
      <c r="BA10" s="35" t="n">
        <v>1.03723434984374</v>
      </c>
      <c r="BB10" s="35" t="n">
        <v>1.03726394951588</v>
      </c>
      <c r="BC10" s="35" t="n">
        <v>1.04223896726945</v>
      </c>
      <c r="BD10" s="35" t="n">
        <v>1.0408382335851</v>
      </c>
      <c r="BE10" s="35" t="n">
        <v>1.03739090312362</v>
      </c>
      <c r="BF10" s="35" t="n">
        <v>1.04238510638953</v>
      </c>
      <c r="BG10" s="35" t="n">
        <v>1.03743528783457</v>
      </c>
      <c r="BH10" s="35" t="n">
        <v>1.03744993705857</v>
      </c>
      <c r="BI10" s="35" t="n">
        <v>1.04248733211908</v>
      </c>
      <c r="BJ10" s="35" t="n">
        <v>1.03747171629691</v>
      </c>
      <c r="BK10" s="35" t="n">
        <v>1.03753203825422</v>
      </c>
      <c r="BL10" s="35" t="n">
        <v>1.04261197057708</v>
      </c>
      <c r="BM10" s="35" t="n">
        <v>1.03756919850235</v>
      </c>
      <c r="BN10" s="35" t="n">
        <v>1.04085620046546</v>
      </c>
    </row>
    <row r="11" customFormat="false" ht="15" hidden="false" customHeight="false" outlineLevel="0" collapsed="false">
      <c r="A11" s="1"/>
      <c r="B11" s="8" t="s">
        <v>254</v>
      </c>
      <c r="C11" s="1"/>
      <c r="D11" s="1"/>
      <c r="E11" s="1"/>
      <c r="F11" s="1"/>
      <c r="G11" s="35" t="n">
        <v>1.00432804074819</v>
      </c>
      <c r="H11" s="35" t="n">
        <v>0.999156405630331</v>
      </c>
      <c r="I11" s="35" t="n">
        <v>0.999133876768784</v>
      </c>
      <c r="J11" s="35" t="n">
        <v>1.00430531285016</v>
      </c>
      <c r="K11" s="35" t="n">
        <v>0.99904100405138</v>
      </c>
      <c r="L11" s="35" t="n">
        <v>0.998993379753044</v>
      </c>
      <c r="M11" s="35" t="n">
        <v>1.00430786446153</v>
      </c>
      <c r="N11" s="35" t="n">
        <v>0.998973409245068</v>
      </c>
      <c r="O11" s="35" t="n">
        <v>0.998932843651731</v>
      </c>
      <c r="P11" s="35" t="n">
        <v>0.998425850527619</v>
      </c>
      <c r="Q11" s="35" t="n">
        <v>0.998887758757698</v>
      </c>
      <c r="R11" s="35" t="n">
        <v>0.99886517512308</v>
      </c>
      <c r="S11" s="35" t="n">
        <v>1.00446564994468</v>
      </c>
      <c r="T11" s="35" t="n">
        <v>0.998879612945868</v>
      </c>
      <c r="U11" s="35" t="n">
        <v>0.998747404572031</v>
      </c>
      <c r="V11" s="35" t="n">
        <v>1.0044792230165</v>
      </c>
      <c r="W11" s="35" t="n">
        <v>0.998874847168248</v>
      </c>
      <c r="X11" s="35" t="n">
        <v>0.998903018157305</v>
      </c>
      <c r="Y11" s="35" t="n">
        <v>1.00469988223255</v>
      </c>
      <c r="Z11" s="35" t="n">
        <v>1.00003758482895</v>
      </c>
      <c r="AA11" s="35" t="n">
        <v>0.998871685760968</v>
      </c>
      <c r="AB11" s="35" t="n">
        <v>1.00481728381818</v>
      </c>
      <c r="AC11" s="35" t="n">
        <v>0.998899795717491</v>
      </c>
      <c r="AD11" s="35" t="n">
        <v>0.998934637412053</v>
      </c>
      <c r="AE11" s="35" t="n">
        <v>1.00492121101308</v>
      </c>
      <c r="AF11" s="35" t="n">
        <v>0.998892079863285</v>
      </c>
      <c r="AG11" s="35" t="n">
        <v>0.998870801088901</v>
      </c>
      <c r="AH11" s="35" t="n">
        <v>1.00495464568807</v>
      </c>
      <c r="AI11" s="35" t="n">
        <v>0.998870801088901</v>
      </c>
      <c r="AJ11" s="35" t="n">
        <v>0.999696653492287</v>
      </c>
      <c r="AK11" s="35" t="n">
        <v>1.00495464568807</v>
      </c>
      <c r="AL11" s="35" t="n">
        <v>0.998870801088901</v>
      </c>
      <c r="AM11" s="35" t="n">
        <v>0.998870801088901</v>
      </c>
      <c r="AN11" s="35" t="n">
        <v>1.00495464568807</v>
      </c>
      <c r="AO11" s="35" t="n">
        <v>0.998870801088901</v>
      </c>
      <c r="AP11" s="35" t="n">
        <v>0.998870801088901</v>
      </c>
      <c r="AQ11" s="35" t="n">
        <v>1.00495464568807</v>
      </c>
      <c r="AR11" s="35" t="n">
        <v>0.998870801088901</v>
      </c>
      <c r="AS11" s="35" t="n">
        <v>0.998870801088901</v>
      </c>
      <c r="AT11" s="35" t="n">
        <v>0.997892499532404</v>
      </c>
      <c r="AU11" s="35" t="n">
        <v>1.03856951772907</v>
      </c>
      <c r="AV11" s="35" t="n">
        <v>1.03856951772907</v>
      </c>
      <c r="AW11" s="35" t="n">
        <v>1.0431809559232</v>
      </c>
      <c r="AX11" s="35" t="n">
        <v>1.03856951772907</v>
      </c>
      <c r="AY11" s="35" t="n">
        <v>1.03856951772907</v>
      </c>
      <c r="AZ11" s="35" t="n">
        <v>1.0431809559232</v>
      </c>
      <c r="BA11" s="35" t="n">
        <v>1.03856951772907</v>
      </c>
      <c r="BB11" s="35" t="n">
        <v>1.03856951772907</v>
      </c>
      <c r="BC11" s="35" t="n">
        <v>1.0431809559232</v>
      </c>
      <c r="BD11" s="35" t="n">
        <v>1.04128360366777</v>
      </c>
      <c r="BE11" s="35" t="n">
        <v>1.03856951772907</v>
      </c>
      <c r="BF11" s="35" t="n">
        <v>1.0431809559232</v>
      </c>
      <c r="BG11" s="35" t="n">
        <v>1.03856951772907</v>
      </c>
      <c r="BH11" s="35" t="n">
        <v>1.03856951772907</v>
      </c>
      <c r="BI11" s="35" t="n">
        <v>1.0431809559232</v>
      </c>
      <c r="BJ11" s="35" t="n">
        <v>1.03856951772907</v>
      </c>
      <c r="BK11" s="35" t="n">
        <v>1.03856951772907</v>
      </c>
      <c r="BL11" s="35" t="n">
        <v>1.0431809559232</v>
      </c>
      <c r="BM11" s="35" t="n">
        <v>1.03856951772907</v>
      </c>
      <c r="BN11" s="35" t="n">
        <v>1.04128360366777</v>
      </c>
    </row>
    <row r="12" customFormat="false" ht="15" hidden="false" customHeight="false" outlineLevel="0" collapsed="false">
      <c r="A12" s="1"/>
      <c r="B12" s="8" t="s">
        <v>255</v>
      </c>
      <c r="C12" s="1"/>
      <c r="D12" s="1"/>
      <c r="E12" s="1"/>
      <c r="F12" s="1"/>
      <c r="G12" s="35" t="n">
        <v>1.00581050451173</v>
      </c>
      <c r="H12" s="35" t="n">
        <v>1.00020745120672</v>
      </c>
      <c r="I12" s="35" t="n">
        <v>1.00046608220784</v>
      </c>
      <c r="J12" s="35" t="n">
        <v>1.00670306391464</v>
      </c>
      <c r="K12" s="35" t="n">
        <v>1.00079958384432</v>
      </c>
      <c r="L12" s="35" t="n">
        <v>1.00105156764488</v>
      </c>
      <c r="M12" s="35" t="n">
        <v>1.00740725188602</v>
      </c>
      <c r="N12" s="35" t="n">
        <v>1.00139180223519</v>
      </c>
      <c r="O12" s="35" t="n">
        <v>1.00163538034909</v>
      </c>
      <c r="P12" s="35" t="n">
        <v>1.00181799633391</v>
      </c>
      <c r="Q12" s="35" t="n">
        <v>1.00216077242323</v>
      </c>
      <c r="R12" s="35" t="n">
        <v>1.00248042271364</v>
      </c>
      <c r="S12" s="35" t="n">
        <v>1.00920878299745</v>
      </c>
      <c r="T12" s="35" t="n">
        <v>1.00267634998884</v>
      </c>
      <c r="U12" s="35" t="n">
        <v>1.00268719324333</v>
      </c>
      <c r="V12" s="35" t="n">
        <v>1.00951241581994</v>
      </c>
      <c r="W12" s="35" t="n">
        <v>1.00274290223781</v>
      </c>
      <c r="X12" s="35" t="n">
        <v>1.00274290223781</v>
      </c>
      <c r="Y12" s="35" t="n">
        <v>1.00951241581994</v>
      </c>
      <c r="Z12" s="35" t="n">
        <v>1.00463883820714</v>
      </c>
      <c r="AA12" s="35" t="n">
        <v>1.00274290223781</v>
      </c>
      <c r="AB12" s="35" t="n">
        <v>1.00951241581994</v>
      </c>
      <c r="AC12" s="35" t="n">
        <v>1.00274290223781</v>
      </c>
      <c r="AD12" s="35" t="n">
        <v>1.00274290223781</v>
      </c>
      <c r="AE12" s="35" t="n">
        <v>1.00951241581994</v>
      </c>
      <c r="AF12" s="35" t="n">
        <v>1.00274290223781</v>
      </c>
      <c r="AG12" s="35" t="n">
        <v>1.00274290223781</v>
      </c>
      <c r="AH12" s="35" t="n">
        <v>1.00951241581994</v>
      </c>
      <c r="AI12" s="35" t="n">
        <v>1.00274290223781</v>
      </c>
      <c r="AJ12" s="35" t="n">
        <v>1.00463883820714</v>
      </c>
      <c r="AK12" s="35" t="n">
        <v>1.00951241581994</v>
      </c>
      <c r="AL12" s="35" t="n">
        <v>1.00274290223781</v>
      </c>
      <c r="AM12" s="35" t="n">
        <v>1.00274290223781</v>
      </c>
      <c r="AN12" s="35" t="n">
        <v>1.00951241581994</v>
      </c>
      <c r="AO12" s="35" t="n">
        <v>1.00274290223781</v>
      </c>
      <c r="AP12" s="35" t="n">
        <v>1.00274290223781</v>
      </c>
      <c r="AQ12" s="35" t="n">
        <v>1.00951241581994</v>
      </c>
      <c r="AR12" s="35" t="n">
        <v>1.00274290223781</v>
      </c>
      <c r="AS12" s="35" t="n">
        <v>1.00274290223781</v>
      </c>
      <c r="AT12" s="35" t="n">
        <v>1.00275223011504</v>
      </c>
      <c r="AU12" s="35" t="n">
        <v>1.03668490673234</v>
      </c>
      <c r="AV12" s="35" t="n">
        <v>1.03668490673234</v>
      </c>
      <c r="AW12" s="35" t="n">
        <v>1.04172836497246</v>
      </c>
      <c r="AX12" s="35" t="n">
        <v>1.03668490673234</v>
      </c>
      <c r="AY12" s="35" t="n">
        <v>1.03668490673234</v>
      </c>
      <c r="AZ12" s="35" t="n">
        <v>1.04172836497246</v>
      </c>
      <c r="BA12" s="35" t="n">
        <v>1.03668490673234</v>
      </c>
      <c r="BB12" s="35" t="n">
        <v>1.03668490673234</v>
      </c>
      <c r="BC12" s="35" t="n">
        <v>1.04172836497246</v>
      </c>
      <c r="BD12" s="35" t="n">
        <v>1.03969893180661</v>
      </c>
      <c r="BE12" s="35" t="n">
        <v>1.03668490673234</v>
      </c>
      <c r="BF12" s="35" t="n">
        <v>1.04172836497246</v>
      </c>
      <c r="BG12" s="35" t="n">
        <v>1.03668490673234</v>
      </c>
      <c r="BH12" s="35" t="n">
        <v>1.03668490673234</v>
      </c>
      <c r="BI12" s="35" t="n">
        <v>1.04172836497246</v>
      </c>
      <c r="BJ12" s="35" t="n">
        <v>1.03668490673234</v>
      </c>
      <c r="BK12" s="35" t="n">
        <v>1.03668490673234</v>
      </c>
      <c r="BL12" s="35" t="n">
        <v>1.04172836497246</v>
      </c>
      <c r="BM12" s="35" t="n">
        <v>1.03668490673234</v>
      </c>
      <c r="BN12" s="35" t="n">
        <v>1.03969893180661</v>
      </c>
    </row>
    <row r="13" customFormat="false" ht="15" hidden="false" customHeight="false" outlineLevel="0" collapsed="false">
      <c r="A13" s="1"/>
      <c r="B13" s="4" t="s">
        <v>256</v>
      </c>
      <c r="C13" s="1"/>
      <c r="D13" s="1"/>
      <c r="E13" s="1"/>
      <c r="F13" s="1"/>
      <c r="G13" s="36" t="n">
        <f aca="false">CHOOSE(Dashboard!$C$4,G10,G11,G12)</f>
        <v>1.00432804074819</v>
      </c>
      <c r="H13" s="36" t="n">
        <f aca="false">CHOOSE(Dashboard!$C$4,H10,H11,H12)</f>
        <v>0.999156405630331</v>
      </c>
      <c r="I13" s="36" t="n">
        <f aca="false">CHOOSE(Dashboard!$C$4,I10,I11,I12)</f>
        <v>0.999133876768784</v>
      </c>
      <c r="J13" s="36" t="n">
        <f aca="false">CHOOSE(Dashboard!$C$4,J10,J11,J12)</f>
        <v>1.00430531285016</v>
      </c>
      <c r="K13" s="36" t="n">
        <f aca="false">CHOOSE(Dashboard!$C$4,K10,K11,K12)</f>
        <v>0.99904100405138</v>
      </c>
      <c r="L13" s="36" t="n">
        <f aca="false">CHOOSE(Dashboard!$C$4,L10,L11,L12)</f>
        <v>0.998993379753044</v>
      </c>
      <c r="M13" s="36" t="n">
        <f aca="false">CHOOSE(Dashboard!$C$4,M10,M11,M12)</f>
        <v>1.00430786446153</v>
      </c>
      <c r="N13" s="36" t="n">
        <f aca="false">CHOOSE(Dashboard!$C$4,N10,N11,N12)</f>
        <v>0.998973409245068</v>
      </c>
      <c r="O13" s="36" t="n">
        <f aca="false">CHOOSE(Dashboard!$C$4,O10,O11,O12)</f>
        <v>0.998932843651731</v>
      </c>
      <c r="P13" s="36" t="n">
        <f aca="false">CHOOSE(Dashboard!$C$4,P10,P11,P12)</f>
        <v>0.998425850527619</v>
      </c>
      <c r="Q13" s="36" t="n">
        <f aca="false">CHOOSE(Dashboard!$C$4,Q10,Q11,Q12)</f>
        <v>0.998887758757698</v>
      </c>
      <c r="R13" s="36" t="n">
        <f aca="false">CHOOSE(Dashboard!$C$4,R10,R11,R12)</f>
        <v>0.99886517512308</v>
      </c>
      <c r="S13" s="36" t="n">
        <f aca="false">CHOOSE(Dashboard!$C$4,S10,S11,S12)</f>
        <v>1.00446564994468</v>
      </c>
      <c r="T13" s="36" t="n">
        <f aca="false">CHOOSE(Dashboard!$C$4,T10,T11,T12)</f>
        <v>0.998879612945868</v>
      </c>
      <c r="U13" s="36" t="n">
        <f aca="false">CHOOSE(Dashboard!$C$4,U10,U11,U12)</f>
        <v>0.998747404572031</v>
      </c>
      <c r="V13" s="36" t="n">
        <f aca="false">CHOOSE(Dashboard!$C$4,V10,V11,V12)</f>
        <v>1.0044792230165</v>
      </c>
      <c r="W13" s="36" t="n">
        <f aca="false">CHOOSE(Dashboard!$C$4,W10,W11,W12)</f>
        <v>0.998874847168248</v>
      </c>
      <c r="X13" s="36" t="n">
        <f aca="false">CHOOSE(Dashboard!$C$4,X10,X11,X12)</f>
        <v>0.998903018157305</v>
      </c>
      <c r="Y13" s="36" t="n">
        <f aca="false">CHOOSE(Dashboard!$C$4,Y10,Y11,Y12)</f>
        <v>1.00469988223255</v>
      </c>
      <c r="Z13" s="36" t="n">
        <f aca="false">CHOOSE(Dashboard!$C$4,Z10,Z11,Z12)</f>
        <v>1.00003758482895</v>
      </c>
      <c r="AA13" s="36" t="n">
        <f aca="false">CHOOSE(Dashboard!$C$4,AA10,AA11,AA12)</f>
        <v>0.998871685760968</v>
      </c>
      <c r="AB13" s="36" t="n">
        <f aca="false">CHOOSE(Dashboard!$C$4,AB10,AB11,AB12)</f>
        <v>1.00481728381818</v>
      </c>
      <c r="AC13" s="36" t="n">
        <f aca="false">CHOOSE(Dashboard!$C$4,AC10,AC11,AC12)</f>
        <v>0.998899795717491</v>
      </c>
      <c r="AD13" s="36" t="n">
        <f aca="false">CHOOSE(Dashboard!$C$4,AD10,AD11,AD12)</f>
        <v>0.998934637412053</v>
      </c>
      <c r="AE13" s="36" t="n">
        <f aca="false">CHOOSE(Dashboard!$C$4,AE10,AE11,AE12)</f>
        <v>1.00492121101308</v>
      </c>
      <c r="AF13" s="36" t="n">
        <f aca="false">CHOOSE(Dashboard!$C$4,AF10,AF11,AF12)</f>
        <v>0.998892079863285</v>
      </c>
      <c r="AG13" s="36" t="n">
        <f aca="false">CHOOSE(Dashboard!$C$4,AG10,AG11,AG12)</f>
        <v>0.998870801088901</v>
      </c>
      <c r="AH13" s="36" t="n">
        <f aca="false">CHOOSE(Dashboard!$C$4,AH10,AH11,AH12)</f>
        <v>1.00495464568807</v>
      </c>
      <c r="AI13" s="36" t="n">
        <f aca="false">CHOOSE(Dashboard!$C$4,AI10,AI11,AI12)</f>
        <v>0.998870801088901</v>
      </c>
      <c r="AJ13" s="36" t="n">
        <f aca="false">CHOOSE(Dashboard!$C$4,AJ10,AJ11,AJ12)</f>
        <v>0.999696653492287</v>
      </c>
      <c r="AK13" s="36" t="n">
        <f aca="false">CHOOSE(Dashboard!$C$4,AK10,AK11,AK12)</f>
        <v>1.00495464568807</v>
      </c>
      <c r="AL13" s="36" t="n">
        <f aca="false">CHOOSE(Dashboard!$C$4,AL10,AL11,AL12)</f>
        <v>0.998870801088901</v>
      </c>
      <c r="AM13" s="36" t="n">
        <f aca="false">CHOOSE(Dashboard!$C$4,AM10,AM11,AM12)</f>
        <v>0.998870801088901</v>
      </c>
      <c r="AN13" s="36" t="n">
        <f aca="false">CHOOSE(Dashboard!$C$4,AN10,AN11,AN12)</f>
        <v>1.00495464568807</v>
      </c>
      <c r="AO13" s="36" t="n">
        <f aca="false">CHOOSE(Dashboard!$C$4,AO10,AO11,AO12)</f>
        <v>0.998870801088901</v>
      </c>
      <c r="AP13" s="36" t="n">
        <f aca="false">CHOOSE(Dashboard!$C$4,AP10,AP11,AP12)</f>
        <v>0.998870801088901</v>
      </c>
      <c r="AQ13" s="36" t="n">
        <f aca="false">CHOOSE(Dashboard!$C$4,AQ10,AQ11,AQ12)</f>
        <v>1.00495464568807</v>
      </c>
      <c r="AR13" s="36" t="n">
        <f aca="false">CHOOSE(Dashboard!$C$4,AR10,AR11,AR12)</f>
        <v>0.998870801088901</v>
      </c>
      <c r="AS13" s="36" t="n">
        <f aca="false">CHOOSE(Dashboard!$C$4,AS10,AS11,AS12)</f>
        <v>0.998870801088901</v>
      </c>
      <c r="AT13" s="36" t="n">
        <f aca="false">CHOOSE(Dashboard!$C$4,AT10,AT11,AT12)</f>
        <v>0.997892499532404</v>
      </c>
      <c r="AU13" s="36" t="n">
        <f aca="false">CHOOSE(Dashboard!$C$4,AU10,AU11,AU12)</f>
        <v>1.03856951772907</v>
      </c>
      <c r="AV13" s="36" t="n">
        <f aca="false">CHOOSE(Dashboard!$C$4,AV10,AV11,AV12)</f>
        <v>1.03856951772907</v>
      </c>
      <c r="AW13" s="36" t="n">
        <f aca="false">CHOOSE(Dashboard!$C$4,AW10,AW11,AW12)</f>
        <v>1.0431809559232</v>
      </c>
      <c r="AX13" s="36" t="n">
        <f aca="false">CHOOSE(Dashboard!$C$4,AX10,AX11,AX12)</f>
        <v>1.03856951772907</v>
      </c>
      <c r="AY13" s="36" t="n">
        <f aca="false">CHOOSE(Dashboard!$C$4,AY10,AY11,AY12)</f>
        <v>1.03856951772907</v>
      </c>
      <c r="AZ13" s="36" t="n">
        <f aca="false">CHOOSE(Dashboard!$C$4,AZ10,AZ11,AZ12)</f>
        <v>1.0431809559232</v>
      </c>
      <c r="BA13" s="36" t="n">
        <f aca="false">CHOOSE(Dashboard!$C$4,BA10,BA11,BA12)</f>
        <v>1.03856951772907</v>
      </c>
      <c r="BB13" s="36" t="n">
        <f aca="false">CHOOSE(Dashboard!$C$4,BB10,BB11,BB12)</f>
        <v>1.03856951772907</v>
      </c>
      <c r="BC13" s="36" t="n">
        <f aca="false">CHOOSE(Dashboard!$C$4,BC10,BC11,BC12)</f>
        <v>1.0431809559232</v>
      </c>
      <c r="BD13" s="36" t="n">
        <f aca="false">CHOOSE(Dashboard!$C$4,BD10,BD11,BD12)</f>
        <v>1.04128360366777</v>
      </c>
      <c r="BE13" s="36" t="n">
        <f aca="false">CHOOSE(Dashboard!$C$4,BE10,BE11,BE12)</f>
        <v>1.03856951772907</v>
      </c>
      <c r="BF13" s="36" t="n">
        <f aca="false">CHOOSE(Dashboard!$C$4,BF10,BF11,BF12)</f>
        <v>1.0431809559232</v>
      </c>
      <c r="BG13" s="36" t="n">
        <f aca="false">CHOOSE(Dashboard!$C$4,BG10,BG11,BG12)</f>
        <v>1.03856951772907</v>
      </c>
      <c r="BH13" s="36" t="n">
        <f aca="false">CHOOSE(Dashboard!$C$4,BH10,BH11,BH12)</f>
        <v>1.03856951772907</v>
      </c>
      <c r="BI13" s="36" t="n">
        <f aca="false">CHOOSE(Dashboard!$C$4,BI10,BI11,BI12)</f>
        <v>1.0431809559232</v>
      </c>
      <c r="BJ13" s="36" t="n">
        <f aca="false">CHOOSE(Dashboard!$C$4,BJ10,BJ11,BJ12)</f>
        <v>1.03856951772907</v>
      </c>
      <c r="BK13" s="36" t="n">
        <f aca="false">CHOOSE(Dashboard!$C$4,BK10,BK11,BK12)</f>
        <v>1.03856951772907</v>
      </c>
      <c r="BL13" s="36" t="n">
        <f aca="false">CHOOSE(Dashboard!$C$4,BL10,BL11,BL12)</f>
        <v>1.0431809559232</v>
      </c>
      <c r="BM13" s="36" t="n">
        <f aca="false">CHOOSE(Dashboard!$C$4,BM10,BM11,BM12)</f>
        <v>1.03856951772907</v>
      </c>
      <c r="BN13" s="36" t="n">
        <f aca="false">CHOOSE(Dashboard!$C$4,BN10,BN11,BN12)</f>
        <v>1.04128360366777</v>
      </c>
    </row>
    <row r="14" customFormat="false" ht="15" hidden="false" customHeight="false" outlineLevel="0" collapsed="false">
      <c r="A14" s="1"/>
      <c r="B14" s="8" t="s">
        <v>257</v>
      </c>
      <c r="C14" s="1"/>
      <c r="D14" s="1"/>
      <c r="E14" s="1"/>
      <c r="F14" s="1"/>
      <c r="G14" s="35" t="n">
        <v>1.00064518350704</v>
      </c>
      <c r="H14" s="35" t="n">
        <v>0.995165233894447</v>
      </c>
      <c r="I14" s="35" t="n">
        <v>0.995151130169118</v>
      </c>
      <c r="J14" s="35" t="n">
        <v>1.00064915898496</v>
      </c>
      <c r="K14" s="35" t="n">
        <v>0.995124742510879</v>
      </c>
      <c r="L14" s="35" t="n">
        <v>0.995110643438876</v>
      </c>
      <c r="M14" s="35" t="n">
        <v>1.00065138550015</v>
      </c>
      <c r="N14" s="35" t="n">
        <v>0.99508244529487</v>
      </c>
      <c r="O14" s="35" t="n">
        <v>0.995068346222867</v>
      </c>
      <c r="P14" s="35" t="n">
        <v>0.995077293773516</v>
      </c>
      <c r="Q14" s="35" t="n">
        <v>0.995040148078861</v>
      </c>
      <c r="R14" s="35" t="n">
        <v>0.995026049006859</v>
      </c>
      <c r="S14" s="35" t="n">
        <v>1.00065583853052</v>
      </c>
      <c r="T14" s="35" t="n">
        <v>0.994997850862853</v>
      </c>
      <c r="U14" s="35" t="n">
        <v>0.99498375179085</v>
      </c>
      <c r="V14" s="35" t="n">
        <v>1.0006580650457</v>
      </c>
      <c r="W14" s="35" t="n">
        <v>0.994955553646844</v>
      </c>
      <c r="X14" s="35" t="n">
        <v>0.994941454574841</v>
      </c>
      <c r="Y14" s="35" t="n">
        <v>1.00066029156089</v>
      </c>
      <c r="Z14" s="35" t="n">
        <v>0.996828274975967</v>
      </c>
      <c r="AA14" s="35" t="n">
        <v>0.994899157358832</v>
      </c>
      <c r="AB14" s="35" t="n">
        <v>1.00066251807607</v>
      </c>
      <c r="AC14" s="35" t="n">
        <v>0.994870959214826</v>
      </c>
      <c r="AD14" s="35" t="n">
        <v>0.994856860142823</v>
      </c>
      <c r="AE14" s="35" t="n">
        <v>1.00066474459126</v>
      </c>
      <c r="AF14" s="35" t="n">
        <v>0.994828661998817</v>
      </c>
      <c r="AG14" s="35" t="n">
        <v>0.994814562926814</v>
      </c>
      <c r="AH14" s="35" t="n">
        <v>1.00066697110644</v>
      </c>
      <c r="AI14" s="35" t="n">
        <v>0.994786364782809</v>
      </c>
      <c r="AJ14" s="35" t="n">
        <v>0.996408396210191</v>
      </c>
      <c r="AK14" s="35" t="n">
        <v>1.00066919762163</v>
      </c>
      <c r="AL14" s="35" t="n">
        <v>0.9947440675668</v>
      </c>
      <c r="AM14" s="35" t="n">
        <v>0.994729968494797</v>
      </c>
      <c r="AN14" s="35" t="n">
        <v>1.00067142413681</v>
      </c>
      <c r="AO14" s="35" t="n">
        <v>0.994701770350791</v>
      </c>
      <c r="AP14" s="35" t="n">
        <v>0.994687671278788</v>
      </c>
      <c r="AQ14" s="35" t="n">
        <v>1.000673650652</v>
      </c>
      <c r="AR14" s="35" t="n">
        <v>0.994694453953776</v>
      </c>
      <c r="AS14" s="35" t="n">
        <v>0.994680370801363</v>
      </c>
      <c r="AT14" s="35" t="n">
        <v>0.99410733113268</v>
      </c>
      <c r="AU14" s="35" t="n">
        <v>1</v>
      </c>
      <c r="AV14" s="35" t="n">
        <v>1</v>
      </c>
      <c r="AW14" s="35" t="n">
        <v>1</v>
      </c>
      <c r="AX14" s="35" t="n">
        <v>1</v>
      </c>
      <c r="AY14" s="35" t="n">
        <v>1</v>
      </c>
      <c r="AZ14" s="35" t="n">
        <v>1</v>
      </c>
      <c r="BA14" s="35" t="n">
        <v>1</v>
      </c>
      <c r="BB14" s="35" t="n">
        <v>1</v>
      </c>
      <c r="BC14" s="35" t="n">
        <v>1</v>
      </c>
      <c r="BD14" s="35" t="n">
        <v>1</v>
      </c>
      <c r="BE14" s="35" t="n">
        <v>1</v>
      </c>
      <c r="BF14" s="35" t="n">
        <v>1</v>
      </c>
      <c r="BG14" s="35" t="n">
        <v>1</v>
      </c>
      <c r="BH14" s="35" t="n">
        <v>1</v>
      </c>
      <c r="BI14" s="35" t="n">
        <v>1</v>
      </c>
      <c r="BJ14" s="35" t="n">
        <v>1</v>
      </c>
      <c r="BK14" s="35" t="n">
        <v>1</v>
      </c>
      <c r="BL14" s="35" t="n">
        <v>1</v>
      </c>
      <c r="BM14" s="35" t="n">
        <v>1</v>
      </c>
      <c r="BN14" s="35" t="n">
        <v>1</v>
      </c>
    </row>
    <row r="15" customFormat="false" ht="15" hidden="false" customHeight="false" outlineLevel="0" collapsed="false">
      <c r="A15" s="1"/>
      <c r="B15" s="8" t="s">
        <v>258</v>
      </c>
      <c r="C15" s="1"/>
      <c r="D15" s="1"/>
      <c r="E15" s="1"/>
      <c r="F15" s="1"/>
      <c r="G15" s="35" t="n">
        <v>0.999405707721981</v>
      </c>
      <c r="H15" s="35" t="n">
        <v>0.994045493546402</v>
      </c>
      <c r="I15" s="35" t="n">
        <v>0.994009452802472</v>
      </c>
      <c r="J15" s="35" t="n">
        <v>0.99949248756144</v>
      </c>
      <c r="K15" s="35" t="n">
        <v>0.994040054667654</v>
      </c>
      <c r="L15" s="35" t="n">
        <v>0.993999728273418</v>
      </c>
      <c r="M15" s="35" t="n">
        <v>0.999507098668639</v>
      </c>
      <c r="N15" s="35" t="n">
        <v>0.993931839559036</v>
      </c>
      <c r="O15" s="35" t="n">
        <v>0.993910512776474</v>
      </c>
      <c r="P15" s="35" t="n">
        <v>0.993241491753242</v>
      </c>
      <c r="Q15" s="35" t="n">
        <v>0.993871418540704</v>
      </c>
      <c r="R15" s="35" t="n">
        <v>0.993835304816283</v>
      </c>
      <c r="S15" s="35" t="n">
        <v>0.999598316144889</v>
      </c>
      <c r="T15" s="35" t="n">
        <v>0.993844311191286</v>
      </c>
      <c r="U15" s="35" t="n">
        <v>0.993773368586974</v>
      </c>
      <c r="V15" s="35" t="n">
        <v>0.999656412124336</v>
      </c>
      <c r="W15" s="35" t="n">
        <v>0.993755437759202</v>
      </c>
      <c r="X15" s="35" t="n">
        <v>0.993769410784941</v>
      </c>
      <c r="Y15" s="35" t="n">
        <v>0.999732088010899</v>
      </c>
      <c r="Z15" s="35" t="n">
        <v>0.994608521224631</v>
      </c>
      <c r="AA15" s="35" t="n">
        <v>0.993694968779415</v>
      </c>
      <c r="AB15" s="35" t="n">
        <v>0.99978788968152</v>
      </c>
      <c r="AC15" s="35" t="n">
        <v>0.993639608827614</v>
      </c>
      <c r="AD15" s="35" t="n">
        <v>0.993626389310418</v>
      </c>
      <c r="AE15" s="35" t="n">
        <v>0.999817577083424</v>
      </c>
      <c r="AF15" s="35" t="n">
        <v>0.993554281300841</v>
      </c>
      <c r="AG15" s="35" t="n">
        <v>0.993518227296053</v>
      </c>
      <c r="AH15" s="35" t="n">
        <v>0.999822679225368</v>
      </c>
      <c r="AI15" s="35" t="n">
        <v>0.993518227296053</v>
      </c>
      <c r="AJ15" s="35" t="n">
        <v>0.994103653987941</v>
      </c>
      <c r="AK15" s="35" t="n">
        <v>0.999822679225368</v>
      </c>
      <c r="AL15" s="35" t="n">
        <v>0.993518227296053</v>
      </c>
      <c r="AM15" s="35" t="n">
        <v>0.993518227296053</v>
      </c>
      <c r="AN15" s="35" t="n">
        <v>0.999822679225368</v>
      </c>
      <c r="AO15" s="35" t="n">
        <v>0.993518227296053</v>
      </c>
      <c r="AP15" s="35" t="n">
        <v>0.993518227296053</v>
      </c>
      <c r="AQ15" s="35" t="n">
        <v>0.999822679225368</v>
      </c>
      <c r="AR15" s="35" t="n">
        <v>0.993518227296053</v>
      </c>
      <c r="AS15" s="35" t="n">
        <v>0.993518227296053</v>
      </c>
      <c r="AT15" s="35" t="n">
        <v>0.992382006393832</v>
      </c>
      <c r="AU15" s="35" t="n">
        <v>1</v>
      </c>
      <c r="AV15" s="35" t="n">
        <v>1</v>
      </c>
      <c r="AW15" s="35" t="n">
        <v>1</v>
      </c>
      <c r="AX15" s="35" t="n">
        <v>1</v>
      </c>
      <c r="AY15" s="35" t="n">
        <v>1</v>
      </c>
      <c r="AZ15" s="35" t="n">
        <v>1</v>
      </c>
      <c r="BA15" s="35" t="n">
        <v>1</v>
      </c>
      <c r="BB15" s="35" t="n">
        <v>1</v>
      </c>
      <c r="BC15" s="35" t="n">
        <v>1</v>
      </c>
      <c r="BD15" s="35" t="n">
        <v>1</v>
      </c>
      <c r="BE15" s="35" t="n">
        <v>1</v>
      </c>
      <c r="BF15" s="35" t="n">
        <v>1</v>
      </c>
      <c r="BG15" s="35" t="n">
        <v>1</v>
      </c>
      <c r="BH15" s="35" t="n">
        <v>1</v>
      </c>
      <c r="BI15" s="35" t="n">
        <v>1</v>
      </c>
      <c r="BJ15" s="35" t="n">
        <v>1</v>
      </c>
      <c r="BK15" s="35" t="n">
        <v>1</v>
      </c>
      <c r="BL15" s="35" t="n">
        <v>1</v>
      </c>
      <c r="BM15" s="35" t="n">
        <v>1</v>
      </c>
      <c r="BN15" s="35" t="n">
        <v>1</v>
      </c>
    </row>
    <row r="16" customFormat="false" ht="15" hidden="false" customHeight="false" outlineLevel="0" collapsed="false">
      <c r="A16" s="1"/>
      <c r="B16" s="8" t="s">
        <v>259</v>
      </c>
      <c r="C16" s="1"/>
      <c r="D16" s="1"/>
      <c r="E16" s="1"/>
      <c r="F16" s="1"/>
      <c r="G16" s="35" t="n">
        <v>0.999342742957729</v>
      </c>
      <c r="H16" s="35" t="n">
        <v>0.993064437331234</v>
      </c>
      <c r="I16" s="35" t="n">
        <v>0.992991703693763</v>
      </c>
      <c r="J16" s="35" t="n">
        <v>0.999442004284762</v>
      </c>
      <c r="K16" s="35" t="n">
        <v>0.992910055809798</v>
      </c>
      <c r="L16" s="35" t="n">
        <v>0.992810406912038</v>
      </c>
      <c r="M16" s="35" t="n">
        <v>0.9994040526199</v>
      </c>
      <c r="N16" s="35" t="n">
        <v>0.992659760298132</v>
      </c>
      <c r="O16" s="35" t="n">
        <v>0.992557688658933</v>
      </c>
      <c r="P16" s="35" t="n">
        <v>0.992453092625608</v>
      </c>
      <c r="Q16" s="35" t="n">
        <v>0.992303110092111</v>
      </c>
      <c r="R16" s="35" t="n">
        <v>0.992239570633534</v>
      </c>
      <c r="S16" s="35" t="n">
        <v>0.999329622833689</v>
      </c>
      <c r="T16" s="35" t="n">
        <v>0.992081772142551</v>
      </c>
      <c r="U16" s="35" t="n">
        <v>0.99197302736654</v>
      </c>
      <c r="V16" s="35" t="n">
        <v>0.999296033487862</v>
      </c>
      <c r="W16" s="35" t="n">
        <v>0.99192946880313</v>
      </c>
      <c r="X16" s="35" t="n">
        <v>0.99192946880313</v>
      </c>
      <c r="Y16" s="35" t="n">
        <v>0.999296033487862</v>
      </c>
      <c r="Z16" s="35" t="n">
        <v>0.993499922538852</v>
      </c>
      <c r="AA16" s="35" t="n">
        <v>0.99192946880313</v>
      </c>
      <c r="AB16" s="35" t="n">
        <v>0.999296033487862</v>
      </c>
      <c r="AC16" s="35" t="n">
        <v>0.99192946880313</v>
      </c>
      <c r="AD16" s="35" t="n">
        <v>0.99192946880313</v>
      </c>
      <c r="AE16" s="35" t="n">
        <v>0.999296033487862</v>
      </c>
      <c r="AF16" s="35" t="n">
        <v>0.99192946880313</v>
      </c>
      <c r="AG16" s="35" t="n">
        <v>0.99192946880313</v>
      </c>
      <c r="AH16" s="35" t="n">
        <v>0.999296033487862</v>
      </c>
      <c r="AI16" s="35" t="n">
        <v>0.99192946880313</v>
      </c>
      <c r="AJ16" s="35" t="n">
        <v>0.993499922538852</v>
      </c>
      <c r="AK16" s="35" t="n">
        <v>0.999296033487862</v>
      </c>
      <c r="AL16" s="35" t="n">
        <v>0.99192946880313</v>
      </c>
      <c r="AM16" s="35" t="n">
        <v>0.99192946880313</v>
      </c>
      <c r="AN16" s="35" t="n">
        <v>0.999296033487862</v>
      </c>
      <c r="AO16" s="35" t="n">
        <v>0.99192946880313</v>
      </c>
      <c r="AP16" s="35" t="n">
        <v>0.99192946880313</v>
      </c>
      <c r="AQ16" s="35" t="n">
        <v>0.999296033487862</v>
      </c>
      <c r="AR16" s="35" t="n">
        <v>0.99192946880313</v>
      </c>
      <c r="AS16" s="35" t="n">
        <v>0.99192946880313</v>
      </c>
      <c r="AT16" s="35" t="n">
        <v>0.991778468487202</v>
      </c>
      <c r="AU16" s="35" t="n">
        <v>1</v>
      </c>
      <c r="AV16" s="35" t="n">
        <v>1</v>
      </c>
      <c r="AW16" s="35" t="n">
        <v>1</v>
      </c>
      <c r="AX16" s="35" t="n">
        <v>1</v>
      </c>
      <c r="AY16" s="35" t="n">
        <v>1</v>
      </c>
      <c r="AZ16" s="35" t="n">
        <v>1</v>
      </c>
      <c r="BA16" s="35" t="n">
        <v>1</v>
      </c>
      <c r="BB16" s="35" t="n">
        <v>1</v>
      </c>
      <c r="BC16" s="35" t="n">
        <v>1</v>
      </c>
      <c r="BD16" s="35" t="n">
        <v>1</v>
      </c>
      <c r="BE16" s="35" t="n">
        <v>1</v>
      </c>
      <c r="BF16" s="35" t="n">
        <v>1</v>
      </c>
      <c r="BG16" s="35" t="n">
        <v>1</v>
      </c>
      <c r="BH16" s="35" t="n">
        <v>1</v>
      </c>
      <c r="BI16" s="35" t="n">
        <v>1</v>
      </c>
      <c r="BJ16" s="35" t="n">
        <v>1</v>
      </c>
      <c r="BK16" s="35" t="n">
        <v>1</v>
      </c>
      <c r="BL16" s="35" t="n">
        <v>1</v>
      </c>
      <c r="BM16" s="35" t="n">
        <v>1</v>
      </c>
      <c r="BN16" s="35" t="n">
        <v>1</v>
      </c>
    </row>
    <row r="17" customFormat="false" ht="15" hidden="false" customHeight="false" outlineLevel="0" collapsed="false">
      <c r="A17" s="1"/>
      <c r="B17" s="4" t="s">
        <v>260</v>
      </c>
      <c r="C17" s="1"/>
      <c r="D17" s="1"/>
      <c r="E17" s="1"/>
      <c r="F17" s="1"/>
      <c r="G17" s="36" t="n">
        <f aca="false">CHOOSE(Dashboard!$C$4,G14,G15,G16)</f>
        <v>0.999405707721981</v>
      </c>
      <c r="H17" s="36" t="n">
        <f aca="false">CHOOSE(Dashboard!$C$4,H14,H15,H16)</f>
        <v>0.994045493546402</v>
      </c>
      <c r="I17" s="36" t="n">
        <f aca="false">CHOOSE(Dashboard!$C$4,I14,I15,I16)</f>
        <v>0.994009452802472</v>
      </c>
      <c r="J17" s="36" t="n">
        <f aca="false">CHOOSE(Dashboard!$C$4,J14,J15,J16)</f>
        <v>0.99949248756144</v>
      </c>
      <c r="K17" s="36" t="n">
        <f aca="false">CHOOSE(Dashboard!$C$4,K14,K15,K16)</f>
        <v>0.994040054667654</v>
      </c>
      <c r="L17" s="36" t="n">
        <f aca="false">CHOOSE(Dashboard!$C$4,L14,L15,L16)</f>
        <v>0.993999728273418</v>
      </c>
      <c r="M17" s="36" t="n">
        <f aca="false">CHOOSE(Dashboard!$C$4,M14,M15,M16)</f>
        <v>0.999507098668639</v>
      </c>
      <c r="N17" s="36" t="n">
        <f aca="false">CHOOSE(Dashboard!$C$4,N14,N15,N16)</f>
        <v>0.993931839559036</v>
      </c>
      <c r="O17" s="36" t="n">
        <f aca="false">CHOOSE(Dashboard!$C$4,O14,O15,O16)</f>
        <v>0.993910512776474</v>
      </c>
      <c r="P17" s="36" t="n">
        <f aca="false">CHOOSE(Dashboard!$C$4,P14,P15,P16)</f>
        <v>0.993241491753242</v>
      </c>
      <c r="Q17" s="36" t="n">
        <f aca="false">CHOOSE(Dashboard!$C$4,Q14,Q15,Q16)</f>
        <v>0.993871418540704</v>
      </c>
      <c r="R17" s="36" t="n">
        <f aca="false">CHOOSE(Dashboard!$C$4,R14,R15,R16)</f>
        <v>0.993835304816283</v>
      </c>
      <c r="S17" s="36" t="n">
        <f aca="false">CHOOSE(Dashboard!$C$4,S14,S15,S16)</f>
        <v>0.999598316144889</v>
      </c>
      <c r="T17" s="36" t="n">
        <f aca="false">CHOOSE(Dashboard!$C$4,T14,T15,T16)</f>
        <v>0.993844311191286</v>
      </c>
      <c r="U17" s="36" t="n">
        <f aca="false">CHOOSE(Dashboard!$C$4,U14,U15,U16)</f>
        <v>0.993773368586974</v>
      </c>
      <c r="V17" s="36" t="n">
        <f aca="false">CHOOSE(Dashboard!$C$4,V14,V15,V16)</f>
        <v>0.999656412124336</v>
      </c>
      <c r="W17" s="36" t="n">
        <f aca="false">CHOOSE(Dashboard!$C$4,W14,W15,W16)</f>
        <v>0.993755437759202</v>
      </c>
      <c r="X17" s="36" t="n">
        <f aca="false">CHOOSE(Dashboard!$C$4,X14,X15,X16)</f>
        <v>0.993769410784941</v>
      </c>
      <c r="Y17" s="36" t="n">
        <f aca="false">CHOOSE(Dashboard!$C$4,Y14,Y15,Y16)</f>
        <v>0.999732088010899</v>
      </c>
      <c r="Z17" s="36" t="n">
        <f aca="false">CHOOSE(Dashboard!$C$4,Z14,Z15,Z16)</f>
        <v>0.994608521224631</v>
      </c>
      <c r="AA17" s="36" t="n">
        <f aca="false">CHOOSE(Dashboard!$C$4,AA14,AA15,AA16)</f>
        <v>0.993694968779415</v>
      </c>
      <c r="AB17" s="36" t="n">
        <f aca="false">CHOOSE(Dashboard!$C$4,AB14,AB15,AB16)</f>
        <v>0.99978788968152</v>
      </c>
      <c r="AC17" s="36" t="n">
        <f aca="false">CHOOSE(Dashboard!$C$4,AC14,AC15,AC16)</f>
        <v>0.993639608827614</v>
      </c>
      <c r="AD17" s="36" t="n">
        <f aca="false">CHOOSE(Dashboard!$C$4,AD14,AD15,AD16)</f>
        <v>0.993626389310418</v>
      </c>
      <c r="AE17" s="36" t="n">
        <f aca="false">CHOOSE(Dashboard!$C$4,AE14,AE15,AE16)</f>
        <v>0.999817577083424</v>
      </c>
      <c r="AF17" s="36" t="n">
        <f aca="false">CHOOSE(Dashboard!$C$4,AF14,AF15,AF16)</f>
        <v>0.993554281300841</v>
      </c>
      <c r="AG17" s="36" t="n">
        <f aca="false">CHOOSE(Dashboard!$C$4,AG14,AG15,AG16)</f>
        <v>0.993518227296053</v>
      </c>
      <c r="AH17" s="36" t="n">
        <f aca="false">CHOOSE(Dashboard!$C$4,AH14,AH15,AH16)</f>
        <v>0.999822679225368</v>
      </c>
      <c r="AI17" s="36" t="n">
        <f aca="false">CHOOSE(Dashboard!$C$4,AI14,AI15,AI16)</f>
        <v>0.993518227296053</v>
      </c>
      <c r="AJ17" s="36" t="n">
        <f aca="false">CHOOSE(Dashboard!$C$4,AJ14,AJ15,AJ16)</f>
        <v>0.994103653987941</v>
      </c>
      <c r="AK17" s="36" t="n">
        <f aca="false">CHOOSE(Dashboard!$C$4,AK14,AK15,AK16)</f>
        <v>0.999822679225368</v>
      </c>
      <c r="AL17" s="36" t="n">
        <f aca="false">CHOOSE(Dashboard!$C$4,AL14,AL15,AL16)</f>
        <v>0.993518227296053</v>
      </c>
      <c r="AM17" s="36" t="n">
        <f aca="false">CHOOSE(Dashboard!$C$4,AM14,AM15,AM16)</f>
        <v>0.993518227296053</v>
      </c>
      <c r="AN17" s="36" t="n">
        <f aca="false">CHOOSE(Dashboard!$C$4,AN14,AN15,AN16)</f>
        <v>0.999822679225368</v>
      </c>
      <c r="AO17" s="36" t="n">
        <f aca="false">CHOOSE(Dashboard!$C$4,AO14,AO15,AO16)</f>
        <v>0.993518227296053</v>
      </c>
      <c r="AP17" s="36" t="n">
        <f aca="false">CHOOSE(Dashboard!$C$4,AP14,AP15,AP16)</f>
        <v>0.993518227296053</v>
      </c>
      <c r="AQ17" s="36" t="n">
        <f aca="false">CHOOSE(Dashboard!$C$4,AQ14,AQ15,AQ16)</f>
        <v>0.999822679225368</v>
      </c>
      <c r="AR17" s="36" t="n">
        <f aca="false">CHOOSE(Dashboard!$C$4,AR14,AR15,AR16)</f>
        <v>0.993518227296053</v>
      </c>
      <c r="AS17" s="36" t="n">
        <f aca="false">CHOOSE(Dashboard!$C$4,AS14,AS15,AS16)</f>
        <v>0.993518227296053</v>
      </c>
      <c r="AT17" s="36" t="n">
        <f aca="false">CHOOSE(Dashboard!$C$4,AT14,AT15,AT16)</f>
        <v>0.992382006393832</v>
      </c>
      <c r="AU17" s="36" t="n">
        <f aca="false">CHOOSE(Dashboard!$C$4,AU14,AU15,AU16)</f>
        <v>1</v>
      </c>
      <c r="AV17" s="36" t="n">
        <f aca="false">CHOOSE(Dashboard!$C$4,AV14,AV15,AV16)</f>
        <v>1</v>
      </c>
      <c r="AW17" s="36" t="n">
        <f aca="false">CHOOSE(Dashboard!$C$4,AW14,AW15,AW16)</f>
        <v>1</v>
      </c>
      <c r="AX17" s="36" t="n">
        <f aca="false">CHOOSE(Dashboard!$C$4,AX14,AX15,AX16)</f>
        <v>1</v>
      </c>
      <c r="AY17" s="36" t="n">
        <f aca="false">CHOOSE(Dashboard!$C$4,AY14,AY15,AY16)</f>
        <v>1</v>
      </c>
      <c r="AZ17" s="36" t="n">
        <f aca="false">CHOOSE(Dashboard!$C$4,AZ14,AZ15,AZ16)</f>
        <v>1</v>
      </c>
      <c r="BA17" s="36" t="n">
        <f aca="false">CHOOSE(Dashboard!$C$4,BA14,BA15,BA16)</f>
        <v>1</v>
      </c>
      <c r="BB17" s="36" t="n">
        <f aca="false">CHOOSE(Dashboard!$C$4,BB14,BB15,BB16)</f>
        <v>1</v>
      </c>
      <c r="BC17" s="36" t="n">
        <f aca="false">CHOOSE(Dashboard!$C$4,BC14,BC15,BC16)</f>
        <v>1</v>
      </c>
      <c r="BD17" s="36" t="n">
        <f aca="false">CHOOSE(Dashboard!$C$4,BD14,BD15,BD16)</f>
        <v>1</v>
      </c>
      <c r="BE17" s="36" t="n">
        <f aca="false">CHOOSE(Dashboard!$C$4,BE14,BE15,BE16)</f>
        <v>1</v>
      </c>
      <c r="BF17" s="36" t="n">
        <f aca="false">CHOOSE(Dashboard!$C$4,BF14,BF15,BF16)</f>
        <v>1</v>
      </c>
      <c r="BG17" s="36" t="n">
        <f aca="false">CHOOSE(Dashboard!$C$4,BG14,BG15,BG16)</f>
        <v>1</v>
      </c>
      <c r="BH17" s="36" t="n">
        <f aca="false">CHOOSE(Dashboard!$C$4,BH14,BH15,BH16)</f>
        <v>1</v>
      </c>
      <c r="BI17" s="36" t="n">
        <f aca="false">CHOOSE(Dashboard!$C$4,BI14,BI15,BI16)</f>
        <v>1</v>
      </c>
      <c r="BJ17" s="36" t="n">
        <f aca="false">CHOOSE(Dashboard!$C$4,BJ14,BJ15,BJ16)</f>
        <v>1</v>
      </c>
      <c r="BK17" s="36" t="n">
        <f aca="false">CHOOSE(Dashboard!$C$4,BK14,BK15,BK16)</f>
        <v>1</v>
      </c>
      <c r="BL17" s="36" t="n">
        <f aca="false">CHOOSE(Dashboard!$C$4,BL14,BL15,BL16)</f>
        <v>1</v>
      </c>
      <c r="BM17" s="36" t="n">
        <f aca="false">CHOOSE(Dashboard!$C$4,BM14,BM15,BM16)</f>
        <v>1</v>
      </c>
      <c r="BN17" s="36" t="n">
        <f aca="false">CHOOSE(Dashboard!$C$4,BN14,BN15,BN16)</f>
        <v>1</v>
      </c>
    </row>
    <row r="18" customFormat="false" ht="15" hidden="false" customHeight="false" outlineLevel="0" collapsed="false">
      <c r="A18" s="1"/>
      <c r="B18" s="8" t="s">
        <v>261</v>
      </c>
      <c r="C18" s="1"/>
      <c r="D18" s="1"/>
      <c r="E18" s="1"/>
      <c r="F18" s="1"/>
      <c r="G18" s="35" t="n">
        <v>1.00003805405266</v>
      </c>
      <c r="H18" s="35" t="n">
        <v>1.00003934861178</v>
      </c>
      <c r="I18" s="35" t="n">
        <v>1.00003934861178</v>
      </c>
      <c r="J18" s="35" t="n">
        <v>1.00003834948497</v>
      </c>
      <c r="K18" s="35" t="n">
        <v>1.00003965409612</v>
      </c>
      <c r="L18" s="35" t="n">
        <v>1.00003965409612</v>
      </c>
      <c r="M18" s="35" t="n">
        <v>1.00003834948497</v>
      </c>
      <c r="N18" s="35" t="n">
        <v>1.00003965409612</v>
      </c>
      <c r="O18" s="35" t="n">
        <v>1.00003965409612</v>
      </c>
      <c r="P18" s="35" t="n">
        <v>1.0000411714244</v>
      </c>
      <c r="Q18" s="35" t="n">
        <v>1.00003965409612</v>
      </c>
      <c r="R18" s="35" t="n">
        <v>1.00003965409612</v>
      </c>
      <c r="S18" s="35" t="n">
        <v>1.00003834948497</v>
      </c>
      <c r="T18" s="35" t="n">
        <v>1.00003965409612</v>
      </c>
      <c r="U18" s="35" t="n">
        <v>1.00003965409612</v>
      </c>
      <c r="V18" s="35" t="n">
        <v>1.00003834948497</v>
      </c>
      <c r="W18" s="35" t="n">
        <v>1.00003965409612</v>
      </c>
      <c r="X18" s="35" t="n">
        <v>1.00003965409612</v>
      </c>
      <c r="Y18" s="35" t="n">
        <v>1.00003834948497</v>
      </c>
      <c r="Z18" s="35" t="n">
        <v>1.00004178639313</v>
      </c>
      <c r="AA18" s="35" t="n">
        <v>1.00003965409612</v>
      </c>
      <c r="AB18" s="35" t="n">
        <v>1.00003834948497</v>
      </c>
      <c r="AC18" s="35" t="n">
        <v>1.00003965409612</v>
      </c>
      <c r="AD18" s="35" t="n">
        <v>1.00003965409612</v>
      </c>
      <c r="AE18" s="35" t="n">
        <v>1.00003834948497</v>
      </c>
      <c r="AF18" s="35" t="n">
        <v>1.00003965409612</v>
      </c>
      <c r="AG18" s="35" t="n">
        <v>1.00003965409612</v>
      </c>
      <c r="AH18" s="35" t="n">
        <v>1.00003834948497</v>
      </c>
      <c r="AI18" s="35" t="n">
        <v>1.00003965409612</v>
      </c>
      <c r="AJ18" s="35" t="n">
        <v>1.00004178639313</v>
      </c>
      <c r="AK18" s="35" t="n">
        <v>1.00003834948497</v>
      </c>
      <c r="AL18" s="35" t="n">
        <v>1.00003965409612</v>
      </c>
      <c r="AM18" s="35" t="n">
        <v>1.00003965409612</v>
      </c>
      <c r="AN18" s="35" t="n">
        <v>1.00003834948497</v>
      </c>
      <c r="AO18" s="35" t="n">
        <v>1.00003965409612</v>
      </c>
      <c r="AP18" s="35" t="n">
        <v>1.00003965409612</v>
      </c>
      <c r="AQ18" s="35" t="n">
        <v>1.00003834948497</v>
      </c>
      <c r="AR18" s="35" t="n">
        <v>1.00004126419346</v>
      </c>
      <c r="AS18" s="35" t="n">
        <v>1.00004126419346</v>
      </c>
      <c r="AT18" s="35" t="n">
        <v>1.00004284318599</v>
      </c>
      <c r="AU18" s="35" t="n">
        <v>1.00205150701572</v>
      </c>
      <c r="AV18" s="35" t="n">
        <v>1.00205192328832</v>
      </c>
      <c r="AW18" s="35" t="n">
        <v>1.00198748534419</v>
      </c>
      <c r="AX18" s="35" t="n">
        <v>1.00205775305819</v>
      </c>
      <c r="AY18" s="35" t="n">
        <v>1.00206400052482</v>
      </c>
      <c r="AZ18" s="35" t="n">
        <v>1.00199351171288</v>
      </c>
      <c r="BA18" s="35" t="n">
        <v>1.00206983284404</v>
      </c>
      <c r="BB18" s="35" t="n">
        <v>1.00207157777213</v>
      </c>
      <c r="BC18" s="35" t="n">
        <v>1.00200210184888</v>
      </c>
      <c r="BD18" s="35" t="n">
        <v>1.00219087593853</v>
      </c>
      <c r="BE18" s="35" t="n">
        <v>1.00208017231601</v>
      </c>
      <c r="BF18" s="35" t="n">
        <v>1.00200911134983</v>
      </c>
      <c r="BG18" s="35" t="n">
        <v>1.00208283008641</v>
      </c>
      <c r="BH18" s="35" t="n">
        <v>1.00208426214788</v>
      </c>
      <c r="BI18" s="35" t="n">
        <v>1.00201305664225</v>
      </c>
      <c r="BJ18" s="35" t="n">
        <v>1.00208559119901</v>
      </c>
      <c r="BK18" s="35" t="n">
        <v>1.00208968180594</v>
      </c>
      <c r="BL18" s="35" t="n">
        <v>1.0020182844918</v>
      </c>
      <c r="BM18" s="35" t="n">
        <v>1.00209244353406</v>
      </c>
      <c r="BN18" s="35" t="n">
        <v>1.00221155042862</v>
      </c>
    </row>
    <row r="19" customFormat="false" ht="15" hidden="false" customHeight="false" outlineLevel="0" collapsed="false">
      <c r="A19" s="1"/>
      <c r="B19" s="8" t="s">
        <v>262</v>
      </c>
      <c r="C19" s="1"/>
      <c r="D19" s="1"/>
      <c r="E19" s="1"/>
      <c r="F19" s="1"/>
      <c r="G19" s="35" t="n">
        <v>1.00015151498119</v>
      </c>
      <c r="H19" s="35" t="n">
        <v>1.00015664794316</v>
      </c>
      <c r="I19" s="35" t="n">
        <v>1.00015664794316</v>
      </c>
      <c r="J19" s="35" t="n">
        <v>1.00014696393478</v>
      </c>
      <c r="K19" s="35" t="n">
        <v>1.00015206370219</v>
      </c>
      <c r="L19" s="35" t="n">
        <v>1.00015181950085</v>
      </c>
      <c r="M19" s="35" t="n">
        <v>1.00014556253081</v>
      </c>
      <c r="N19" s="35" t="n">
        <v>1.00015206370219</v>
      </c>
      <c r="O19" s="35" t="n">
        <v>1.00015084605284</v>
      </c>
      <c r="P19" s="35" t="n">
        <v>1.00015529625694</v>
      </c>
      <c r="Q19" s="35" t="n">
        <v>1.00014962846793</v>
      </c>
      <c r="R19" s="35" t="n">
        <v>1.00014962846793</v>
      </c>
      <c r="S19" s="35" t="n">
        <v>1.00014462926042</v>
      </c>
      <c r="T19" s="35" t="n">
        <v>1.00014836625682</v>
      </c>
      <c r="U19" s="35" t="n">
        <v>1.00014564260326</v>
      </c>
      <c r="V19" s="35" t="n">
        <v>1.00014108477659</v>
      </c>
      <c r="W19" s="35" t="n">
        <v>1.00014987262399</v>
      </c>
      <c r="X19" s="35" t="n">
        <v>1.00014987262399</v>
      </c>
      <c r="Y19" s="35" t="n">
        <v>1.00014486328051</v>
      </c>
      <c r="Z19" s="35" t="n">
        <v>1.00015787656745</v>
      </c>
      <c r="AA19" s="35" t="n">
        <v>1.00014987262399</v>
      </c>
      <c r="AB19" s="35" t="n">
        <v>1.0001460734871</v>
      </c>
      <c r="AC19" s="35" t="n">
        <v>1.00015235256733</v>
      </c>
      <c r="AD19" s="35" t="n">
        <v>1.00015357029703</v>
      </c>
      <c r="AE19" s="35" t="n">
        <v>1.00014724086851</v>
      </c>
      <c r="AF19" s="35" t="n">
        <v>1.00015357029703</v>
      </c>
      <c r="AG19" s="35" t="n">
        <v>1.00015357029703</v>
      </c>
      <c r="AH19" s="35" t="n">
        <v>1.00014724086851</v>
      </c>
      <c r="AI19" s="35" t="n">
        <v>1.00015357029703</v>
      </c>
      <c r="AJ19" s="35" t="n">
        <v>1.00016046833326</v>
      </c>
      <c r="AK19" s="35" t="n">
        <v>1.00014724086851</v>
      </c>
      <c r="AL19" s="35" t="n">
        <v>1.00015357029703</v>
      </c>
      <c r="AM19" s="35" t="n">
        <v>1.00015357029703</v>
      </c>
      <c r="AN19" s="35" t="n">
        <v>1.00014724086851</v>
      </c>
      <c r="AO19" s="35" t="n">
        <v>1.00015357029703</v>
      </c>
      <c r="AP19" s="35" t="n">
        <v>1.00015357029703</v>
      </c>
      <c r="AQ19" s="35" t="n">
        <v>1.00014724086851</v>
      </c>
      <c r="AR19" s="35" t="n">
        <v>1.00015357029703</v>
      </c>
      <c r="AS19" s="35" t="n">
        <v>1.00015357029703</v>
      </c>
      <c r="AT19" s="35" t="n">
        <v>1.00015810114924</v>
      </c>
      <c r="AU19" s="35" t="n">
        <v>1.00202516470827</v>
      </c>
      <c r="AV19" s="35" t="n">
        <v>1.00202516470827</v>
      </c>
      <c r="AW19" s="35" t="n">
        <v>1.00193862349724</v>
      </c>
      <c r="AX19" s="35" t="n">
        <v>1.00202516470827</v>
      </c>
      <c r="AY19" s="35" t="n">
        <v>1.00202516470827</v>
      </c>
      <c r="AZ19" s="35" t="n">
        <v>1.00193862349724</v>
      </c>
      <c r="BA19" s="35" t="n">
        <v>1.00202516470827</v>
      </c>
      <c r="BB19" s="35" t="n">
        <v>1.00202516470827</v>
      </c>
      <c r="BC19" s="35" t="n">
        <v>1.00193862349724</v>
      </c>
      <c r="BD19" s="35" t="n">
        <v>1.00211979344465</v>
      </c>
      <c r="BE19" s="35" t="n">
        <v>1.00202516470827</v>
      </c>
      <c r="BF19" s="35" t="n">
        <v>1.00193862349724</v>
      </c>
      <c r="BG19" s="35" t="n">
        <v>1.00202516470827</v>
      </c>
      <c r="BH19" s="35" t="n">
        <v>1.00202516470827</v>
      </c>
      <c r="BI19" s="35" t="n">
        <v>1.00193862349724</v>
      </c>
      <c r="BJ19" s="35" t="n">
        <v>1.00202516470827</v>
      </c>
      <c r="BK19" s="35" t="n">
        <v>1.00202516470827</v>
      </c>
      <c r="BL19" s="35" t="n">
        <v>1.00193862349724</v>
      </c>
      <c r="BM19" s="35" t="n">
        <v>1.00202516470827</v>
      </c>
      <c r="BN19" s="35" t="n">
        <v>1.00211979344465</v>
      </c>
    </row>
    <row r="20" customFormat="false" ht="15" hidden="false" customHeight="false" outlineLevel="0" collapsed="false">
      <c r="A20" s="1"/>
      <c r="B20" s="8" t="s">
        <v>263</v>
      </c>
      <c r="C20" s="1"/>
      <c r="D20" s="1"/>
      <c r="E20" s="1"/>
      <c r="F20" s="1"/>
      <c r="G20" s="35" t="n">
        <v>1.00021780264971</v>
      </c>
      <c r="H20" s="35" t="n">
        <v>1.00024472474296</v>
      </c>
      <c r="I20" s="35" t="n">
        <v>1.00025639392724</v>
      </c>
      <c r="J20" s="35" t="n">
        <v>1.00025271979099</v>
      </c>
      <c r="K20" s="35" t="n">
        <v>1.00027667995852</v>
      </c>
      <c r="L20" s="35" t="n">
        <v>1.00029367583732</v>
      </c>
      <c r="M20" s="35" t="n">
        <v>1.00028464372532</v>
      </c>
      <c r="N20" s="35" t="n">
        <v>1.00031314474274</v>
      </c>
      <c r="O20" s="35" t="n">
        <v>1.00032903868446</v>
      </c>
      <c r="P20" s="35" t="n">
        <v>1.00034045022395</v>
      </c>
      <c r="Q20" s="35" t="n">
        <v>1.00036712782646</v>
      </c>
      <c r="R20" s="35" t="n">
        <v>1.00038639074037</v>
      </c>
      <c r="S20" s="35" t="n">
        <v>1.00037214621522</v>
      </c>
      <c r="T20" s="35" t="n">
        <v>1.00039936974318</v>
      </c>
      <c r="U20" s="35" t="n">
        <v>1.00040349567738</v>
      </c>
      <c r="V20" s="35" t="n">
        <v>1.0003851159596</v>
      </c>
      <c r="W20" s="35" t="n">
        <v>1.00040762235187</v>
      </c>
      <c r="X20" s="35" t="n">
        <v>1.00040762235187</v>
      </c>
      <c r="Y20" s="35" t="n">
        <v>1.0003851159596</v>
      </c>
      <c r="Z20" s="35" t="n">
        <v>1.00041989170501</v>
      </c>
      <c r="AA20" s="35" t="n">
        <v>1.00040762235187</v>
      </c>
      <c r="AB20" s="35" t="n">
        <v>1.0003851159596</v>
      </c>
      <c r="AC20" s="35" t="n">
        <v>1.00040762235187</v>
      </c>
      <c r="AD20" s="35" t="n">
        <v>1.00040762235187</v>
      </c>
      <c r="AE20" s="35" t="n">
        <v>1.0003851159596</v>
      </c>
      <c r="AF20" s="35" t="n">
        <v>1.00040762235187</v>
      </c>
      <c r="AG20" s="35" t="n">
        <v>1.00040762235187</v>
      </c>
      <c r="AH20" s="35" t="n">
        <v>1.0003851159596</v>
      </c>
      <c r="AI20" s="35" t="n">
        <v>1.00040762235187</v>
      </c>
      <c r="AJ20" s="35" t="n">
        <v>1.00041989170501</v>
      </c>
      <c r="AK20" s="35" t="n">
        <v>1.0003851159596</v>
      </c>
      <c r="AL20" s="35" t="n">
        <v>1.00040762235187</v>
      </c>
      <c r="AM20" s="35" t="n">
        <v>1.00040762235187</v>
      </c>
      <c r="AN20" s="35" t="n">
        <v>1.0003851159596</v>
      </c>
      <c r="AO20" s="35" t="n">
        <v>1.00040762235187</v>
      </c>
      <c r="AP20" s="35" t="n">
        <v>1.00040762235187</v>
      </c>
      <c r="AQ20" s="35" t="n">
        <v>1.0003851159596</v>
      </c>
      <c r="AR20" s="35" t="n">
        <v>1.00040762235187</v>
      </c>
      <c r="AS20" s="35" t="n">
        <v>1.00040762235187</v>
      </c>
      <c r="AT20" s="35" t="n">
        <v>1.00041366607106</v>
      </c>
      <c r="AU20" s="35" t="n">
        <v>1.00195549335857</v>
      </c>
      <c r="AV20" s="35" t="n">
        <v>1.00195549335857</v>
      </c>
      <c r="AW20" s="35" t="n">
        <v>1.00184425861596</v>
      </c>
      <c r="AX20" s="35" t="n">
        <v>1.00195549335857</v>
      </c>
      <c r="AY20" s="35" t="n">
        <v>1.00195549335857</v>
      </c>
      <c r="AZ20" s="35" t="n">
        <v>1.00184425861596</v>
      </c>
      <c r="BA20" s="35" t="n">
        <v>1.00195549335857</v>
      </c>
      <c r="BB20" s="35" t="n">
        <v>1.00195549335857</v>
      </c>
      <c r="BC20" s="35" t="n">
        <v>1.00184425861596</v>
      </c>
      <c r="BD20" s="35" t="n">
        <v>1.00201629895641</v>
      </c>
      <c r="BE20" s="35" t="n">
        <v>1.00195549335857</v>
      </c>
      <c r="BF20" s="35" t="n">
        <v>1.00184425861596</v>
      </c>
      <c r="BG20" s="35" t="n">
        <v>1.00195549335857</v>
      </c>
      <c r="BH20" s="35" t="n">
        <v>1.00195549335857</v>
      </c>
      <c r="BI20" s="35" t="n">
        <v>1.00184425861596</v>
      </c>
      <c r="BJ20" s="35" t="n">
        <v>1.00195549335857</v>
      </c>
      <c r="BK20" s="35" t="n">
        <v>1.00195549335857</v>
      </c>
      <c r="BL20" s="35" t="n">
        <v>1.00184425861596</v>
      </c>
      <c r="BM20" s="35" t="n">
        <v>1.00195549335857</v>
      </c>
      <c r="BN20" s="35" t="n">
        <v>1.00201629895641</v>
      </c>
    </row>
    <row r="21" customFormat="false" ht="15" hidden="false" customHeight="false" outlineLevel="0" collapsed="false">
      <c r="A21" s="1"/>
      <c r="B21" s="4" t="s">
        <v>264</v>
      </c>
      <c r="C21" s="1"/>
      <c r="D21" s="1"/>
      <c r="E21" s="1"/>
      <c r="F21" s="1"/>
      <c r="G21" s="36" t="n">
        <f aca="false">CHOOSE(Dashboard!$C$4,G18,G19,G20)</f>
        <v>1.00015151498119</v>
      </c>
      <c r="H21" s="36" t="n">
        <f aca="false">CHOOSE(Dashboard!$C$4,H18,H19,H20)</f>
        <v>1.00015664794316</v>
      </c>
      <c r="I21" s="36" t="n">
        <f aca="false">CHOOSE(Dashboard!$C$4,I18,I19,I20)</f>
        <v>1.00015664794316</v>
      </c>
      <c r="J21" s="36" t="n">
        <f aca="false">CHOOSE(Dashboard!$C$4,J18,J19,J20)</f>
        <v>1.00014696393478</v>
      </c>
      <c r="K21" s="36" t="n">
        <f aca="false">CHOOSE(Dashboard!$C$4,K18,K19,K20)</f>
        <v>1.00015206370219</v>
      </c>
      <c r="L21" s="36" t="n">
        <f aca="false">CHOOSE(Dashboard!$C$4,L18,L19,L20)</f>
        <v>1.00015181950085</v>
      </c>
      <c r="M21" s="36" t="n">
        <f aca="false">CHOOSE(Dashboard!$C$4,M18,M19,M20)</f>
        <v>1.00014556253081</v>
      </c>
      <c r="N21" s="36" t="n">
        <f aca="false">CHOOSE(Dashboard!$C$4,N18,N19,N20)</f>
        <v>1.00015206370219</v>
      </c>
      <c r="O21" s="36" t="n">
        <f aca="false">CHOOSE(Dashboard!$C$4,O18,O19,O20)</f>
        <v>1.00015084605284</v>
      </c>
      <c r="P21" s="36" t="n">
        <f aca="false">CHOOSE(Dashboard!$C$4,P18,P19,P20)</f>
        <v>1.00015529625694</v>
      </c>
      <c r="Q21" s="36" t="n">
        <f aca="false">CHOOSE(Dashboard!$C$4,Q18,Q19,Q20)</f>
        <v>1.00014962846793</v>
      </c>
      <c r="R21" s="36" t="n">
        <f aca="false">CHOOSE(Dashboard!$C$4,R18,R19,R20)</f>
        <v>1.00014962846793</v>
      </c>
      <c r="S21" s="36" t="n">
        <f aca="false">CHOOSE(Dashboard!$C$4,S18,S19,S20)</f>
        <v>1.00014462926042</v>
      </c>
      <c r="T21" s="36" t="n">
        <f aca="false">CHOOSE(Dashboard!$C$4,T18,T19,T20)</f>
        <v>1.00014836625682</v>
      </c>
      <c r="U21" s="36" t="n">
        <f aca="false">CHOOSE(Dashboard!$C$4,U18,U19,U20)</f>
        <v>1.00014564260326</v>
      </c>
      <c r="V21" s="36" t="n">
        <f aca="false">CHOOSE(Dashboard!$C$4,V18,V19,V20)</f>
        <v>1.00014108477659</v>
      </c>
      <c r="W21" s="36" t="n">
        <f aca="false">CHOOSE(Dashboard!$C$4,W18,W19,W20)</f>
        <v>1.00014987262399</v>
      </c>
      <c r="X21" s="36" t="n">
        <f aca="false">CHOOSE(Dashboard!$C$4,X18,X19,X20)</f>
        <v>1.00014987262399</v>
      </c>
      <c r="Y21" s="36" t="n">
        <f aca="false">CHOOSE(Dashboard!$C$4,Y18,Y19,Y20)</f>
        <v>1.00014486328051</v>
      </c>
      <c r="Z21" s="36" t="n">
        <f aca="false">CHOOSE(Dashboard!$C$4,Z18,Z19,Z20)</f>
        <v>1.00015787656745</v>
      </c>
      <c r="AA21" s="36" t="n">
        <f aca="false">CHOOSE(Dashboard!$C$4,AA18,AA19,AA20)</f>
        <v>1.00014987262399</v>
      </c>
      <c r="AB21" s="36" t="n">
        <f aca="false">CHOOSE(Dashboard!$C$4,AB18,AB19,AB20)</f>
        <v>1.0001460734871</v>
      </c>
      <c r="AC21" s="36" t="n">
        <f aca="false">CHOOSE(Dashboard!$C$4,AC18,AC19,AC20)</f>
        <v>1.00015235256733</v>
      </c>
      <c r="AD21" s="36" t="n">
        <f aca="false">CHOOSE(Dashboard!$C$4,AD18,AD19,AD20)</f>
        <v>1.00015357029703</v>
      </c>
      <c r="AE21" s="36" t="n">
        <f aca="false">CHOOSE(Dashboard!$C$4,AE18,AE19,AE20)</f>
        <v>1.00014724086851</v>
      </c>
      <c r="AF21" s="36" t="n">
        <f aca="false">CHOOSE(Dashboard!$C$4,AF18,AF19,AF20)</f>
        <v>1.00015357029703</v>
      </c>
      <c r="AG21" s="36" t="n">
        <f aca="false">CHOOSE(Dashboard!$C$4,AG18,AG19,AG20)</f>
        <v>1.00015357029703</v>
      </c>
      <c r="AH21" s="36" t="n">
        <f aca="false">CHOOSE(Dashboard!$C$4,AH18,AH19,AH20)</f>
        <v>1.00014724086851</v>
      </c>
      <c r="AI21" s="36" t="n">
        <f aca="false">CHOOSE(Dashboard!$C$4,AI18,AI19,AI20)</f>
        <v>1.00015357029703</v>
      </c>
      <c r="AJ21" s="36" t="n">
        <f aca="false">CHOOSE(Dashboard!$C$4,AJ18,AJ19,AJ20)</f>
        <v>1.00016046833326</v>
      </c>
      <c r="AK21" s="36" t="n">
        <f aca="false">CHOOSE(Dashboard!$C$4,AK18,AK19,AK20)</f>
        <v>1.00014724086851</v>
      </c>
      <c r="AL21" s="36" t="n">
        <f aca="false">CHOOSE(Dashboard!$C$4,AL18,AL19,AL20)</f>
        <v>1.00015357029703</v>
      </c>
      <c r="AM21" s="36" t="n">
        <f aca="false">CHOOSE(Dashboard!$C$4,AM18,AM19,AM20)</f>
        <v>1.00015357029703</v>
      </c>
      <c r="AN21" s="36" t="n">
        <f aca="false">CHOOSE(Dashboard!$C$4,AN18,AN19,AN20)</f>
        <v>1.00014724086851</v>
      </c>
      <c r="AO21" s="36" t="n">
        <f aca="false">CHOOSE(Dashboard!$C$4,AO18,AO19,AO20)</f>
        <v>1.00015357029703</v>
      </c>
      <c r="AP21" s="36" t="n">
        <f aca="false">CHOOSE(Dashboard!$C$4,AP18,AP19,AP20)</f>
        <v>1.00015357029703</v>
      </c>
      <c r="AQ21" s="36" t="n">
        <f aca="false">CHOOSE(Dashboard!$C$4,AQ18,AQ19,AQ20)</f>
        <v>1.00014724086851</v>
      </c>
      <c r="AR21" s="36" t="n">
        <f aca="false">CHOOSE(Dashboard!$C$4,AR18,AR19,AR20)</f>
        <v>1.00015357029703</v>
      </c>
      <c r="AS21" s="36" t="n">
        <f aca="false">CHOOSE(Dashboard!$C$4,AS18,AS19,AS20)</f>
        <v>1.00015357029703</v>
      </c>
      <c r="AT21" s="36" t="n">
        <f aca="false">CHOOSE(Dashboard!$C$4,AT18,AT19,AT20)</f>
        <v>1.00015810114924</v>
      </c>
      <c r="AU21" s="36" t="n">
        <f aca="false">CHOOSE(Dashboard!$C$4,AU18,AU19,AU20)</f>
        <v>1.00202516470827</v>
      </c>
      <c r="AV21" s="36" t="n">
        <f aca="false">CHOOSE(Dashboard!$C$4,AV18,AV19,AV20)</f>
        <v>1.00202516470827</v>
      </c>
      <c r="AW21" s="36" t="n">
        <f aca="false">CHOOSE(Dashboard!$C$4,AW18,AW19,AW20)</f>
        <v>1.00193862349724</v>
      </c>
      <c r="AX21" s="36" t="n">
        <f aca="false">CHOOSE(Dashboard!$C$4,AX18,AX19,AX20)</f>
        <v>1.00202516470827</v>
      </c>
      <c r="AY21" s="36" t="n">
        <f aca="false">CHOOSE(Dashboard!$C$4,AY18,AY19,AY20)</f>
        <v>1.00202516470827</v>
      </c>
      <c r="AZ21" s="36" t="n">
        <f aca="false">CHOOSE(Dashboard!$C$4,AZ18,AZ19,AZ20)</f>
        <v>1.00193862349724</v>
      </c>
      <c r="BA21" s="36" t="n">
        <f aca="false">CHOOSE(Dashboard!$C$4,BA18,BA19,BA20)</f>
        <v>1.00202516470827</v>
      </c>
      <c r="BB21" s="36" t="n">
        <f aca="false">CHOOSE(Dashboard!$C$4,BB18,BB19,BB20)</f>
        <v>1.00202516470827</v>
      </c>
      <c r="BC21" s="36" t="n">
        <f aca="false">CHOOSE(Dashboard!$C$4,BC18,BC19,BC20)</f>
        <v>1.00193862349724</v>
      </c>
      <c r="BD21" s="36" t="n">
        <f aca="false">CHOOSE(Dashboard!$C$4,BD18,BD19,BD20)</f>
        <v>1.00211979344465</v>
      </c>
      <c r="BE21" s="36" t="n">
        <f aca="false">CHOOSE(Dashboard!$C$4,BE18,BE19,BE20)</f>
        <v>1.00202516470827</v>
      </c>
      <c r="BF21" s="36" t="n">
        <f aca="false">CHOOSE(Dashboard!$C$4,BF18,BF19,BF20)</f>
        <v>1.00193862349724</v>
      </c>
      <c r="BG21" s="36" t="n">
        <f aca="false">CHOOSE(Dashboard!$C$4,BG18,BG19,BG20)</f>
        <v>1.00202516470827</v>
      </c>
      <c r="BH21" s="36" t="n">
        <f aca="false">CHOOSE(Dashboard!$C$4,BH18,BH19,BH20)</f>
        <v>1.00202516470827</v>
      </c>
      <c r="BI21" s="36" t="n">
        <f aca="false">CHOOSE(Dashboard!$C$4,BI18,BI19,BI20)</f>
        <v>1.00193862349724</v>
      </c>
      <c r="BJ21" s="36" t="n">
        <f aca="false">CHOOSE(Dashboard!$C$4,BJ18,BJ19,BJ20)</f>
        <v>1.00202516470827</v>
      </c>
      <c r="BK21" s="36" t="n">
        <f aca="false">CHOOSE(Dashboard!$C$4,BK18,BK19,BK20)</f>
        <v>1.00202516470827</v>
      </c>
      <c r="BL21" s="36" t="n">
        <f aca="false">CHOOSE(Dashboard!$C$4,BL18,BL19,BL20)</f>
        <v>1.00193862349724</v>
      </c>
      <c r="BM21" s="36" t="n">
        <f aca="false">CHOOSE(Dashboard!$C$4,BM18,BM19,BM20)</f>
        <v>1.00202516470827</v>
      </c>
      <c r="BN21" s="36" t="n">
        <f aca="false">CHOOSE(Dashboard!$C$4,BN18,BN19,BN20)</f>
        <v>1.00211979344465</v>
      </c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3" customFormat="false" ht="15" hidden="false" customHeight="false" outlineLevel="0" collapsed="false">
      <c r="A23" s="1"/>
      <c r="B23" s="13" t="s">
        <v>17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</row>
    <row r="24" customFormat="false" ht="15" hidden="false" customHeight="false" outlineLevel="0" collapsed="false">
      <c r="A24" s="1"/>
      <c r="B24" s="8" t="s">
        <v>249</v>
      </c>
      <c r="C24" s="1"/>
      <c r="D24" s="1"/>
      <c r="E24" s="1"/>
      <c r="F24" s="1"/>
      <c r="G24" s="35" t="n">
        <v>0.95</v>
      </c>
      <c r="H24" s="35" t="n">
        <v>0.918767123287671</v>
      </c>
      <c r="I24" s="35" t="n">
        <v>0.918767123287671</v>
      </c>
      <c r="J24" s="35" t="n">
        <v>0.98</v>
      </c>
      <c r="K24" s="35" t="n">
        <v>0.947780821917808</v>
      </c>
      <c r="L24" s="35" t="n">
        <v>0.947780821917808</v>
      </c>
      <c r="M24" s="35" t="n">
        <v>0.98</v>
      </c>
      <c r="N24" s="35" t="n">
        <v>0.947780821917808</v>
      </c>
      <c r="O24" s="35" t="n">
        <v>0.947780821917808</v>
      </c>
      <c r="P24" s="35" t="n">
        <v>0.912876712328767</v>
      </c>
      <c r="Q24" s="35" t="n">
        <v>0.947780821917808</v>
      </c>
      <c r="R24" s="35" t="n">
        <v>0.947780821917808</v>
      </c>
      <c r="S24" s="35" t="n">
        <v>0.98</v>
      </c>
      <c r="T24" s="35" t="n">
        <v>0.947780821917808</v>
      </c>
      <c r="U24" s="35" t="n">
        <v>0.947780821917808</v>
      </c>
      <c r="V24" s="35" t="n">
        <v>0.98</v>
      </c>
      <c r="W24" s="35" t="n">
        <v>0.947780821917808</v>
      </c>
      <c r="X24" s="35" t="n">
        <v>0.947780821917808</v>
      </c>
      <c r="Y24" s="35" t="n">
        <v>0.98</v>
      </c>
      <c r="Z24" s="35" t="n">
        <v>0.899452054794521</v>
      </c>
      <c r="AA24" s="35" t="n">
        <v>0.947780821917808</v>
      </c>
      <c r="AB24" s="35" t="n">
        <v>0.98</v>
      </c>
      <c r="AC24" s="35" t="n">
        <v>0.947780821917808</v>
      </c>
      <c r="AD24" s="35" t="n">
        <v>0.947780821917808</v>
      </c>
      <c r="AE24" s="35" t="n">
        <v>0.98</v>
      </c>
      <c r="AF24" s="35" t="n">
        <v>0.947780821917808</v>
      </c>
      <c r="AG24" s="35" t="n">
        <v>0.947780821917808</v>
      </c>
      <c r="AH24" s="35" t="n">
        <v>0.98</v>
      </c>
      <c r="AI24" s="35" t="n">
        <v>0.947780821917808</v>
      </c>
      <c r="AJ24" s="35" t="n">
        <v>0.899452054794521</v>
      </c>
      <c r="AK24" s="35" t="n">
        <v>0.98</v>
      </c>
      <c r="AL24" s="35" t="n">
        <v>0.947780821917808</v>
      </c>
      <c r="AM24" s="35" t="n">
        <v>0.947780821917808</v>
      </c>
      <c r="AN24" s="35" t="n">
        <v>0.98</v>
      </c>
      <c r="AO24" s="35" t="n">
        <v>0.947780821917808</v>
      </c>
      <c r="AP24" s="35" t="n">
        <v>0.947780821917808</v>
      </c>
      <c r="AQ24" s="35" t="n">
        <v>0.98</v>
      </c>
      <c r="AR24" s="35" t="n">
        <v>0.947780821917808</v>
      </c>
      <c r="AS24" s="35" t="n">
        <v>0.947780821917808</v>
      </c>
      <c r="AT24" s="35" t="n">
        <v>0.912876712328767</v>
      </c>
      <c r="AU24" s="35" t="n">
        <v>0.947780821917808</v>
      </c>
      <c r="AV24" s="35" t="n">
        <v>0.947780821917808</v>
      </c>
      <c r="AW24" s="35" t="n">
        <v>0.98</v>
      </c>
      <c r="AX24" s="35" t="n">
        <v>0.947780821917808</v>
      </c>
      <c r="AY24" s="35" t="n">
        <v>0.947780821917808</v>
      </c>
      <c r="AZ24" s="35" t="n">
        <v>0.98</v>
      </c>
      <c r="BA24" s="35" t="n">
        <v>0.947780821917808</v>
      </c>
      <c r="BB24" s="35" t="n">
        <v>0.947780821917808</v>
      </c>
      <c r="BC24" s="35" t="n">
        <v>0.98</v>
      </c>
      <c r="BD24" s="35" t="n">
        <v>0.899452054794521</v>
      </c>
      <c r="BE24" s="35" t="n">
        <v>0.947780821917808</v>
      </c>
      <c r="BF24" s="35" t="n">
        <v>0.98</v>
      </c>
      <c r="BG24" s="35" t="n">
        <v>0.947780821917808</v>
      </c>
      <c r="BH24" s="35" t="n">
        <v>0.947780821917808</v>
      </c>
      <c r="BI24" s="35" t="n">
        <v>0.98</v>
      </c>
      <c r="BJ24" s="35" t="n">
        <v>0.947780821917808</v>
      </c>
      <c r="BK24" s="35" t="n">
        <v>0.947780821917808</v>
      </c>
      <c r="BL24" s="35" t="n">
        <v>0.98</v>
      </c>
      <c r="BM24" s="35" t="n">
        <v>0.947780821917808</v>
      </c>
      <c r="BN24" s="35" t="n">
        <v>0.899452054794521</v>
      </c>
    </row>
    <row r="25" customFormat="false" ht="15" hidden="false" customHeight="false" outlineLevel="0" collapsed="false">
      <c r="A25" s="1"/>
      <c r="B25" s="8" t="s">
        <v>250</v>
      </c>
      <c r="C25" s="1"/>
      <c r="D25" s="1"/>
      <c r="E25" s="1"/>
      <c r="F25" s="1"/>
      <c r="G25" s="35" t="n">
        <v>0.94</v>
      </c>
      <c r="H25" s="35" t="n">
        <v>0.901369863013699</v>
      </c>
      <c r="I25" s="35" t="n">
        <v>0.901369863013699</v>
      </c>
      <c r="J25" s="35" t="n">
        <v>0.97</v>
      </c>
      <c r="K25" s="35" t="n">
        <v>0.93013698630137</v>
      </c>
      <c r="L25" s="35" t="n">
        <v>0.93013698630137</v>
      </c>
      <c r="M25" s="35" t="n">
        <v>0.97</v>
      </c>
      <c r="N25" s="35" t="n">
        <v>0.93013698630137</v>
      </c>
      <c r="O25" s="35" t="n">
        <v>0.93013698630137</v>
      </c>
      <c r="P25" s="35" t="n">
        <v>0.903561643835616</v>
      </c>
      <c r="Q25" s="35" t="n">
        <v>0.93013698630137</v>
      </c>
      <c r="R25" s="35" t="n">
        <v>0.93013698630137</v>
      </c>
      <c r="S25" s="35" t="n">
        <v>0.97</v>
      </c>
      <c r="T25" s="35" t="n">
        <v>0.93013698630137</v>
      </c>
      <c r="U25" s="35" t="n">
        <v>0.93013698630137</v>
      </c>
      <c r="V25" s="35" t="n">
        <v>0.97</v>
      </c>
      <c r="W25" s="35" t="n">
        <v>0.93013698630137</v>
      </c>
      <c r="X25" s="35" t="n">
        <v>0.93013698630137</v>
      </c>
      <c r="Y25" s="35" t="n">
        <v>0.97</v>
      </c>
      <c r="Z25" s="35" t="n">
        <v>0.89027397260274</v>
      </c>
      <c r="AA25" s="35" t="n">
        <v>0.93013698630137</v>
      </c>
      <c r="AB25" s="35" t="n">
        <v>0.97</v>
      </c>
      <c r="AC25" s="35" t="n">
        <v>0.93013698630137</v>
      </c>
      <c r="AD25" s="35" t="n">
        <v>0.93013698630137</v>
      </c>
      <c r="AE25" s="35" t="n">
        <v>0.97</v>
      </c>
      <c r="AF25" s="35" t="n">
        <v>0.93013698630137</v>
      </c>
      <c r="AG25" s="35" t="n">
        <v>0.93013698630137</v>
      </c>
      <c r="AH25" s="35" t="n">
        <v>0.97</v>
      </c>
      <c r="AI25" s="35" t="n">
        <v>0.93013698630137</v>
      </c>
      <c r="AJ25" s="35" t="n">
        <v>0.89027397260274</v>
      </c>
      <c r="AK25" s="35" t="n">
        <v>0.97</v>
      </c>
      <c r="AL25" s="35" t="n">
        <v>0.93013698630137</v>
      </c>
      <c r="AM25" s="35" t="n">
        <v>0.93013698630137</v>
      </c>
      <c r="AN25" s="35" t="n">
        <v>0.97</v>
      </c>
      <c r="AO25" s="35" t="n">
        <v>0.93013698630137</v>
      </c>
      <c r="AP25" s="35" t="n">
        <v>0.93013698630137</v>
      </c>
      <c r="AQ25" s="35" t="n">
        <v>0.97</v>
      </c>
      <c r="AR25" s="35" t="n">
        <v>0.93013698630137</v>
      </c>
      <c r="AS25" s="35" t="n">
        <v>0.93013698630137</v>
      </c>
      <c r="AT25" s="35" t="n">
        <v>0.903561643835616</v>
      </c>
      <c r="AU25" s="35" t="n">
        <v>0.93013698630137</v>
      </c>
      <c r="AV25" s="35" t="n">
        <v>0.93013698630137</v>
      </c>
      <c r="AW25" s="35" t="n">
        <v>0.97</v>
      </c>
      <c r="AX25" s="35" t="n">
        <v>0.93013698630137</v>
      </c>
      <c r="AY25" s="35" t="n">
        <v>0.93013698630137</v>
      </c>
      <c r="AZ25" s="35" t="n">
        <v>0.97</v>
      </c>
      <c r="BA25" s="35" t="n">
        <v>0.93013698630137</v>
      </c>
      <c r="BB25" s="35" t="n">
        <v>0.93013698630137</v>
      </c>
      <c r="BC25" s="35" t="n">
        <v>0.97</v>
      </c>
      <c r="BD25" s="35" t="n">
        <v>0.89027397260274</v>
      </c>
      <c r="BE25" s="35" t="n">
        <v>0.93013698630137</v>
      </c>
      <c r="BF25" s="35" t="n">
        <v>0.97</v>
      </c>
      <c r="BG25" s="35" t="n">
        <v>0.93013698630137</v>
      </c>
      <c r="BH25" s="35" t="n">
        <v>0.93013698630137</v>
      </c>
      <c r="BI25" s="35" t="n">
        <v>0.97</v>
      </c>
      <c r="BJ25" s="35" t="n">
        <v>0.93013698630137</v>
      </c>
      <c r="BK25" s="35" t="n">
        <v>0.93013698630137</v>
      </c>
      <c r="BL25" s="35" t="n">
        <v>0.97</v>
      </c>
      <c r="BM25" s="35" t="n">
        <v>0.93013698630137</v>
      </c>
      <c r="BN25" s="35" t="n">
        <v>0.89027397260274</v>
      </c>
    </row>
    <row r="26" customFormat="false" ht="15" hidden="false" customHeight="false" outlineLevel="0" collapsed="false">
      <c r="A26" s="1"/>
      <c r="B26" s="8" t="s">
        <v>251</v>
      </c>
      <c r="C26" s="1"/>
      <c r="D26" s="1"/>
      <c r="E26" s="1"/>
      <c r="F26" s="1"/>
      <c r="G26" s="35" t="n">
        <v>0.92</v>
      </c>
      <c r="H26" s="35" t="n">
        <v>0.86958904109589</v>
      </c>
      <c r="I26" s="35" t="n">
        <v>0.86958904109589</v>
      </c>
      <c r="J26" s="35" t="n">
        <v>0.95</v>
      </c>
      <c r="K26" s="35" t="n">
        <v>0.897945205479452</v>
      </c>
      <c r="L26" s="35" t="n">
        <v>0.897945205479452</v>
      </c>
      <c r="M26" s="35" t="n">
        <v>0.95</v>
      </c>
      <c r="N26" s="35" t="n">
        <v>0.897945205479452</v>
      </c>
      <c r="O26" s="35" t="n">
        <v>0.897945205479452</v>
      </c>
      <c r="P26" s="35" t="n">
        <v>0.884931506849315</v>
      </c>
      <c r="Q26" s="35" t="n">
        <v>0.897945205479452</v>
      </c>
      <c r="R26" s="35" t="n">
        <v>0.897945205479452</v>
      </c>
      <c r="S26" s="35" t="n">
        <v>0.95</v>
      </c>
      <c r="T26" s="35" t="n">
        <v>0.897945205479452</v>
      </c>
      <c r="U26" s="35" t="n">
        <v>0.897945205479452</v>
      </c>
      <c r="V26" s="35" t="n">
        <v>0.95</v>
      </c>
      <c r="W26" s="35" t="n">
        <v>0.897945205479452</v>
      </c>
      <c r="X26" s="35" t="n">
        <v>0.897945205479452</v>
      </c>
      <c r="Y26" s="35" t="n">
        <v>0.95</v>
      </c>
      <c r="Z26" s="35" t="n">
        <v>0.871917808219178</v>
      </c>
      <c r="AA26" s="35" t="n">
        <v>0.897945205479452</v>
      </c>
      <c r="AB26" s="35" t="n">
        <v>0.95</v>
      </c>
      <c r="AC26" s="35" t="n">
        <v>0.897945205479452</v>
      </c>
      <c r="AD26" s="35" t="n">
        <v>0.897945205479452</v>
      </c>
      <c r="AE26" s="35" t="n">
        <v>0.95</v>
      </c>
      <c r="AF26" s="35" t="n">
        <v>0.897945205479452</v>
      </c>
      <c r="AG26" s="35" t="n">
        <v>0.897945205479452</v>
      </c>
      <c r="AH26" s="35" t="n">
        <v>0.95</v>
      </c>
      <c r="AI26" s="35" t="n">
        <v>0.897945205479452</v>
      </c>
      <c r="AJ26" s="35" t="n">
        <v>0.871917808219178</v>
      </c>
      <c r="AK26" s="35" t="n">
        <v>0.95</v>
      </c>
      <c r="AL26" s="35" t="n">
        <v>0.897945205479452</v>
      </c>
      <c r="AM26" s="35" t="n">
        <v>0.897945205479452</v>
      </c>
      <c r="AN26" s="35" t="n">
        <v>0.95</v>
      </c>
      <c r="AO26" s="35" t="n">
        <v>0.897945205479452</v>
      </c>
      <c r="AP26" s="35" t="n">
        <v>0.897945205479452</v>
      </c>
      <c r="AQ26" s="35" t="n">
        <v>0.95</v>
      </c>
      <c r="AR26" s="35" t="n">
        <v>0.897945205479452</v>
      </c>
      <c r="AS26" s="35" t="n">
        <v>0.897945205479452</v>
      </c>
      <c r="AT26" s="35" t="n">
        <v>0.884931506849315</v>
      </c>
      <c r="AU26" s="35" t="n">
        <v>0.897945205479452</v>
      </c>
      <c r="AV26" s="35" t="n">
        <v>0.897945205479452</v>
      </c>
      <c r="AW26" s="35" t="n">
        <v>0.95</v>
      </c>
      <c r="AX26" s="35" t="n">
        <v>0.897945205479452</v>
      </c>
      <c r="AY26" s="35" t="n">
        <v>0.897945205479452</v>
      </c>
      <c r="AZ26" s="35" t="n">
        <v>0.95</v>
      </c>
      <c r="BA26" s="35" t="n">
        <v>0.897945205479452</v>
      </c>
      <c r="BB26" s="35" t="n">
        <v>0.897945205479452</v>
      </c>
      <c r="BC26" s="35" t="n">
        <v>0.95</v>
      </c>
      <c r="BD26" s="35" t="n">
        <v>0.871917808219178</v>
      </c>
      <c r="BE26" s="35" t="n">
        <v>0.897945205479452</v>
      </c>
      <c r="BF26" s="35" t="n">
        <v>0.95</v>
      </c>
      <c r="BG26" s="35" t="n">
        <v>0.897945205479452</v>
      </c>
      <c r="BH26" s="35" t="n">
        <v>0.897945205479452</v>
      </c>
      <c r="BI26" s="35" t="n">
        <v>0.95</v>
      </c>
      <c r="BJ26" s="35" t="n">
        <v>0.897945205479452</v>
      </c>
      <c r="BK26" s="35" t="n">
        <v>0.897945205479452</v>
      </c>
      <c r="BL26" s="35" t="n">
        <v>0.95</v>
      </c>
      <c r="BM26" s="35" t="n">
        <v>0.897945205479452</v>
      </c>
      <c r="BN26" s="35" t="n">
        <v>0.871917808219178</v>
      </c>
    </row>
    <row r="27" customFormat="false" ht="15" hidden="false" customHeight="false" outlineLevel="0" collapsed="false">
      <c r="A27" s="1"/>
      <c r="B27" s="4" t="s">
        <v>252</v>
      </c>
      <c r="C27" s="1"/>
      <c r="D27" s="1"/>
      <c r="E27" s="1"/>
      <c r="F27" s="1"/>
      <c r="G27" s="36" t="n">
        <f aca="false">CHOOSE(Dashboard!$C$4,G24,G25,G26)</f>
        <v>0.94</v>
      </c>
      <c r="H27" s="36" t="n">
        <f aca="false">CHOOSE(Dashboard!$C$4,H24,H25,H26)</f>
        <v>0.901369863013699</v>
      </c>
      <c r="I27" s="36" t="n">
        <f aca="false">CHOOSE(Dashboard!$C$4,I24,I25,I26)</f>
        <v>0.901369863013699</v>
      </c>
      <c r="J27" s="36" t="n">
        <f aca="false">CHOOSE(Dashboard!$C$4,J24,J25,J26)</f>
        <v>0.97</v>
      </c>
      <c r="K27" s="36" t="n">
        <f aca="false">CHOOSE(Dashboard!$C$4,K24,K25,K26)</f>
        <v>0.93013698630137</v>
      </c>
      <c r="L27" s="36" t="n">
        <f aca="false">CHOOSE(Dashboard!$C$4,L24,L25,L26)</f>
        <v>0.93013698630137</v>
      </c>
      <c r="M27" s="36" t="n">
        <f aca="false">CHOOSE(Dashboard!$C$4,M24,M25,M26)</f>
        <v>0.97</v>
      </c>
      <c r="N27" s="36" t="n">
        <f aca="false">CHOOSE(Dashboard!$C$4,N24,N25,N26)</f>
        <v>0.93013698630137</v>
      </c>
      <c r="O27" s="36" t="n">
        <f aca="false">CHOOSE(Dashboard!$C$4,O24,O25,O26)</f>
        <v>0.93013698630137</v>
      </c>
      <c r="P27" s="36" t="n">
        <f aca="false">CHOOSE(Dashboard!$C$4,P24,P25,P26)</f>
        <v>0.903561643835616</v>
      </c>
      <c r="Q27" s="36" t="n">
        <f aca="false">CHOOSE(Dashboard!$C$4,Q24,Q25,Q26)</f>
        <v>0.93013698630137</v>
      </c>
      <c r="R27" s="36" t="n">
        <f aca="false">CHOOSE(Dashboard!$C$4,R24,R25,R26)</f>
        <v>0.93013698630137</v>
      </c>
      <c r="S27" s="36" t="n">
        <f aca="false">CHOOSE(Dashboard!$C$4,S24,S25,S26)</f>
        <v>0.97</v>
      </c>
      <c r="T27" s="36" t="n">
        <f aca="false">CHOOSE(Dashboard!$C$4,T24,T25,T26)</f>
        <v>0.93013698630137</v>
      </c>
      <c r="U27" s="36" t="n">
        <f aca="false">CHOOSE(Dashboard!$C$4,U24,U25,U26)</f>
        <v>0.93013698630137</v>
      </c>
      <c r="V27" s="36" t="n">
        <f aca="false">CHOOSE(Dashboard!$C$4,V24,V25,V26)</f>
        <v>0.97</v>
      </c>
      <c r="W27" s="36" t="n">
        <f aca="false">CHOOSE(Dashboard!$C$4,W24,W25,W26)</f>
        <v>0.93013698630137</v>
      </c>
      <c r="X27" s="36" t="n">
        <f aca="false">CHOOSE(Dashboard!$C$4,X24,X25,X26)</f>
        <v>0.93013698630137</v>
      </c>
      <c r="Y27" s="36" t="n">
        <f aca="false">CHOOSE(Dashboard!$C$4,Y24,Y25,Y26)</f>
        <v>0.97</v>
      </c>
      <c r="Z27" s="36" t="n">
        <f aca="false">CHOOSE(Dashboard!$C$4,Z24,Z25,Z26)</f>
        <v>0.89027397260274</v>
      </c>
      <c r="AA27" s="36" t="n">
        <f aca="false">CHOOSE(Dashboard!$C$4,AA24,AA25,AA26)</f>
        <v>0.93013698630137</v>
      </c>
      <c r="AB27" s="36" t="n">
        <f aca="false">CHOOSE(Dashboard!$C$4,AB24,AB25,AB26)</f>
        <v>0.97</v>
      </c>
      <c r="AC27" s="36" t="n">
        <f aca="false">CHOOSE(Dashboard!$C$4,AC24,AC25,AC26)</f>
        <v>0.93013698630137</v>
      </c>
      <c r="AD27" s="36" t="n">
        <f aca="false">CHOOSE(Dashboard!$C$4,AD24,AD25,AD26)</f>
        <v>0.93013698630137</v>
      </c>
      <c r="AE27" s="36" t="n">
        <f aca="false">CHOOSE(Dashboard!$C$4,AE24,AE25,AE26)</f>
        <v>0.97</v>
      </c>
      <c r="AF27" s="36" t="n">
        <f aca="false">CHOOSE(Dashboard!$C$4,AF24,AF25,AF26)</f>
        <v>0.93013698630137</v>
      </c>
      <c r="AG27" s="36" t="n">
        <f aca="false">CHOOSE(Dashboard!$C$4,AG24,AG25,AG26)</f>
        <v>0.93013698630137</v>
      </c>
      <c r="AH27" s="36" t="n">
        <f aca="false">CHOOSE(Dashboard!$C$4,AH24,AH25,AH26)</f>
        <v>0.97</v>
      </c>
      <c r="AI27" s="36" t="n">
        <f aca="false">CHOOSE(Dashboard!$C$4,AI24,AI25,AI26)</f>
        <v>0.93013698630137</v>
      </c>
      <c r="AJ27" s="36" t="n">
        <f aca="false">CHOOSE(Dashboard!$C$4,AJ24,AJ25,AJ26)</f>
        <v>0.89027397260274</v>
      </c>
      <c r="AK27" s="36" t="n">
        <f aca="false">CHOOSE(Dashboard!$C$4,AK24,AK25,AK26)</f>
        <v>0.97</v>
      </c>
      <c r="AL27" s="36" t="n">
        <f aca="false">CHOOSE(Dashboard!$C$4,AL24,AL25,AL26)</f>
        <v>0.93013698630137</v>
      </c>
      <c r="AM27" s="36" t="n">
        <f aca="false">CHOOSE(Dashboard!$C$4,AM24,AM25,AM26)</f>
        <v>0.93013698630137</v>
      </c>
      <c r="AN27" s="36" t="n">
        <f aca="false">CHOOSE(Dashboard!$C$4,AN24,AN25,AN26)</f>
        <v>0.97</v>
      </c>
      <c r="AO27" s="36" t="n">
        <f aca="false">CHOOSE(Dashboard!$C$4,AO24,AO25,AO26)</f>
        <v>0.93013698630137</v>
      </c>
      <c r="AP27" s="36" t="n">
        <f aca="false">CHOOSE(Dashboard!$C$4,AP24,AP25,AP26)</f>
        <v>0.93013698630137</v>
      </c>
      <c r="AQ27" s="36" t="n">
        <f aca="false">CHOOSE(Dashboard!$C$4,AQ24,AQ25,AQ26)</f>
        <v>0.97</v>
      </c>
      <c r="AR27" s="36" t="n">
        <f aca="false">CHOOSE(Dashboard!$C$4,AR24,AR25,AR26)</f>
        <v>0.93013698630137</v>
      </c>
      <c r="AS27" s="36" t="n">
        <f aca="false">CHOOSE(Dashboard!$C$4,AS24,AS25,AS26)</f>
        <v>0.93013698630137</v>
      </c>
      <c r="AT27" s="36" t="n">
        <f aca="false">CHOOSE(Dashboard!$C$4,AT24,AT25,AT26)</f>
        <v>0.903561643835616</v>
      </c>
      <c r="AU27" s="36" t="n">
        <f aca="false">CHOOSE(Dashboard!$C$4,AU24,AU25,AU26)</f>
        <v>0.93013698630137</v>
      </c>
      <c r="AV27" s="36" t="n">
        <f aca="false">CHOOSE(Dashboard!$C$4,AV24,AV25,AV26)</f>
        <v>0.93013698630137</v>
      </c>
      <c r="AW27" s="36" t="n">
        <f aca="false">CHOOSE(Dashboard!$C$4,AW24,AW25,AW26)</f>
        <v>0.97</v>
      </c>
      <c r="AX27" s="36" t="n">
        <f aca="false">CHOOSE(Dashboard!$C$4,AX24,AX25,AX26)</f>
        <v>0.93013698630137</v>
      </c>
      <c r="AY27" s="36" t="n">
        <f aca="false">CHOOSE(Dashboard!$C$4,AY24,AY25,AY26)</f>
        <v>0.93013698630137</v>
      </c>
      <c r="AZ27" s="36" t="n">
        <f aca="false">CHOOSE(Dashboard!$C$4,AZ24,AZ25,AZ26)</f>
        <v>0.97</v>
      </c>
      <c r="BA27" s="36" t="n">
        <f aca="false">CHOOSE(Dashboard!$C$4,BA24,BA25,BA26)</f>
        <v>0.93013698630137</v>
      </c>
      <c r="BB27" s="36" t="n">
        <f aca="false">CHOOSE(Dashboard!$C$4,BB24,BB25,BB26)</f>
        <v>0.93013698630137</v>
      </c>
      <c r="BC27" s="36" t="n">
        <f aca="false">CHOOSE(Dashboard!$C$4,BC24,BC25,BC26)</f>
        <v>0.97</v>
      </c>
      <c r="BD27" s="36" t="n">
        <f aca="false">CHOOSE(Dashboard!$C$4,BD24,BD25,BD26)</f>
        <v>0.89027397260274</v>
      </c>
      <c r="BE27" s="36" t="n">
        <f aca="false">CHOOSE(Dashboard!$C$4,BE24,BE25,BE26)</f>
        <v>0.93013698630137</v>
      </c>
      <c r="BF27" s="36" t="n">
        <f aca="false">CHOOSE(Dashboard!$C$4,BF24,BF25,BF26)</f>
        <v>0.97</v>
      </c>
      <c r="BG27" s="36" t="n">
        <f aca="false">CHOOSE(Dashboard!$C$4,BG24,BG25,BG26)</f>
        <v>0.93013698630137</v>
      </c>
      <c r="BH27" s="36" t="n">
        <f aca="false">CHOOSE(Dashboard!$C$4,BH24,BH25,BH26)</f>
        <v>0.93013698630137</v>
      </c>
      <c r="BI27" s="36" t="n">
        <f aca="false">CHOOSE(Dashboard!$C$4,BI24,BI25,BI26)</f>
        <v>0.97</v>
      </c>
      <c r="BJ27" s="36" t="n">
        <f aca="false">CHOOSE(Dashboard!$C$4,BJ24,BJ25,BJ26)</f>
        <v>0.93013698630137</v>
      </c>
      <c r="BK27" s="36" t="n">
        <f aca="false">CHOOSE(Dashboard!$C$4,BK24,BK25,BK26)</f>
        <v>0.93013698630137</v>
      </c>
      <c r="BL27" s="36" t="n">
        <f aca="false">CHOOSE(Dashboard!$C$4,BL24,BL25,BL26)</f>
        <v>0.97</v>
      </c>
      <c r="BM27" s="36" t="n">
        <f aca="false">CHOOSE(Dashboard!$C$4,BM24,BM25,BM26)</f>
        <v>0.93013698630137</v>
      </c>
      <c r="BN27" s="36" t="n">
        <f aca="false">CHOOSE(Dashboard!$C$4,BN24,BN25,BN26)</f>
        <v>0.89027397260274</v>
      </c>
    </row>
    <row r="28" customFormat="false" ht="15" hidden="false" customHeight="false" outlineLevel="0" collapsed="false">
      <c r="A28" s="1"/>
      <c r="B28" s="8" t="s">
        <v>261</v>
      </c>
      <c r="C28" s="1"/>
      <c r="D28" s="1"/>
      <c r="E28" s="1"/>
      <c r="F28" s="1"/>
      <c r="G28" s="35" t="n">
        <v>1</v>
      </c>
      <c r="H28" s="35" t="n">
        <v>1</v>
      </c>
      <c r="I28" s="35" t="n">
        <v>1</v>
      </c>
      <c r="J28" s="35" t="n">
        <v>1</v>
      </c>
      <c r="K28" s="35" t="n">
        <v>1</v>
      </c>
      <c r="L28" s="35" t="n">
        <v>1</v>
      </c>
      <c r="M28" s="35" t="n">
        <v>1</v>
      </c>
      <c r="N28" s="35" t="n">
        <v>1</v>
      </c>
      <c r="O28" s="35" t="n">
        <v>1</v>
      </c>
      <c r="P28" s="35" t="n">
        <v>1</v>
      </c>
      <c r="Q28" s="35" t="n">
        <v>1</v>
      </c>
      <c r="R28" s="35" t="n">
        <v>1</v>
      </c>
      <c r="S28" s="35" t="n">
        <v>1</v>
      </c>
      <c r="T28" s="35" t="n">
        <v>1</v>
      </c>
      <c r="U28" s="35" t="n">
        <v>1</v>
      </c>
      <c r="V28" s="35" t="n">
        <v>1</v>
      </c>
      <c r="W28" s="35" t="n">
        <v>1</v>
      </c>
      <c r="X28" s="35" t="n">
        <v>1</v>
      </c>
      <c r="Y28" s="35" t="n">
        <v>1</v>
      </c>
      <c r="Z28" s="35" t="n">
        <v>1</v>
      </c>
      <c r="AA28" s="35" t="n">
        <v>1</v>
      </c>
      <c r="AB28" s="35" t="n">
        <v>1</v>
      </c>
      <c r="AC28" s="35" t="n">
        <v>1</v>
      </c>
      <c r="AD28" s="35" t="n">
        <v>1</v>
      </c>
      <c r="AE28" s="35" t="n">
        <v>1</v>
      </c>
      <c r="AF28" s="35" t="n">
        <v>1</v>
      </c>
      <c r="AG28" s="35" t="n">
        <v>1</v>
      </c>
      <c r="AH28" s="35" t="n">
        <v>1</v>
      </c>
      <c r="AI28" s="35" t="n">
        <v>1</v>
      </c>
      <c r="AJ28" s="35" t="n">
        <v>1</v>
      </c>
      <c r="AK28" s="35" t="n">
        <v>1</v>
      </c>
      <c r="AL28" s="35" t="n">
        <v>1</v>
      </c>
      <c r="AM28" s="35" t="n">
        <v>1</v>
      </c>
      <c r="AN28" s="35" t="n">
        <v>1</v>
      </c>
      <c r="AO28" s="35" t="n">
        <v>1</v>
      </c>
      <c r="AP28" s="35" t="n">
        <v>1</v>
      </c>
      <c r="AQ28" s="35" t="n">
        <v>1</v>
      </c>
      <c r="AR28" s="35" t="n">
        <v>1</v>
      </c>
      <c r="AS28" s="35" t="n">
        <v>1</v>
      </c>
      <c r="AT28" s="35" t="n">
        <v>1</v>
      </c>
      <c r="AU28" s="35" t="n">
        <v>1</v>
      </c>
      <c r="AV28" s="35" t="n">
        <v>1</v>
      </c>
      <c r="AW28" s="35" t="n">
        <v>1</v>
      </c>
      <c r="AX28" s="35" t="n">
        <v>1</v>
      </c>
      <c r="AY28" s="35" t="n">
        <v>1</v>
      </c>
      <c r="AZ28" s="35" t="n">
        <v>1</v>
      </c>
      <c r="BA28" s="35" t="n">
        <v>1</v>
      </c>
      <c r="BB28" s="35" t="n">
        <v>1</v>
      </c>
      <c r="BC28" s="35" t="n">
        <v>1</v>
      </c>
      <c r="BD28" s="35" t="n">
        <v>1</v>
      </c>
      <c r="BE28" s="35" t="n">
        <v>1</v>
      </c>
      <c r="BF28" s="35" t="n">
        <v>1</v>
      </c>
      <c r="BG28" s="35" t="n">
        <v>1</v>
      </c>
      <c r="BH28" s="35" t="n">
        <v>1</v>
      </c>
      <c r="BI28" s="35" t="n">
        <v>1</v>
      </c>
      <c r="BJ28" s="35" t="n">
        <v>1</v>
      </c>
      <c r="BK28" s="35" t="n">
        <v>1</v>
      </c>
      <c r="BL28" s="35" t="n">
        <v>1</v>
      </c>
      <c r="BM28" s="35" t="n">
        <v>1</v>
      </c>
      <c r="BN28" s="35" t="n">
        <v>1</v>
      </c>
    </row>
    <row r="29" customFormat="false" ht="15" hidden="false" customHeight="false" outlineLevel="0" collapsed="false">
      <c r="A29" s="1"/>
      <c r="B29" s="8" t="s">
        <v>262</v>
      </c>
      <c r="C29" s="1"/>
      <c r="D29" s="1"/>
      <c r="E29" s="1"/>
      <c r="F29" s="1"/>
      <c r="G29" s="35" t="n">
        <v>1</v>
      </c>
      <c r="H29" s="35" t="n">
        <v>1</v>
      </c>
      <c r="I29" s="35" t="n">
        <v>1</v>
      </c>
      <c r="J29" s="35" t="n">
        <v>1</v>
      </c>
      <c r="K29" s="35" t="n">
        <v>1</v>
      </c>
      <c r="L29" s="35" t="n">
        <v>1</v>
      </c>
      <c r="M29" s="35" t="n">
        <v>1</v>
      </c>
      <c r="N29" s="35" t="n">
        <v>1</v>
      </c>
      <c r="O29" s="35" t="n">
        <v>1</v>
      </c>
      <c r="P29" s="35" t="n">
        <v>1</v>
      </c>
      <c r="Q29" s="35" t="n">
        <v>1</v>
      </c>
      <c r="R29" s="35" t="n">
        <v>1</v>
      </c>
      <c r="S29" s="35" t="n">
        <v>1</v>
      </c>
      <c r="T29" s="35" t="n">
        <v>1</v>
      </c>
      <c r="U29" s="35" t="n">
        <v>1</v>
      </c>
      <c r="V29" s="35" t="n">
        <v>1</v>
      </c>
      <c r="W29" s="35" t="n">
        <v>1</v>
      </c>
      <c r="X29" s="35" t="n">
        <v>1</v>
      </c>
      <c r="Y29" s="35" t="n">
        <v>1</v>
      </c>
      <c r="Z29" s="35" t="n">
        <v>1</v>
      </c>
      <c r="AA29" s="35" t="n">
        <v>1</v>
      </c>
      <c r="AB29" s="35" t="n">
        <v>1</v>
      </c>
      <c r="AC29" s="35" t="n">
        <v>1</v>
      </c>
      <c r="AD29" s="35" t="n">
        <v>1</v>
      </c>
      <c r="AE29" s="35" t="n">
        <v>1</v>
      </c>
      <c r="AF29" s="35" t="n">
        <v>1</v>
      </c>
      <c r="AG29" s="35" t="n">
        <v>1</v>
      </c>
      <c r="AH29" s="35" t="n">
        <v>1</v>
      </c>
      <c r="AI29" s="35" t="n">
        <v>1</v>
      </c>
      <c r="AJ29" s="35" t="n">
        <v>1</v>
      </c>
      <c r="AK29" s="35" t="n">
        <v>1</v>
      </c>
      <c r="AL29" s="35" t="n">
        <v>1</v>
      </c>
      <c r="AM29" s="35" t="n">
        <v>1</v>
      </c>
      <c r="AN29" s="35" t="n">
        <v>1</v>
      </c>
      <c r="AO29" s="35" t="n">
        <v>1</v>
      </c>
      <c r="AP29" s="35" t="n">
        <v>1</v>
      </c>
      <c r="AQ29" s="35" t="n">
        <v>1</v>
      </c>
      <c r="AR29" s="35" t="n">
        <v>1</v>
      </c>
      <c r="AS29" s="35" t="n">
        <v>1</v>
      </c>
      <c r="AT29" s="35" t="n">
        <v>1</v>
      </c>
      <c r="AU29" s="35" t="n">
        <v>1</v>
      </c>
      <c r="AV29" s="35" t="n">
        <v>1</v>
      </c>
      <c r="AW29" s="35" t="n">
        <v>1</v>
      </c>
      <c r="AX29" s="35" t="n">
        <v>1</v>
      </c>
      <c r="AY29" s="35" t="n">
        <v>1</v>
      </c>
      <c r="AZ29" s="35" t="n">
        <v>1</v>
      </c>
      <c r="BA29" s="35" t="n">
        <v>1</v>
      </c>
      <c r="BB29" s="35" t="n">
        <v>1</v>
      </c>
      <c r="BC29" s="35" t="n">
        <v>1</v>
      </c>
      <c r="BD29" s="35" t="n">
        <v>1</v>
      </c>
      <c r="BE29" s="35" t="n">
        <v>1</v>
      </c>
      <c r="BF29" s="35" t="n">
        <v>1</v>
      </c>
      <c r="BG29" s="35" t="n">
        <v>1</v>
      </c>
      <c r="BH29" s="35" t="n">
        <v>1</v>
      </c>
      <c r="BI29" s="35" t="n">
        <v>1</v>
      </c>
      <c r="BJ29" s="35" t="n">
        <v>1</v>
      </c>
      <c r="BK29" s="35" t="n">
        <v>1</v>
      </c>
      <c r="BL29" s="35" t="n">
        <v>1</v>
      </c>
      <c r="BM29" s="35" t="n">
        <v>1</v>
      </c>
      <c r="BN29" s="35" t="n">
        <v>1</v>
      </c>
    </row>
    <row r="30" customFormat="false" ht="15" hidden="false" customHeight="false" outlineLevel="0" collapsed="false">
      <c r="A30" s="1"/>
      <c r="B30" s="8" t="s">
        <v>263</v>
      </c>
      <c r="C30" s="1"/>
      <c r="D30" s="1"/>
      <c r="E30" s="1"/>
      <c r="F30" s="1"/>
      <c r="G30" s="35" t="n">
        <v>1</v>
      </c>
      <c r="H30" s="35" t="n">
        <v>1</v>
      </c>
      <c r="I30" s="35" t="n">
        <v>1</v>
      </c>
      <c r="J30" s="35" t="n">
        <v>1</v>
      </c>
      <c r="K30" s="35" t="n">
        <v>1</v>
      </c>
      <c r="L30" s="35" t="n">
        <v>1</v>
      </c>
      <c r="M30" s="35" t="n">
        <v>1</v>
      </c>
      <c r="N30" s="35" t="n">
        <v>1</v>
      </c>
      <c r="O30" s="35" t="n">
        <v>1</v>
      </c>
      <c r="P30" s="35" t="n">
        <v>1</v>
      </c>
      <c r="Q30" s="35" t="n">
        <v>1</v>
      </c>
      <c r="R30" s="35" t="n">
        <v>1</v>
      </c>
      <c r="S30" s="35" t="n">
        <v>1</v>
      </c>
      <c r="T30" s="35" t="n">
        <v>1</v>
      </c>
      <c r="U30" s="35" t="n">
        <v>1</v>
      </c>
      <c r="V30" s="35" t="n">
        <v>1</v>
      </c>
      <c r="W30" s="35" t="n">
        <v>1</v>
      </c>
      <c r="X30" s="35" t="n">
        <v>1</v>
      </c>
      <c r="Y30" s="35" t="n">
        <v>1</v>
      </c>
      <c r="Z30" s="35" t="n">
        <v>1</v>
      </c>
      <c r="AA30" s="35" t="n">
        <v>1</v>
      </c>
      <c r="AB30" s="35" t="n">
        <v>1</v>
      </c>
      <c r="AC30" s="35" t="n">
        <v>1</v>
      </c>
      <c r="AD30" s="35" t="n">
        <v>1</v>
      </c>
      <c r="AE30" s="35" t="n">
        <v>1</v>
      </c>
      <c r="AF30" s="35" t="n">
        <v>1</v>
      </c>
      <c r="AG30" s="35" t="n">
        <v>1</v>
      </c>
      <c r="AH30" s="35" t="n">
        <v>1</v>
      </c>
      <c r="AI30" s="35" t="n">
        <v>1</v>
      </c>
      <c r="AJ30" s="35" t="n">
        <v>1</v>
      </c>
      <c r="AK30" s="35" t="n">
        <v>1</v>
      </c>
      <c r="AL30" s="35" t="n">
        <v>1</v>
      </c>
      <c r="AM30" s="35" t="n">
        <v>1</v>
      </c>
      <c r="AN30" s="35" t="n">
        <v>1</v>
      </c>
      <c r="AO30" s="35" t="n">
        <v>1</v>
      </c>
      <c r="AP30" s="35" t="n">
        <v>1</v>
      </c>
      <c r="AQ30" s="35" t="n">
        <v>1</v>
      </c>
      <c r="AR30" s="35" t="n">
        <v>1</v>
      </c>
      <c r="AS30" s="35" t="n">
        <v>1</v>
      </c>
      <c r="AT30" s="35" t="n">
        <v>1</v>
      </c>
      <c r="AU30" s="35" t="n">
        <v>1</v>
      </c>
      <c r="AV30" s="35" t="n">
        <v>1</v>
      </c>
      <c r="AW30" s="35" t="n">
        <v>1</v>
      </c>
      <c r="AX30" s="35" t="n">
        <v>1</v>
      </c>
      <c r="AY30" s="35" t="n">
        <v>1</v>
      </c>
      <c r="AZ30" s="35" t="n">
        <v>1</v>
      </c>
      <c r="BA30" s="35" t="n">
        <v>1</v>
      </c>
      <c r="BB30" s="35" t="n">
        <v>1</v>
      </c>
      <c r="BC30" s="35" t="n">
        <v>1</v>
      </c>
      <c r="BD30" s="35" t="n">
        <v>1</v>
      </c>
      <c r="BE30" s="35" t="n">
        <v>1</v>
      </c>
      <c r="BF30" s="35" t="n">
        <v>1</v>
      </c>
      <c r="BG30" s="35" t="n">
        <v>1</v>
      </c>
      <c r="BH30" s="35" t="n">
        <v>1</v>
      </c>
      <c r="BI30" s="35" t="n">
        <v>1</v>
      </c>
      <c r="BJ30" s="35" t="n">
        <v>1</v>
      </c>
      <c r="BK30" s="35" t="n">
        <v>1</v>
      </c>
      <c r="BL30" s="35" t="n">
        <v>1</v>
      </c>
      <c r="BM30" s="35" t="n">
        <v>1</v>
      </c>
      <c r="BN30" s="35" t="n">
        <v>1</v>
      </c>
    </row>
    <row r="31" customFormat="false" ht="15" hidden="false" customHeight="false" outlineLevel="0" collapsed="false">
      <c r="A31" s="1"/>
      <c r="B31" s="4" t="s">
        <v>264</v>
      </c>
      <c r="C31" s="1"/>
      <c r="D31" s="1"/>
      <c r="E31" s="1"/>
      <c r="F31" s="1"/>
      <c r="G31" s="36" t="n">
        <f aca="false">CHOOSE(Dashboard!$C$4,G28,G29,G30)</f>
        <v>1</v>
      </c>
      <c r="H31" s="36" t="n">
        <f aca="false">CHOOSE(Dashboard!$C$4,H28,H29,H30)</f>
        <v>1</v>
      </c>
      <c r="I31" s="36" t="n">
        <f aca="false">CHOOSE(Dashboard!$C$4,I28,I29,I30)</f>
        <v>1</v>
      </c>
      <c r="J31" s="36" t="n">
        <f aca="false">CHOOSE(Dashboard!$C$4,J28,J29,J30)</f>
        <v>1</v>
      </c>
      <c r="K31" s="36" t="n">
        <f aca="false">CHOOSE(Dashboard!$C$4,K28,K29,K30)</f>
        <v>1</v>
      </c>
      <c r="L31" s="36" t="n">
        <f aca="false">CHOOSE(Dashboard!$C$4,L28,L29,L30)</f>
        <v>1</v>
      </c>
      <c r="M31" s="36" t="n">
        <f aca="false">CHOOSE(Dashboard!$C$4,M28,M29,M30)</f>
        <v>1</v>
      </c>
      <c r="N31" s="36" t="n">
        <f aca="false">CHOOSE(Dashboard!$C$4,N28,N29,N30)</f>
        <v>1</v>
      </c>
      <c r="O31" s="36" t="n">
        <f aca="false">CHOOSE(Dashboard!$C$4,O28,O29,O30)</f>
        <v>1</v>
      </c>
      <c r="P31" s="36" t="n">
        <f aca="false">CHOOSE(Dashboard!$C$4,P28,P29,P30)</f>
        <v>1</v>
      </c>
      <c r="Q31" s="36" t="n">
        <f aca="false">CHOOSE(Dashboard!$C$4,Q28,Q29,Q30)</f>
        <v>1</v>
      </c>
      <c r="R31" s="36" t="n">
        <f aca="false">CHOOSE(Dashboard!$C$4,R28,R29,R30)</f>
        <v>1</v>
      </c>
      <c r="S31" s="36" t="n">
        <f aca="false">CHOOSE(Dashboard!$C$4,S28,S29,S30)</f>
        <v>1</v>
      </c>
      <c r="T31" s="36" t="n">
        <f aca="false">CHOOSE(Dashboard!$C$4,T28,T29,T30)</f>
        <v>1</v>
      </c>
      <c r="U31" s="36" t="n">
        <f aca="false">CHOOSE(Dashboard!$C$4,U28,U29,U30)</f>
        <v>1</v>
      </c>
      <c r="V31" s="36" t="n">
        <f aca="false">CHOOSE(Dashboard!$C$4,V28,V29,V30)</f>
        <v>1</v>
      </c>
      <c r="W31" s="36" t="n">
        <f aca="false">CHOOSE(Dashboard!$C$4,W28,W29,W30)</f>
        <v>1</v>
      </c>
      <c r="X31" s="36" t="n">
        <f aca="false">CHOOSE(Dashboard!$C$4,X28,X29,X30)</f>
        <v>1</v>
      </c>
      <c r="Y31" s="36" t="n">
        <f aca="false">CHOOSE(Dashboard!$C$4,Y28,Y29,Y30)</f>
        <v>1</v>
      </c>
      <c r="Z31" s="36" t="n">
        <f aca="false">CHOOSE(Dashboard!$C$4,Z28,Z29,Z30)</f>
        <v>1</v>
      </c>
      <c r="AA31" s="36" t="n">
        <f aca="false">CHOOSE(Dashboard!$C$4,AA28,AA29,AA30)</f>
        <v>1</v>
      </c>
      <c r="AB31" s="36" t="n">
        <f aca="false">CHOOSE(Dashboard!$C$4,AB28,AB29,AB30)</f>
        <v>1</v>
      </c>
      <c r="AC31" s="36" t="n">
        <f aca="false">CHOOSE(Dashboard!$C$4,AC28,AC29,AC30)</f>
        <v>1</v>
      </c>
      <c r="AD31" s="36" t="n">
        <f aca="false">CHOOSE(Dashboard!$C$4,AD28,AD29,AD30)</f>
        <v>1</v>
      </c>
      <c r="AE31" s="36" t="n">
        <f aca="false">CHOOSE(Dashboard!$C$4,AE28,AE29,AE30)</f>
        <v>1</v>
      </c>
      <c r="AF31" s="36" t="n">
        <f aca="false">CHOOSE(Dashboard!$C$4,AF28,AF29,AF30)</f>
        <v>1</v>
      </c>
      <c r="AG31" s="36" t="n">
        <f aca="false">CHOOSE(Dashboard!$C$4,AG28,AG29,AG30)</f>
        <v>1</v>
      </c>
      <c r="AH31" s="36" t="n">
        <f aca="false">CHOOSE(Dashboard!$C$4,AH28,AH29,AH30)</f>
        <v>1</v>
      </c>
      <c r="AI31" s="36" t="n">
        <f aca="false">CHOOSE(Dashboard!$C$4,AI28,AI29,AI30)</f>
        <v>1</v>
      </c>
      <c r="AJ31" s="36" t="n">
        <f aca="false">CHOOSE(Dashboard!$C$4,AJ28,AJ29,AJ30)</f>
        <v>1</v>
      </c>
      <c r="AK31" s="36" t="n">
        <f aca="false">CHOOSE(Dashboard!$C$4,AK28,AK29,AK30)</f>
        <v>1</v>
      </c>
      <c r="AL31" s="36" t="n">
        <f aca="false">CHOOSE(Dashboard!$C$4,AL28,AL29,AL30)</f>
        <v>1</v>
      </c>
      <c r="AM31" s="36" t="n">
        <f aca="false">CHOOSE(Dashboard!$C$4,AM28,AM29,AM30)</f>
        <v>1</v>
      </c>
      <c r="AN31" s="36" t="n">
        <f aca="false">CHOOSE(Dashboard!$C$4,AN28,AN29,AN30)</f>
        <v>1</v>
      </c>
      <c r="AO31" s="36" t="n">
        <f aca="false">CHOOSE(Dashboard!$C$4,AO28,AO29,AO30)</f>
        <v>1</v>
      </c>
      <c r="AP31" s="36" t="n">
        <f aca="false">CHOOSE(Dashboard!$C$4,AP28,AP29,AP30)</f>
        <v>1</v>
      </c>
      <c r="AQ31" s="36" t="n">
        <f aca="false">CHOOSE(Dashboard!$C$4,AQ28,AQ29,AQ30)</f>
        <v>1</v>
      </c>
      <c r="AR31" s="36" t="n">
        <f aca="false">CHOOSE(Dashboard!$C$4,AR28,AR29,AR30)</f>
        <v>1</v>
      </c>
      <c r="AS31" s="36" t="n">
        <f aca="false">CHOOSE(Dashboard!$C$4,AS28,AS29,AS30)</f>
        <v>1</v>
      </c>
      <c r="AT31" s="36" t="n">
        <f aca="false">CHOOSE(Dashboard!$C$4,AT28,AT29,AT30)</f>
        <v>1</v>
      </c>
      <c r="AU31" s="36" t="n">
        <f aca="false">CHOOSE(Dashboard!$C$4,AU28,AU29,AU30)</f>
        <v>1</v>
      </c>
      <c r="AV31" s="36" t="n">
        <f aca="false">CHOOSE(Dashboard!$C$4,AV28,AV29,AV30)</f>
        <v>1</v>
      </c>
      <c r="AW31" s="36" t="n">
        <f aca="false">CHOOSE(Dashboard!$C$4,AW28,AW29,AW30)</f>
        <v>1</v>
      </c>
      <c r="AX31" s="36" t="n">
        <f aca="false">CHOOSE(Dashboard!$C$4,AX28,AX29,AX30)</f>
        <v>1</v>
      </c>
      <c r="AY31" s="36" t="n">
        <f aca="false">CHOOSE(Dashboard!$C$4,AY28,AY29,AY30)</f>
        <v>1</v>
      </c>
      <c r="AZ31" s="36" t="n">
        <f aca="false">CHOOSE(Dashboard!$C$4,AZ28,AZ29,AZ30)</f>
        <v>1</v>
      </c>
      <c r="BA31" s="36" t="n">
        <f aca="false">CHOOSE(Dashboard!$C$4,BA28,BA29,BA30)</f>
        <v>1</v>
      </c>
      <c r="BB31" s="36" t="n">
        <f aca="false">CHOOSE(Dashboard!$C$4,BB28,BB29,BB30)</f>
        <v>1</v>
      </c>
      <c r="BC31" s="36" t="n">
        <f aca="false">CHOOSE(Dashboard!$C$4,BC28,BC29,BC30)</f>
        <v>1</v>
      </c>
      <c r="BD31" s="36" t="n">
        <f aca="false">CHOOSE(Dashboard!$C$4,BD28,BD29,BD30)</f>
        <v>1</v>
      </c>
      <c r="BE31" s="36" t="n">
        <f aca="false">CHOOSE(Dashboard!$C$4,BE28,BE29,BE30)</f>
        <v>1</v>
      </c>
      <c r="BF31" s="36" t="n">
        <f aca="false">CHOOSE(Dashboard!$C$4,BF28,BF29,BF30)</f>
        <v>1</v>
      </c>
      <c r="BG31" s="36" t="n">
        <f aca="false">CHOOSE(Dashboard!$C$4,BG28,BG29,BG30)</f>
        <v>1</v>
      </c>
      <c r="BH31" s="36" t="n">
        <f aca="false">CHOOSE(Dashboard!$C$4,BH28,BH29,BH30)</f>
        <v>1</v>
      </c>
      <c r="BI31" s="36" t="n">
        <f aca="false">CHOOSE(Dashboard!$C$4,BI28,BI29,BI30)</f>
        <v>1</v>
      </c>
      <c r="BJ31" s="36" t="n">
        <f aca="false">CHOOSE(Dashboard!$C$4,BJ28,BJ29,BJ30)</f>
        <v>1</v>
      </c>
      <c r="BK31" s="36" t="n">
        <f aca="false">CHOOSE(Dashboard!$C$4,BK28,BK29,BK30)</f>
        <v>1</v>
      </c>
      <c r="BL31" s="36" t="n">
        <f aca="false">CHOOSE(Dashboard!$C$4,BL28,BL29,BL30)</f>
        <v>1</v>
      </c>
      <c r="BM31" s="36" t="n">
        <f aca="false">CHOOSE(Dashboard!$C$4,BM28,BM29,BM30)</f>
        <v>1</v>
      </c>
      <c r="BN31" s="36" t="n">
        <f aca="false">CHOOSE(Dashboard!$C$4,BN28,BN29,BN30)</f>
        <v>1</v>
      </c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</row>
    <row r="33" customFormat="false" ht="15" hidden="false" customHeight="false" outlineLevel="0" collapsed="false">
      <c r="A33" s="1"/>
      <c r="B33" s="13" t="s">
        <v>18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</row>
    <row r="34" customFormat="false" ht="15" hidden="false" customHeight="false" outlineLevel="0" collapsed="false">
      <c r="A34" s="1"/>
      <c r="B34" s="8" t="s">
        <v>249</v>
      </c>
      <c r="C34" s="1"/>
      <c r="D34" s="1"/>
      <c r="E34" s="1"/>
      <c r="F34" s="1"/>
      <c r="G34" s="35" t="n">
        <v>0.916195776255708</v>
      </c>
      <c r="H34" s="35" t="n">
        <v>0.884922945205479</v>
      </c>
      <c r="I34" s="35" t="n">
        <v>0.884771689497717</v>
      </c>
      <c r="J34" s="35" t="n">
        <v>0.944936073059361</v>
      </c>
      <c r="K34" s="35" t="n">
        <v>0.91265296803653</v>
      </c>
      <c r="L34" s="35" t="n">
        <v>0.91262100456621</v>
      </c>
      <c r="M34" s="35" t="n">
        <v>0.944840182648402</v>
      </c>
      <c r="N34" s="35" t="n">
        <v>0.912549086757991</v>
      </c>
      <c r="O34" s="35" t="n">
        <v>0.912517123287671</v>
      </c>
      <c r="P34" s="35" t="n">
        <v>0.877517123287671</v>
      </c>
      <c r="Q34" s="35" t="n">
        <v>0.912349315068493</v>
      </c>
      <c r="R34" s="35" t="n">
        <v>0.912261415525114</v>
      </c>
      <c r="S34" s="35" t="n">
        <v>0.944448630136986</v>
      </c>
      <c r="T34" s="35" t="n">
        <v>0.912141552511416</v>
      </c>
      <c r="U34" s="35" t="n">
        <v>0.912085616438356</v>
      </c>
      <c r="V34" s="35" t="n">
        <v>0.944208904109589</v>
      </c>
      <c r="W34" s="35" t="n">
        <v>0.911989726027397</v>
      </c>
      <c r="X34" s="35" t="n">
        <v>0.911989726027397</v>
      </c>
      <c r="Y34" s="35" t="n">
        <v>0.94416095890411</v>
      </c>
      <c r="Z34" s="35" t="n">
        <v>0.863517123287671</v>
      </c>
      <c r="AA34" s="35" t="n">
        <v>0.911845890410959</v>
      </c>
      <c r="AB34" s="35" t="n">
        <v>0.944065068493151</v>
      </c>
      <c r="AC34" s="35" t="n">
        <v>0.911813926940639</v>
      </c>
      <c r="AD34" s="35" t="n">
        <v>0.911813926940639</v>
      </c>
      <c r="AE34" s="35" t="n">
        <v>0.944041095890411</v>
      </c>
      <c r="AF34" s="35" t="n">
        <v>0.91175799086758</v>
      </c>
      <c r="AG34" s="35" t="n">
        <v>0.911686073059361</v>
      </c>
      <c r="AH34" s="35" t="n">
        <v>0.943873287671233</v>
      </c>
      <c r="AI34" s="35" t="n">
        <v>0.911654109589041</v>
      </c>
      <c r="AJ34" s="35" t="n">
        <v>0.863325342465753</v>
      </c>
      <c r="AK34" s="35" t="n">
        <v>0.943841324200913</v>
      </c>
      <c r="AL34" s="35" t="n">
        <v>0.911622146118722</v>
      </c>
      <c r="AM34" s="35" t="n">
        <v>0.911622146118722</v>
      </c>
      <c r="AN34" s="35" t="n">
        <v>0.943841324200913</v>
      </c>
      <c r="AO34" s="35" t="n">
        <v>0.911622146118722</v>
      </c>
      <c r="AP34" s="35" t="n">
        <v>0.911590182648402</v>
      </c>
      <c r="AQ34" s="35" t="n">
        <v>0.943729452054795</v>
      </c>
      <c r="AR34" s="35" t="n">
        <v>0.911510273972603</v>
      </c>
      <c r="AS34" s="35" t="n">
        <v>0.911486301369863</v>
      </c>
      <c r="AT34" s="35" t="n">
        <v>0.876550228310502</v>
      </c>
      <c r="AU34" s="35" t="n">
        <v>0.911406392694064</v>
      </c>
      <c r="AV34" s="35" t="n">
        <v>0.911398401826484</v>
      </c>
      <c r="AW34" s="35" t="n">
        <v>0.943521689497717</v>
      </c>
      <c r="AX34" s="35" t="n">
        <v>0.911302511415525</v>
      </c>
      <c r="AY34" s="35" t="n">
        <v>0.911198630136986</v>
      </c>
      <c r="AZ34" s="35" t="n">
        <v>0.943417808219178</v>
      </c>
      <c r="BA34" s="35" t="n">
        <v>0.911102739726027</v>
      </c>
      <c r="BB34" s="35" t="n">
        <v>0.911070776255708</v>
      </c>
      <c r="BC34" s="35" t="n">
        <v>0.94326598173516</v>
      </c>
      <c r="BD34" s="35" t="n">
        <v>0.862686073059361</v>
      </c>
      <c r="BE34" s="35" t="n">
        <v>0.91093493150685</v>
      </c>
      <c r="BF34" s="35" t="n">
        <v>0.943154109589041</v>
      </c>
      <c r="BG34" s="35" t="n">
        <v>0.91088698630137</v>
      </c>
      <c r="BH34" s="35" t="n">
        <v>0.91087100456621</v>
      </c>
      <c r="BI34" s="35" t="n">
        <v>0.943090182648402</v>
      </c>
      <c r="BJ34" s="35" t="n">
        <v>0.91084703196347</v>
      </c>
      <c r="BK34" s="35" t="n">
        <v>0.910783105022831</v>
      </c>
      <c r="BL34" s="35" t="n">
        <v>0.943002283105023</v>
      </c>
      <c r="BM34" s="35" t="n">
        <v>0.910743150684932</v>
      </c>
      <c r="BN34" s="35" t="n">
        <v>0.862382420091324</v>
      </c>
    </row>
    <row r="35" customFormat="false" ht="15" hidden="false" customHeight="false" outlineLevel="0" collapsed="false">
      <c r="A35" s="1"/>
      <c r="B35" s="8" t="s">
        <v>250</v>
      </c>
      <c r="C35" s="1"/>
      <c r="D35" s="1"/>
      <c r="E35" s="1"/>
      <c r="F35" s="1"/>
      <c r="G35" s="35" t="n">
        <v>0.895151684931507</v>
      </c>
      <c r="H35" s="35" t="n">
        <v>0.856879091324201</v>
      </c>
      <c r="I35" s="35" t="n">
        <v>0.856771945205479</v>
      </c>
      <c r="J35" s="35" t="n">
        <v>0.923557812785388</v>
      </c>
      <c r="K35" s="35" t="n">
        <v>0.884142703196347</v>
      </c>
      <c r="L35" s="35" t="n">
        <v>0.88403950456621</v>
      </c>
      <c r="M35" s="35" t="n">
        <v>0.923424162100457</v>
      </c>
      <c r="N35" s="35" t="n">
        <v>0.883963374429224</v>
      </c>
      <c r="O35" s="35" t="n">
        <v>0.883932922374429</v>
      </c>
      <c r="P35" s="35" t="n">
        <v>0.857567082191781</v>
      </c>
      <c r="Q35" s="35" t="n">
        <v>0.883753593607306</v>
      </c>
      <c r="R35" s="35" t="n">
        <v>0.883674643835616</v>
      </c>
      <c r="S35" s="35" t="n">
        <v>0.922980351598174</v>
      </c>
      <c r="T35" s="35" t="n">
        <v>0.883595694063927</v>
      </c>
      <c r="U35" s="35" t="n">
        <v>0.883358844748859</v>
      </c>
      <c r="V35" s="35" t="n">
        <v>0.922713050228311</v>
      </c>
      <c r="W35" s="35" t="n">
        <v>0.883091543378995</v>
      </c>
      <c r="X35" s="35" t="n">
        <v>0.882988344748859</v>
      </c>
      <c r="Y35" s="35" t="n">
        <v>0.922339730593607</v>
      </c>
      <c r="Z35" s="35" t="n">
        <v>0.843476239726028</v>
      </c>
      <c r="AA35" s="35" t="n">
        <v>0.88283044520548</v>
      </c>
      <c r="AB35" s="35" t="n">
        <v>0.922005321917808</v>
      </c>
      <c r="AC35" s="35" t="n">
        <v>0.882456561643836</v>
      </c>
      <c r="AD35" s="35" t="n">
        <v>0.882456561643836</v>
      </c>
      <c r="AE35" s="35" t="n">
        <v>0.92178651826484</v>
      </c>
      <c r="AF35" s="35" t="n">
        <v>0.882268210045662</v>
      </c>
      <c r="AG35" s="35" t="n">
        <v>0.882262006849315</v>
      </c>
      <c r="AH35" s="35" t="n">
        <v>0.921646664383562</v>
      </c>
      <c r="AI35" s="35" t="n">
        <v>0.882262006849315</v>
      </c>
      <c r="AJ35" s="35" t="n">
        <v>0.842877349315069</v>
      </c>
      <c r="AK35" s="35" t="n">
        <v>0.921646664383562</v>
      </c>
      <c r="AL35" s="35" t="n">
        <v>0.882262006849315</v>
      </c>
      <c r="AM35" s="35" t="n">
        <v>0.882262006849315</v>
      </c>
      <c r="AN35" s="35" t="n">
        <v>0.921646664383562</v>
      </c>
      <c r="AO35" s="35" t="n">
        <v>0.882262006849315</v>
      </c>
      <c r="AP35" s="35" t="n">
        <v>0.882262006849315</v>
      </c>
      <c r="AQ35" s="35" t="n">
        <v>0.921646664383562</v>
      </c>
      <c r="AR35" s="35" t="n">
        <v>0.882262006849315</v>
      </c>
      <c r="AS35" s="35" t="n">
        <v>0.882262006849315</v>
      </c>
      <c r="AT35" s="35" t="n">
        <v>0.856005568493151</v>
      </c>
      <c r="AU35" s="35" t="n">
        <v>0.882262006849315</v>
      </c>
      <c r="AV35" s="35" t="n">
        <v>0.882262006849315</v>
      </c>
      <c r="AW35" s="35" t="n">
        <v>0.921646664383562</v>
      </c>
      <c r="AX35" s="35" t="n">
        <v>0.882262006849315</v>
      </c>
      <c r="AY35" s="35" t="n">
        <v>0.882262006849315</v>
      </c>
      <c r="AZ35" s="35" t="n">
        <v>0.921646664383562</v>
      </c>
      <c r="BA35" s="35" t="n">
        <v>0.882262006849315</v>
      </c>
      <c r="BB35" s="35" t="n">
        <v>0.882262006849315</v>
      </c>
      <c r="BC35" s="35" t="n">
        <v>0.921646664383562</v>
      </c>
      <c r="BD35" s="35" t="n">
        <v>0.842877349315069</v>
      </c>
      <c r="BE35" s="35" t="n">
        <v>0.882262006849315</v>
      </c>
      <c r="BF35" s="35" t="n">
        <v>0.921646664383562</v>
      </c>
      <c r="BG35" s="35" t="n">
        <v>0.882262006849315</v>
      </c>
      <c r="BH35" s="35" t="n">
        <v>0.882262006849315</v>
      </c>
      <c r="BI35" s="35" t="n">
        <v>0.921646664383562</v>
      </c>
      <c r="BJ35" s="35" t="n">
        <v>0.882262006849315</v>
      </c>
      <c r="BK35" s="35" t="n">
        <v>0.882262006849315</v>
      </c>
      <c r="BL35" s="35" t="n">
        <v>0.921646664383562</v>
      </c>
      <c r="BM35" s="35" t="n">
        <v>0.882262006849315</v>
      </c>
      <c r="BN35" s="35" t="n">
        <v>0.842877349315069</v>
      </c>
    </row>
    <row r="36" customFormat="false" ht="15" hidden="false" customHeight="false" outlineLevel="0" collapsed="false">
      <c r="A36" s="1"/>
      <c r="B36" s="8" t="s">
        <v>251</v>
      </c>
      <c r="C36" s="1"/>
      <c r="D36" s="1"/>
      <c r="E36" s="1"/>
      <c r="F36" s="1"/>
      <c r="G36" s="35" t="n">
        <v>0.868433264840183</v>
      </c>
      <c r="H36" s="35" t="n">
        <v>0.819055136986301</v>
      </c>
      <c r="I36" s="35" t="n">
        <v>0.819104360730594</v>
      </c>
      <c r="J36" s="35" t="n">
        <v>0.897066381278539</v>
      </c>
      <c r="K36" s="35" t="n">
        <v>0.845949200913242</v>
      </c>
      <c r="L36" s="35" t="n">
        <v>0.845977168949772</v>
      </c>
      <c r="M36" s="35" t="n">
        <v>0.896932134703196</v>
      </c>
      <c r="N36" s="35" t="n">
        <v>0.84589046803653</v>
      </c>
      <c r="O36" s="35" t="n">
        <v>0.84583453196347</v>
      </c>
      <c r="P36" s="35" t="n">
        <v>0.833058732876712</v>
      </c>
      <c r="Q36" s="35" t="n">
        <v>0.8458149543379</v>
      </c>
      <c r="R36" s="35" t="n">
        <v>0.8458149543379</v>
      </c>
      <c r="S36" s="35" t="n">
        <v>0.896817465753425</v>
      </c>
      <c r="T36" s="35" t="n">
        <v>0.845775799086758</v>
      </c>
      <c r="U36" s="35" t="n">
        <v>0.845747831050228</v>
      </c>
      <c r="V36" s="35" t="n">
        <v>0.896814668949772</v>
      </c>
      <c r="W36" s="35" t="n">
        <v>0.845800970319635</v>
      </c>
      <c r="X36" s="35" t="n">
        <v>0.845800970319635</v>
      </c>
      <c r="Y36" s="35" t="n">
        <v>0.896814668949772</v>
      </c>
      <c r="Z36" s="35" t="n">
        <v>0.820294121004566</v>
      </c>
      <c r="AA36" s="35" t="n">
        <v>0.845800970319635</v>
      </c>
      <c r="AB36" s="35" t="n">
        <v>0.896814668949772</v>
      </c>
      <c r="AC36" s="35" t="n">
        <v>0.845800970319635</v>
      </c>
      <c r="AD36" s="35" t="n">
        <v>0.845800970319635</v>
      </c>
      <c r="AE36" s="35" t="n">
        <v>0.896814668949772</v>
      </c>
      <c r="AF36" s="35" t="n">
        <v>0.845800970319635</v>
      </c>
      <c r="AG36" s="35" t="n">
        <v>0.845800970319635</v>
      </c>
      <c r="AH36" s="35" t="n">
        <v>0.896814668949772</v>
      </c>
      <c r="AI36" s="35" t="n">
        <v>0.845800970319635</v>
      </c>
      <c r="AJ36" s="35" t="n">
        <v>0.820294121004566</v>
      </c>
      <c r="AK36" s="35" t="n">
        <v>0.896814668949772</v>
      </c>
      <c r="AL36" s="35" t="n">
        <v>0.845800970319635</v>
      </c>
      <c r="AM36" s="35" t="n">
        <v>0.845800970319635</v>
      </c>
      <c r="AN36" s="35" t="n">
        <v>0.896814668949772</v>
      </c>
      <c r="AO36" s="35" t="n">
        <v>0.845800970319635</v>
      </c>
      <c r="AP36" s="35" t="n">
        <v>0.845800970319635</v>
      </c>
      <c r="AQ36" s="35" t="n">
        <v>0.896814668949772</v>
      </c>
      <c r="AR36" s="35" t="n">
        <v>0.845800970319635</v>
      </c>
      <c r="AS36" s="35" t="n">
        <v>0.845800970319635</v>
      </c>
      <c r="AT36" s="35" t="n">
        <v>0.833047545662101</v>
      </c>
      <c r="AU36" s="35" t="n">
        <v>0.845800970319635</v>
      </c>
      <c r="AV36" s="35" t="n">
        <v>0.845800970319635</v>
      </c>
      <c r="AW36" s="35" t="n">
        <v>0.896814668949772</v>
      </c>
      <c r="AX36" s="35" t="n">
        <v>0.845800970319635</v>
      </c>
      <c r="AY36" s="35" t="n">
        <v>0.845800970319635</v>
      </c>
      <c r="AZ36" s="35" t="n">
        <v>0.896814668949772</v>
      </c>
      <c r="BA36" s="35" t="n">
        <v>0.845800970319635</v>
      </c>
      <c r="BB36" s="35" t="n">
        <v>0.845800970319635</v>
      </c>
      <c r="BC36" s="35" t="n">
        <v>0.896814668949772</v>
      </c>
      <c r="BD36" s="35" t="n">
        <v>0.820294121004566</v>
      </c>
      <c r="BE36" s="35" t="n">
        <v>0.845800970319635</v>
      </c>
      <c r="BF36" s="35" t="n">
        <v>0.896814668949772</v>
      </c>
      <c r="BG36" s="35" t="n">
        <v>0.845800970319635</v>
      </c>
      <c r="BH36" s="35" t="n">
        <v>0.845800970319635</v>
      </c>
      <c r="BI36" s="35" t="n">
        <v>0.896814668949772</v>
      </c>
      <c r="BJ36" s="35" t="n">
        <v>0.845800970319635</v>
      </c>
      <c r="BK36" s="35" t="n">
        <v>0.845800970319635</v>
      </c>
      <c r="BL36" s="35" t="n">
        <v>0.896814668949772</v>
      </c>
      <c r="BM36" s="35" t="n">
        <v>0.845800970319635</v>
      </c>
      <c r="BN36" s="35" t="n">
        <v>0.820294121004566</v>
      </c>
    </row>
    <row r="37" customFormat="false" ht="15" hidden="false" customHeight="false" outlineLevel="0" collapsed="false">
      <c r="A37" s="1"/>
      <c r="B37" s="4" t="s">
        <v>252</v>
      </c>
      <c r="C37" s="1"/>
      <c r="D37" s="1"/>
      <c r="E37" s="1"/>
      <c r="F37" s="1"/>
      <c r="G37" s="36" t="n">
        <f aca="false">CHOOSE(Dashboard!$C$4,G34,G35,G36)</f>
        <v>0.895151684931507</v>
      </c>
      <c r="H37" s="36" t="n">
        <f aca="false">CHOOSE(Dashboard!$C$4,H34,H35,H36)</f>
        <v>0.856879091324201</v>
      </c>
      <c r="I37" s="36" t="n">
        <f aca="false">CHOOSE(Dashboard!$C$4,I34,I35,I36)</f>
        <v>0.856771945205479</v>
      </c>
      <c r="J37" s="36" t="n">
        <f aca="false">CHOOSE(Dashboard!$C$4,J34,J35,J36)</f>
        <v>0.923557812785388</v>
      </c>
      <c r="K37" s="36" t="n">
        <f aca="false">CHOOSE(Dashboard!$C$4,K34,K35,K36)</f>
        <v>0.884142703196347</v>
      </c>
      <c r="L37" s="36" t="n">
        <f aca="false">CHOOSE(Dashboard!$C$4,L34,L35,L36)</f>
        <v>0.88403950456621</v>
      </c>
      <c r="M37" s="36" t="n">
        <f aca="false">CHOOSE(Dashboard!$C$4,M34,M35,M36)</f>
        <v>0.923424162100457</v>
      </c>
      <c r="N37" s="36" t="n">
        <f aca="false">CHOOSE(Dashboard!$C$4,N34,N35,N36)</f>
        <v>0.883963374429224</v>
      </c>
      <c r="O37" s="36" t="n">
        <f aca="false">CHOOSE(Dashboard!$C$4,O34,O35,O36)</f>
        <v>0.883932922374429</v>
      </c>
      <c r="P37" s="36" t="n">
        <f aca="false">CHOOSE(Dashboard!$C$4,P34,P35,P36)</f>
        <v>0.857567082191781</v>
      </c>
      <c r="Q37" s="36" t="n">
        <f aca="false">CHOOSE(Dashboard!$C$4,Q34,Q35,Q36)</f>
        <v>0.883753593607306</v>
      </c>
      <c r="R37" s="36" t="n">
        <f aca="false">CHOOSE(Dashboard!$C$4,R34,R35,R36)</f>
        <v>0.883674643835616</v>
      </c>
      <c r="S37" s="36" t="n">
        <f aca="false">CHOOSE(Dashboard!$C$4,S34,S35,S36)</f>
        <v>0.922980351598174</v>
      </c>
      <c r="T37" s="36" t="n">
        <f aca="false">CHOOSE(Dashboard!$C$4,T34,T35,T36)</f>
        <v>0.883595694063927</v>
      </c>
      <c r="U37" s="36" t="n">
        <f aca="false">CHOOSE(Dashboard!$C$4,U34,U35,U36)</f>
        <v>0.883358844748859</v>
      </c>
      <c r="V37" s="36" t="n">
        <f aca="false">CHOOSE(Dashboard!$C$4,V34,V35,V36)</f>
        <v>0.922713050228311</v>
      </c>
      <c r="W37" s="36" t="n">
        <f aca="false">CHOOSE(Dashboard!$C$4,W34,W35,W36)</f>
        <v>0.883091543378995</v>
      </c>
      <c r="X37" s="36" t="n">
        <f aca="false">CHOOSE(Dashboard!$C$4,X34,X35,X36)</f>
        <v>0.882988344748859</v>
      </c>
      <c r="Y37" s="36" t="n">
        <f aca="false">CHOOSE(Dashboard!$C$4,Y34,Y35,Y36)</f>
        <v>0.922339730593607</v>
      </c>
      <c r="Z37" s="36" t="n">
        <f aca="false">CHOOSE(Dashboard!$C$4,Z34,Z35,Z36)</f>
        <v>0.843476239726028</v>
      </c>
      <c r="AA37" s="36" t="n">
        <f aca="false">CHOOSE(Dashboard!$C$4,AA34,AA35,AA36)</f>
        <v>0.88283044520548</v>
      </c>
      <c r="AB37" s="36" t="n">
        <f aca="false">CHOOSE(Dashboard!$C$4,AB34,AB35,AB36)</f>
        <v>0.922005321917808</v>
      </c>
      <c r="AC37" s="36" t="n">
        <f aca="false">CHOOSE(Dashboard!$C$4,AC34,AC35,AC36)</f>
        <v>0.882456561643836</v>
      </c>
      <c r="AD37" s="36" t="n">
        <f aca="false">CHOOSE(Dashboard!$C$4,AD34,AD35,AD36)</f>
        <v>0.882456561643836</v>
      </c>
      <c r="AE37" s="36" t="n">
        <f aca="false">CHOOSE(Dashboard!$C$4,AE34,AE35,AE36)</f>
        <v>0.92178651826484</v>
      </c>
      <c r="AF37" s="36" t="n">
        <f aca="false">CHOOSE(Dashboard!$C$4,AF34,AF35,AF36)</f>
        <v>0.882268210045662</v>
      </c>
      <c r="AG37" s="36" t="n">
        <f aca="false">CHOOSE(Dashboard!$C$4,AG34,AG35,AG36)</f>
        <v>0.882262006849315</v>
      </c>
      <c r="AH37" s="36" t="n">
        <f aca="false">CHOOSE(Dashboard!$C$4,AH34,AH35,AH36)</f>
        <v>0.921646664383562</v>
      </c>
      <c r="AI37" s="36" t="n">
        <f aca="false">CHOOSE(Dashboard!$C$4,AI34,AI35,AI36)</f>
        <v>0.882262006849315</v>
      </c>
      <c r="AJ37" s="36" t="n">
        <f aca="false">CHOOSE(Dashboard!$C$4,AJ34,AJ35,AJ36)</f>
        <v>0.842877349315069</v>
      </c>
      <c r="AK37" s="36" t="n">
        <f aca="false">CHOOSE(Dashboard!$C$4,AK34,AK35,AK36)</f>
        <v>0.921646664383562</v>
      </c>
      <c r="AL37" s="36" t="n">
        <f aca="false">CHOOSE(Dashboard!$C$4,AL34,AL35,AL36)</f>
        <v>0.882262006849315</v>
      </c>
      <c r="AM37" s="36" t="n">
        <f aca="false">CHOOSE(Dashboard!$C$4,AM34,AM35,AM36)</f>
        <v>0.882262006849315</v>
      </c>
      <c r="AN37" s="36" t="n">
        <f aca="false">CHOOSE(Dashboard!$C$4,AN34,AN35,AN36)</f>
        <v>0.921646664383562</v>
      </c>
      <c r="AO37" s="36" t="n">
        <f aca="false">CHOOSE(Dashboard!$C$4,AO34,AO35,AO36)</f>
        <v>0.882262006849315</v>
      </c>
      <c r="AP37" s="36" t="n">
        <f aca="false">CHOOSE(Dashboard!$C$4,AP34,AP35,AP36)</f>
        <v>0.882262006849315</v>
      </c>
      <c r="AQ37" s="36" t="n">
        <f aca="false">CHOOSE(Dashboard!$C$4,AQ34,AQ35,AQ36)</f>
        <v>0.921646664383562</v>
      </c>
      <c r="AR37" s="36" t="n">
        <f aca="false">CHOOSE(Dashboard!$C$4,AR34,AR35,AR36)</f>
        <v>0.882262006849315</v>
      </c>
      <c r="AS37" s="36" t="n">
        <f aca="false">CHOOSE(Dashboard!$C$4,AS34,AS35,AS36)</f>
        <v>0.882262006849315</v>
      </c>
      <c r="AT37" s="36" t="n">
        <f aca="false">CHOOSE(Dashboard!$C$4,AT34,AT35,AT36)</f>
        <v>0.856005568493151</v>
      </c>
      <c r="AU37" s="36" t="n">
        <f aca="false">CHOOSE(Dashboard!$C$4,AU34,AU35,AU36)</f>
        <v>0.882262006849315</v>
      </c>
      <c r="AV37" s="36" t="n">
        <f aca="false">CHOOSE(Dashboard!$C$4,AV34,AV35,AV36)</f>
        <v>0.882262006849315</v>
      </c>
      <c r="AW37" s="36" t="n">
        <f aca="false">CHOOSE(Dashboard!$C$4,AW34,AW35,AW36)</f>
        <v>0.921646664383562</v>
      </c>
      <c r="AX37" s="36" t="n">
        <f aca="false">CHOOSE(Dashboard!$C$4,AX34,AX35,AX36)</f>
        <v>0.882262006849315</v>
      </c>
      <c r="AY37" s="36" t="n">
        <f aca="false">CHOOSE(Dashboard!$C$4,AY34,AY35,AY36)</f>
        <v>0.882262006849315</v>
      </c>
      <c r="AZ37" s="36" t="n">
        <f aca="false">CHOOSE(Dashboard!$C$4,AZ34,AZ35,AZ36)</f>
        <v>0.921646664383562</v>
      </c>
      <c r="BA37" s="36" t="n">
        <f aca="false">CHOOSE(Dashboard!$C$4,BA34,BA35,BA36)</f>
        <v>0.882262006849315</v>
      </c>
      <c r="BB37" s="36" t="n">
        <f aca="false">CHOOSE(Dashboard!$C$4,BB34,BB35,BB36)</f>
        <v>0.882262006849315</v>
      </c>
      <c r="BC37" s="36" t="n">
        <f aca="false">CHOOSE(Dashboard!$C$4,BC34,BC35,BC36)</f>
        <v>0.921646664383562</v>
      </c>
      <c r="BD37" s="36" t="n">
        <f aca="false">CHOOSE(Dashboard!$C$4,BD34,BD35,BD36)</f>
        <v>0.842877349315069</v>
      </c>
      <c r="BE37" s="36" t="n">
        <f aca="false">CHOOSE(Dashboard!$C$4,BE34,BE35,BE36)</f>
        <v>0.882262006849315</v>
      </c>
      <c r="BF37" s="36" t="n">
        <f aca="false">CHOOSE(Dashboard!$C$4,BF34,BF35,BF36)</f>
        <v>0.921646664383562</v>
      </c>
      <c r="BG37" s="36" t="n">
        <f aca="false">CHOOSE(Dashboard!$C$4,BG34,BG35,BG36)</f>
        <v>0.882262006849315</v>
      </c>
      <c r="BH37" s="36" t="n">
        <f aca="false">CHOOSE(Dashboard!$C$4,BH34,BH35,BH36)</f>
        <v>0.882262006849315</v>
      </c>
      <c r="BI37" s="36" t="n">
        <f aca="false">CHOOSE(Dashboard!$C$4,BI34,BI35,BI36)</f>
        <v>0.921646664383562</v>
      </c>
      <c r="BJ37" s="36" t="n">
        <f aca="false">CHOOSE(Dashboard!$C$4,BJ34,BJ35,BJ36)</f>
        <v>0.882262006849315</v>
      </c>
      <c r="BK37" s="36" t="n">
        <f aca="false">CHOOSE(Dashboard!$C$4,BK34,BK35,BK36)</f>
        <v>0.882262006849315</v>
      </c>
      <c r="BL37" s="36" t="n">
        <f aca="false">CHOOSE(Dashboard!$C$4,BL34,BL35,BL36)</f>
        <v>0.921646664383562</v>
      </c>
      <c r="BM37" s="36" t="n">
        <f aca="false">CHOOSE(Dashboard!$C$4,BM34,BM35,BM36)</f>
        <v>0.882262006849315</v>
      </c>
      <c r="BN37" s="36" t="n">
        <f aca="false">CHOOSE(Dashboard!$C$4,BN34,BN35,BN36)</f>
        <v>0.842877349315069</v>
      </c>
    </row>
    <row r="38" customFormat="false" ht="15" hidden="false" customHeight="false" outlineLevel="0" collapsed="false">
      <c r="A38" s="1"/>
      <c r="B38" s="8" t="s">
        <v>253</v>
      </c>
      <c r="C38" s="1"/>
      <c r="D38" s="1"/>
      <c r="E38" s="1"/>
      <c r="F38" s="1"/>
      <c r="G38" s="35" t="n">
        <v>1.03990700012365</v>
      </c>
      <c r="H38" s="35" t="n">
        <v>1.03565907136879</v>
      </c>
      <c r="I38" s="35" t="n">
        <v>1.03580587067073</v>
      </c>
      <c r="J38" s="35" t="n">
        <v>1.04009505718608</v>
      </c>
      <c r="K38" s="35" t="n">
        <v>1.03582837547305</v>
      </c>
      <c r="L38" s="35" t="n">
        <v>1.03585654000922</v>
      </c>
      <c r="M38" s="35" t="n">
        <v>1.04022192031631</v>
      </c>
      <c r="N38" s="35" t="n">
        <v>1.03592049067716</v>
      </c>
      <c r="O38" s="35" t="n">
        <v>1.03594870460609</v>
      </c>
      <c r="P38" s="35" t="n">
        <v>1.03769186573464</v>
      </c>
      <c r="Q38" s="35" t="n">
        <v>1.03610400430152</v>
      </c>
      <c r="R38" s="35" t="n">
        <v>1.03618550792143</v>
      </c>
      <c r="S38" s="35" t="n">
        <v>1.04066054352839</v>
      </c>
      <c r="T38" s="35" t="n">
        <v>1.03629538912641</v>
      </c>
      <c r="U38" s="35" t="n">
        <v>1.03634654984298</v>
      </c>
      <c r="V38" s="35" t="n">
        <v>1.04092057060876</v>
      </c>
      <c r="W38" s="35" t="n">
        <v>1.03643379621062</v>
      </c>
      <c r="X38" s="35" t="n">
        <v>1.0364319781634</v>
      </c>
      <c r="Y38" s="35" t="n">
        <v>1.04100420896109</v>
      </c>
      <c r="Z38" s="35" t="n">
        <v>1.04088914134979</v>
      </c>
      <c r="AA38" s="35" t="n">
        <v>1.03656314609563</v>
      </c>
      <c r="AB38" s="35" t="n">
        <v>1.04113229585782</v>
      </c>
      <c r="AC38" s="35" t="n">
        <v>1.03659009901988</v>
      </c>
      <c r="AD38" s="35" t="n">
        <v>1.03658844766866</v>
      </c>
      <c r="AE38" s="35" t="n">
        <v>1.04119433508985</v>
      </c>
      <c r="AF38" s="35" t="n">
        <v>1.0366383055898</v>
      </c>
      <c r="AG38" s="35" t="n">
        <v>1.03670502077439</v>
      </c>
      <c r="AH38" s="35" t="n">
        <v>1.04138930293843</v>
      </c>
      <c r="AI38" s="35" t="n">
        <v>1.03673252489766</v>
      </c>
      <c r="AJ38" s="35" t="n">
        <v>1.0407832629047</v>
      </c>
      <c r="AK38" s="35" t="n">
        <v>1.04145943921591</v>
      </c>
      <c r="AL38" s="35" t="n">
        <v>1.03675866115355</v>
      </c>
      <c r="AM38" s="35" t="n">
        <v>1.03675727704155</v>
      </c>
      <c r="AN38" s="35" t="n">
        <v>1.04150018178059</v>
      </c>
      <c r="AO38" s="35" t="n">
        <v>1.03675450881753</v>
      </c>
      <c r="AP38" s="35" t="n">
        <v>1.03678347076091</v>
      </c>
      <c r="AQ38" s="35" t="n">
        <v>1.04164407901746</v>
      </c>
      <c r="AR38" s="35" t="n">
        <v>1.03685669671192</v>
      </c>
      <c r="AS38" s="35" t="n">
        <v>1.03687820049789</v>
      </c>
      <c r="AT38" s="35" t="n">
        <v>1.03800768515735</v>
      </c>
      <c r="AU38" s="35" t="n">
        <v>1.03695167479473</v>
      </c>
      <c r="AV38" s="35" t="n">
        <v>1.03695819332311</v>
      </c>
      <c r="AW38" s="35" t="n">
        <v>1.041918419614</v>
      </c>
      <c r="AX38" s="35" t="n">
        <v>1.0370472502008</v>
      </c>
      <c r="AY38" s="35" t="n">
        <v>1.03714495479215</v>
      </c>
      <c r="AZ38" s="35" t="n">
        <v>1.04205637129069</v>
      </c>
      <c r="BA38" s="35" t="n">
        <v>1.03723434984374</v>
      </c>
      <c r="BB38" s="35" t="n">
        <v>1.03726394951588</v>
      </c>
      <c r="BC38" s="35" t="n">
        <v>1.04223896726945</v>
      </c>
      <c r="BD38" s="35" t="n">
        <v>1.0408382335851</v>
      </c>
      <c r="BE38" s="35" t="n">
        <v>1.03739090312362</v>
      </c>
      <c r="BF38" s="35" t="n">
        <v>1.04238510638953</v>
      </c>
      <c r="BG38" s="35" t="n">
        <v>1.03743528783457</v>
      </c>
      <c r="BH38" s="35" t="n">
        <v>1.03744993705857</v>
      </c>
      <c r="BI38" s="35" t="n">
        <v>1.04248733211908</v>
      </c>
      <c r="BJ38" s="35" t="n">
        <v>1.03747171629691</v>
      </c>
      <c r="BK38" s="35" t="n">
        <v>1.03753203825422</v>
      </c>
      <c r="BL38" s="35" t="n">
        <v>1.04261197057708</v>
      </c>
      <c r="BM38" s="35" t="n">
        <v>1.03756919850235</v>
      </c>
      <c r="BN38" s="35" t="n">
        <v>1.04085620046546</v>
      </c>
    </row>
    <row r="39" customFormat="false" ht="15" hidden="false" customHeight="false" outlineLevel="0" collapsed="false">
      <c r="A39" s="1"/>
      <c r="B39" s="8" t="s">
        <v>254</v>
      </c>
      <c r="C39" s="1"/>
      <c r="D39" s="1"/>
      <c r="E39" s="1"/>
      <c r="F39" s="1"/>
      <c r="G39" s="35" t="n">
        <v>1.04053926251087</v>
      </c>
      <c r="H39" s="35" t="n">
        <v>1.03695778058973</v>
      </c>
      <c r="I39" s="35" t="n">
        <v>1.03705331866881</v>
      </c>
      <c r="J39" s="35" t="n">
        <v>1.0407407683777</v>
      </c>
      <c r="K39" s="35" t="n">
        <v>1.03697007785301</v>
      </c>
      <c r="L39" s="35" t="n">
        <v>1.03705796974972</v>
      </c>
      <c r="M39" s="35" t="n">
        <v>1.0409445369075</v>
      </c>
      <c r="N39" s="35" t="n">
        <v>1.03710714975033</v>
      </c>
      <c r="O39" s="35" t="n">
        <v>1.03712423394387</v>
      </c>
      <c r="P39" s="35" t="n">
        <v>1.03789085738631</v>
      </c>
      <c r="Q39" s="35" t="n">
        <v>1.03727629989974</v>
      </c>
      <c r="R39" s="35" t="n">
        <v>1.03734097276687</v>
      </c>
      <c r="S39" s="35" t="n">
        <v>1.04152259527224</v>
      </c>
      <c r="T39" s="35" t="n">
        <v>1.03739424815116</v>
      </c>
      <c r="U39" s="35" t="n">
        <v>1.03761567708439</v>
      </c>
      <c r="V39" s="35" t="n">
        <v>1.04185698600097</v>
      </c>
      <c r="W39" s="35" t="n">
        <v>1.03785637131479</v>
      </c>
      <c r="X39" s="35" t="n">
        <v>1.03794581602483</v>
      </c>
      <c r="Y39" s="35" t="n">
        <v>1.04229458570906</v>
      </c>
      <c r="Z39" s="35" t="n">
        <v>1.04106867992334</v>
      </c>
      <c r="AA39" s="35" t="n">
        <v>1.03807083703827</v>
      </c>
      <c r="AB39" s="35" t="n">
        <v>1.04269667639602</v>
      </c>
      <c r="AC39" s="35" t="n">
        <v>1.03841751120101</v>
      </c>
      <c r="AD39" s="35" t="n">
        <v>1.03840782289596</v>
      </c>
      <c r="AE39" s="35" t="n">
        <v>1.04299024519529</v>
      </c>
      <c r="AF39" s="35" t="n">
        <v>1.03857272855318</v>
      </c>
      <c r="AG39" s="35" t="n">
        <v>1.03856951772907</v>
      </c>
      <c r="AH39" s="35" t="n">
        <v>1.0431809559232</v>
      </c>
      <c r="AI39" s="35" t="n">
        <v>1.03856951772907</v>
      </c>
      <c r="AJ39" s="35" t="n">
        <v>1.04128360366777</v>
      </c>
      <c r="AK39" s="35" t="n">
        <v>1.0431809559232</v>
      </c>
      <c r="AL39" s="35" t="n">
        <v>1.03856951772907</v>
      </c>
      <c r="AM39" s="35" t="n">
        <v>1.03856951772907</v>
      </c>
      <c r="AN39" s="35" t="n">
        <v>1.0431809559232</v>
      </c>
      <c r="AO39" s="35" t="n">
        <v>1.03856951772907</v>
      </c>
      <c r="AP39" s="35" t="n">
        <v>1.03856951772907</v>
      </c>
      <c r="AQ39" s="35" t="n">
        <v>1.0431809559232</v>
      </c>
      <c r="AR39" s="35" t="n">
        <v>1.03856951772907</v>
      </c>
      <c r="AS39" s="35" t="n">
        <v>1.03856951772907</v>
      </c>
      <c r="AT39" s="35" t="n">
        <v>1.03877011499768</v>
      </c>
      <c r="AU39" s="35" t="n">
        <v>1.03856951772907</v>
      </c>
      <c r="AV39" s="35" t="n">
        <v>1.03856951772907</v>
      </c>
      <c r="AW39" s="35" t="n">
        <v>1.0431809559232</v>
      </c>
      <c r="AX39" s="35" t="n">
        <v>1.03856951772907</v>
      </c>
      <c r="AY39" s="35" t="n">
        <v>1.03856951772907</v>
      </c>
      <c r="AZ39" s="35" t="n">
        <v>1.0431809559232</v>
      </c>
      <c r="BA39" s="35" t="n">
        <v>1.03856951772907</v>
      </c>
      <c r="BB39" s="35" t="n">
        <v>1.03856951772907</v>
      </c>
      <c r="BC39" s="35" t="n">
        <v>1.0431809559232</v>
      </c>
      <c r="BD39" s="35" t="n">
        <v>1.04128360366777</v>
      </c>
      <c r="BE39" s="35" t="n">
        <v>1.03856951772907</v>
      </c>
      <c r="BF39" s="35" t="n">
        <v>1.0431809559232</v>
      </c>
      <c r="BG39" s="35" t="n">
        <v>1.03856951772907</v>
      </c>
      <c r="BH39" s="35" t="n">
        <v>1.03856951772907</v>
      </c>
      <c r="BI39" s="35" t="n">
        <v>1.0431809559232</v>
      </c>
      <c r="BJ39" s="35" t="n">
        <v>1.03856951772907</v>
      </c>
      <c r="BK39" s="35" t="n">
        <v>1.03856951772907</v>
      </c>
      <c r="BL39" s="35" t="n">
        <v>1.0431809559232</v>
      </c>
      <c r="BM39" s="35" t="n">
        <v>1.03856951772907</v>
      </c>
      <c r="BN39" s="35" t="n">
        <v>1.04128360366777</v>
      </c>
    </row>
    <row r="40" customFormat="false" ht="15" hidden="false" customHeight="false" outlineLevel="0" collapsed="false">
      <c r="A40" s="1"/>
      <c r="B40" s="8" t="s">
        <v>255</v>
      </c>
      <c r="C40" s="1"/>
      <c r="D40" s="1"/>
      <c r="E40" s="1"/>
      <c r="F40" s="1"/>
      <c r="G40" s="35" t="n">
        <v>1.04124367365065</v>
      </c>
      <c r="H40" s="35" t="n">
        <v>1.03729337929664</v>
      </c>
      <c r="I40" s="35" t="n">
        <v>1.03720069292356</v>
      </c>
      <c r="J40" s="35" t="n">
        <v>1.04102534514797</v>
      </c>
      <c r="K40" s="35" t="n">
        <v>1.03694850852079</v>
      </c>
      <c r="L40" s="35" t="n">
        <v>1.0368791150908</v>
      </c>
      <c r="M40" s="35" t="n">
        <v>1.04127636372027</v>
      </c>
      <c r="N40" s="35" t="n">
        <v>1.03688584633472</v>
      </c>
      <c r="O40" s="35" t="n">
        <v>1.03690361382098</v>
      </c>
      <c r="P40" s="35" t="n">
        <v>1.03754069529006</v>
      </c>
      <c r="Q40" s="35" t="n">
        <v>1.03684355142527</v>
      </c>
      <c r="R40" s="35" t="n">
        <v>1.03680377222706</v>
      </c>
      <c r="S40" s="35" t="n">
        <v>1.04162986850275</v>
      </c>
      <c r="T40" s="35" t="n">
        <v>1.03676311980761</v>
      </c>
      <c r="U40" s="35" t="n">
        <v>1.03675226262443</v>
      </c>
      <c r="V40" s="35" t="n">
        <v>1.04172836497246</v>
      </c>
      <c r="W40" s="35" t="n">
        <v>1.03668490673234</v>
      </c>
      <c r="X40" s="35" t="n">
        <v>1.03668490673234</v>
      </c>
      <c r="Y40" s="35" t="n">
        <v>1.04172836497246</v>
      </c>
      <c r="Z40" s="35" t="n">
        <v>1.03969893180661</v>
      </c>
      <c r="AA40" s="35" t="n">
        <v>1.03668490673234</v>
      </c>
      <c r="AB40" s="35" t="n">
        <v>1.04172836497246</v>
      </c>
      <c r="AC40" s="35" t="n">
        <v>1.03668490673234</v>
      </c>
      <c r="AD40" s="35" t="n">
        <v>1.03668490673234</v>
      </c>
      <c r="AE40" s="35" t="n">
        <v>1.04172836497246</v>
      </c>
      <c r="AF40" s="35" t="n">
        <v>1.03668490673234</v>
      </c>
      <c r="AG40" s="35" t="n">
        <v>1.03668490673234</v>
      </c>
      <c r="AH40" s="35" t="n">
        <v>1.04172836497246</v>
      </c>
      <c r="AI40" s="35" t="n">
        <v>1.03668490673234</v>
      </c>
      <c r="AJ40" s="35" t="n">
        <v>1.03969893180661</v>
      </c>
      <c r="AK40" s="35" t="n">
        <v>1.04172836497246</v>
      </c>
      <c r="AL40" s="35" t="n">
        <v>1.03668490673234</v>
      </c>
      <c r="AM40" s="35" t="n">
        <v>1.03668490673234</v>
      </c>
      <c r="AN40" s="35" t="n">
        <v>1.04172836497246</v>
      </c>
      <c r="AO40" s="35" t="n">
        <v>1.03668490673234</v>
      </c>
      <c r="AP40" s="35" t="n">
        <v>1.03668490673234</v>
      </c>
      <c r="AQ40" s="35" t="n">
        <v>1.04172836497246</v>
      </c>
      <c r="AR40" s="35" t="n">
        <v>1.03668490673234</v>
      </c>
      <c r="AS40" s="35" t="n">
        <v>1.03668490673234</v>
      </c>
      <c r="AT40" s="35" t="n">
        <v>1.03721416858549</v>
      </c>
      <c r="AU40" s="35" t="n">
        <v>1.03668490673234</v>
      </c>
      <c r="AV40" s="35" t="n">
        <v>1.03668490673234</v>
      </c>
      <c r="AW40" s="35" t="n">
        <v>1.04172836497246</v>
      </c>
      <c r="AX40" s="35" t="n">
        <v>1.03668490673234</v>
      </c>
      <c r="AY40" s="35" t="n">
        <v>1.03668490673234</v>
      </c>
      <c r="AZ40" s="35" t="n">
        <v>1.04172836497246</v>
      </c>
      <c r="BA40" s="35" t="n">
        <v>1.03668490673234</v>
      </c>
      <c r="BB40" s="35" t="n">
        <v>1.03668490673234</v>
      </c>
      <c r="BC40" s="35" t="n">
        <v>1.04172836497246</v>
      </c>
      <c r="BD40" s="35" t="n">
        <v>1.03969893180661</v>
      </c>
      <c r="BE40" s="35" t="n">
        <v>1.03668490673234</v>
      </c>
      <c r="BF40" s="35" t="n">
        <v>1.04172836497246</v>
      </c>
      <c r="BG40" s="35" t="n">
        <v>1.03668490673234</v>
      </c>
      <c r="BH40" s="35" t="n">
        <v>1.03668490673234</v>
      </c>
      <c r="BI40" s="35" t="n">
        <v>1.04172836497246</v>
      </c>
      <c r="BJ40" s="35" t="n">
        <v>1.03668490673234</v>
      </c>
      <c r="BK40" s="35" t="n">
        <v>1.03668490673234</v>
      </c>
      <c r="BL40" s="35" t="n">
        <v>1.04172836497246</v>
      </c>
      <c r="BM40" s="35" t="n">
        <v>1.03668490673234</v>
      </c>
      <c r="BN40" s="35" t="n">
        <v>1.03969893180661</v>
      </c>
    </row>
    <row r="41" customFormat="false" ht="15" hidden="false" customHeight="false" outlineLevel="0" collapsed="false">
      <c r="A41" s="1"/>
      <c r="B41" s="4" t="s">
        <v>256</v>
      </c>
      <c r="C41" s="1"/>
      <c r="D41" s="1"/>
      <c r="E41" s="1"/>
      <c r="F41" s="1"/>
      <c r="G41" s="36" t="n">
        <f aca="false">CHOOSE(Dashboard!$C$4,G38,G39,G40)</f>
        <v>1.04053926251087</v>
      </c>
      <c r="H41" s="36" t="n">
        <f aca="false">CHOOSE(Dashboard!$C$4,H38,H39,H40)</f>
        <v>1.03695778058973</v>
      </c>
      <c r="I41" s="36" t="n">
        <f aca="false">CHOOSE(Dashboard!$C$4,I38,I39,I40)</f>
        <v>1.03705331866881</v>
      </c>
      <c r="J41" s="36" t="n">
        <f aca="false">CHOOSE(Dashboard!$C$4,J38,J39,J40)</f>
        <v>1.0407407683777</v>
      </c>
      <c r="K41" s="36" t="n">
        <f aca="false">CHOOSE(Dashboard!$C$4,K38,K39,K40)</f>
        <v>1.03697007785301</v>
      </c>
      <c r="L41" s="36" t="n">
        <f aca="false">CHOOSE(Dashboard!$C$4,L38,L39,L40)</f>
        <v>1.03705796974972</v>
      </c>
      <c r="M41" s="36" t="n">
        <f aca="false">CHOOSE(Dashboard!$C$4,M38,M39,M40)</f>
        <v>1.0409445369075</v>
      </c>
      <c r="N41" s="36" t="n">
        <f aca="false">CHOOSE(Dashboard!$C$4,N38,N39,N40)</f>
        <v>1.03710714975033</v>
      </c>
      <c r="O41" s="36" t="n">
        <f aca="false">CHOOSE(Dashboard!$C$4,O38,O39,O40)</f>
        <v>1.03712423394387</v>
      </c>
      <c r="P41" s="36" t="n">
        <f aca="false">CHOOSE(Dashboard!$C$4,P38,P39,P40)</f>
        <v>1.03789085738631</v>
      </c>
      <c r="Q41" s="36" t="n">
        <f aca="false">CHOOSE(Dashboard!$C$4,Q38,Q39,Q40)</f>
        <v>1.03727629989974</v>
      </c>
      <c r="R41" s="36" t="n">
        <f aca="false">CHOOSE(Dashboard!$C$4,R38,R39,R40)</f>
        <v>1.03734097276687</v>
      </c>
      <c r="S41" s="36" t="n">
        <f aca="false">CHOOSE(Dashboard!$C$4,S38,S39,S40)</f>
        <v>1.04152259527224</v>
      </c>
      <c r="T41" s="36" t="n">
        <f aca="false">CHOOSE(Dashboard!$C$4,T38,T39,T40)</f>
        <v>1.03739424815116</v>
      </c>
      <c r="U41" s="36" t="n">
        <f aca="false">CHOOSE(Dashboard!$C$4,U38,U39,U40)</f>
        <v>1.03761567708439</v>
      </c>
      <c r="V41" s="36" t="n">
        <f aca="false">CHOOSE(Dashboard!$C$4,V38,V39,V40)</f>
        <v>1.04185698600097</v>
      </c>
      <c r="W41" s="36" t="n">
        <f aca="false">CHOOSE(Dashboard!$C$4,W38,W39,W40)</f>
        <v>1.03785637131479</v>
      </c>
      <c r="X41" s="36" t="n">
        <f aca="false">CHOOSE(Dashboard!$C$4,X38,X39,X40)</f>
        <v>1.03794581602483</v>
      </c>
      <c r="Y41" s="36" t="n">
        <f aca="false">CHOOSE(Dashboard!$C$4,Y38,Y39,Y40)</f>
        <v>1.04229458570906</v>
      </c>
      <c r="Z41" s="36" t="n">
        <f aca="false">CHOOSE(Dashboard!$C$4,Z38,Z39,Z40)</f>
        <v>1.04106867992334</v>
      </c>
      <c r="AA41" s="36" t="n">
        <f aca="false">CHOOSE(Dashboard!$C$4,AA38,AA39,AA40)</f>
        <v>1.03807083703827</v>
      </c>
      <c r="AB41" s="36" t="n">
        <f aca="false">CHOOSE(Dashboard!$C$4,AB38,AB39,AB40)</f>
        <v>1.04269667639602</v>
      </c>
      <c r="AC41" s="36" t="n">
        <f aca="false">CHOOSE(Dashboard!$C$4,AC38,AC39,AC40)</f>
        <v>1.03841751120101</v>
      </c>
      <c r="AD41" s="36" t="n">
        <f aca="false">CHOOSE(Dashboard!$C$4,AD38,AD39,AD40)</f>
        <v>1.03840782289596</v>
      </c>
      <c r="AE41" s="36" t="n">
        <f aca="false">CHOOSE(Dashboard!$C$4,AE38,AE39,AE40)</f>
        <v>1.04299024519529</v>
      </c>
      <c r="AF41" s="36" t="n">
        <f aca="false">CHOOSE(Dashboard!$C$4,AF38,AF39,AF40)</f>
        <v>1.03857272855318</v>
      </c>
      <c r="AG41" s="36" t="n">
        <f aca="false">CHOOSE(Dashboard!$C$4,AG38,AG39,AG40)</f>
        <v>1.03856951772907</v>
      </c>
      <c r="AH41" s="36" t="n">
        <f aca="false">CHOOSE(Dashboard!$C$4,AH38,AH39,AH40)</f>
        <v>1.0431809559232</v>
      </c>
      <c r="AI41" s="36" t="n">
        <f aca="false">CHOOSE(Dashboard!$C$4,AI38,AI39,AI40)</f>
        <v>1.03856951772907</v>
      </c>
      <c r="AJ41" s="36" t="n">
        <f aca="false">CHOOSE(Dashboard!$C$4,AJ38,AJ39,AJ40)</f>
        <v>1.04128360366777</v>
      </c>
      <c r="AK41" s="36" t="n">
        <f aca="false">CHOOSE(Dashboard!$C$4,AK38,AK39,AK40)</f>
        <v>1.0431809559232</v>
      </c>
      <c r="AL41" s="36" t="n">
        <f aca="false">CHOOSE(Dashboard!$C$4,AL38,AL39,AL40)</f>
        <v>1.03856951772907</v>
      </c>
      <c r="AM41" s="36" t="n">
        <f aca="false">CHOOSE(Dashboard!$C$4,AM38,AM39,AM40)</f>
        <v>1.03856951772907</v>
      </c>
      <c r="AN41" s="36" t="n">
        <f aca="false">CHOOSE(Dashboard!$C$4,AN38,AN39,AN40)</f>
        <v>1.0431809559232</v>
      </c>
      <c r="AO41" s="36" t="n">
        <f aca="false">CHOOSE(Dashboard!$C$4,AO38,AO39,AO40)</f>
        <v>1.03856951772907</v>
      </c>
      <c r="AP41" s="36" t="n">
        <f aca="false">CHOOSE(Dashboard!$C$4,AP38,AP39,AP40)</f>
        <v>1.03856951772907</v>
      </c>
      <c r="AQ41" s="36" t="n">
        <f aca="false">CHOOSE(Dashboard!$C$4,AQ38,AQ39,AQ40)</f>
        <v>1.0431809559232</v>
      </c>
      <c r="AR41" s="36" t="n">
        <f aca="false">CHOOSE(Dashboard!$C$4,AR38,AR39,AR40)</f>
        <v>1.03856951772907</v>
      </c>
      <c r="AS41" s="36" t="n">
        <f aca="false">CHOOSE(Dashboard!$C$4,AS38,AS39,AS40)</f>
        <v>1.03856951772907</v>
      </c>
      <c r="AT41" s="36" t="n">
        <f aca="false">CHOOSE(Dashboard!$C$4,AT38,AT39,AT40)</f>
        <v>1.03877011499768</v>
      </c>
      <c r="AU41" s="36" t="n">
        <f aca="false">CHOOSE(Dashboard!$C$4,AU38,AU39,AU40)</f>
        <v>1.03856951772907</v>
      </c>
      <c r="AV41" s="36" t="n">
        <f aca="false">CHOOSE(Dashboard!$C$4,AV38,AV39,AV40)</f>
        <v>1.03856951772907</v>
      </c>
      <c r="AW41" s="36" t="n">
        <f aca="false">CHOOSE(Dashboard!$C$4,AW38,AW39,AW40)</f>
        <v>1.0431809559232</v>
      </c>
      <c r="AX41" s="36" t="n">
        <f aca="false">CHOOSE(Dashboard!$C$4,AX38,AX39,AX40)</f>
        <v>1.03856951772907</v>
      </c>
      <c r="AY41" s="36" t="n">
        <f aca="false">CHOOSE(Dashboard!$C$4,AY38,AY39,AY40)</f>
        <v>1.03856951772907</v>
      </c>
      <c r="AZ41" s="36" t="n">
        <f aca="false">CHOOSE(Dashboard!$C$4,AZ38,AZ39,AZ40)</f>
        <v>1.0431809559232</v>
      </c>
      <c r="BA41" s="36" t="n">
        <f aca="false">CHOOSE(Dashboard!$C$4,BA38,BA39,BA40)</f>
        <v>1.03856951772907</v>
      </c>
      <c r="BB41" s="36" t="n">
        <f aca="false">CHOOSE(Dashboard!$C$4,BB38,BB39,BB40)</f>
        <v>1.03856951772907</v>
      </c>
      <c r="BC41" s="36" t="n">
        <f aca="false">CHOOSE(Dashboard!$C$4,BC38,BC39,BC40)</f>
        <v>1.0431809559232</v>
      </c>
      <c r="BD41" s="36" t="n">
        <f aca="false">CHOOSE(Dashboard!$C$4,BD38,BD39,BD40)</f>
        <v>1.04128360366777</v>
      </c>
      <c r="BE41" s="36" t="n">
        <f aca="false">CHOOSE(Dashboard!$C$4,BE38,BE39,BE40)</f>
        <v>1.03856951772907</v>
      </c>
      <c r="BF41" s="36" t="n">
        <f aca="false">CHOOSE(Dashboard!$C$4,BF38,BF39,BF40)</f>
        <v>1.0431809559232</v>
      </c>
      <c r="BG41" s="36" t="n">
        <f aca="false">CHOOSE(Dashboard!$C$4,BG38,BG39,BG40)</f>
        <v>1.03856951772907</v>
      </c>
      <c r="BH41" s="36" t="n">
        <f aca="false">CHOOSE(Dashboard!$C$4,BH38,BH39,BH40)</f>
        <v>1.03856951772907</v>
      </c>
      <c r="BI41" s="36" t="n">
        <f aca="false">CHOOSE(Dashboard!$C$4,BI38,BI39,BI40)</f>
        <v>1.0431809559232</v>
      </c>
      <c r="BJ41" s="36" t="n">
        <f aca="false">CHOOSE(Dashboard!$C$4,BJ38,BJ39,BJ40)</f>
        <v>1.03856951772907</v>
      </c>
      <c r="BK41" s="36" t="n">
        <f aca="false">CHOOSE(Dashboard!$C$4,BK38,BK39,BK40)</f>
        <v>1.03856951772907</v>
      </c>
      <c r="BL41" s="36" t="n">
        <f aca="false">CHOOSE(Dashboard!$C$4,BL38,BL39,BL40)</f>
        <v>1.0431809559232</v>
      </c>
      <c r="BM41" s="36" t="n">
        <f aca="false">CHOOSE(Dashboard!$C$4,BM38,BM39,BM40)</f>
        <v>1.03856951772907</v>
      </c>
      <c r="BN41" s="36" t="n">
        <f aca="false">CHOOSE(Dashboard!$C$4,BN38,BN39,BN40)</f>
        <v>1.04128360366777</v>
      </c>
    </row>
    <row r="42" customFormat="false" ht="15" hidden="false" customHeight="false" outlineLevel="0" collapsed="false">
      <c r="A42" s="1"/>
      <c r="B42" s="8" t="s">
        <v>261</v>
      </c>
      <c r="C42" s="1"/>
      <c r="D42" s="1"/>
      <c r="E42" s="1"/>
      <c r="F42" s="1"/>
      <c r="G42" s="35" t="n">
        <v>1.00188836701377</v>
      </c>
      <c r="H42" s="35" t="n">
        <v>1.00195780380231</v>
      </c>
      <c r="I42" s="35" t="n">
        <v>1.00196685463255</v>
      </c>
      <c r="J42" s="35" t="n">
        <v>1.00190733682513</v>
      </c>
      <c r="K42" s="35" t="n">
        <v>1.00197814352297</v>
      </c>
      <c r="L42" s="35" t="n">
        <v>1.00197988227572</v>
      </c>
      <c r="M42" s="35" t="n">
        <v>1.00191236802221</v>
      </c>
      <c r="N42" s="35" t="n">
        <v>1.00198325638217</v>
      </c>
      <c r="O42" s="35" t="n">
        <v>1.00198499551195</v>
      </c>
      <c r="P42" s="35" t="n">
        <v>1.00206999757641</v>
      </c>
      <c r="Q42" s="35" t="n">
        <v>1.00199418680693</v>
      </c>
      <c r="R42" s="35" t="n">
        <v>1.00199958900342</v>
      </c>
      <c r="S42" s="35" t="n">
        <v>1.00193305536206</v>
      </c>
      <c r="T42" s="35" t="n">
        <v>1.00200613519758</v>
      </c>
      <c r="U42" s="35" t="n">
        <v>1.0020092011448</v>
      </c>
      <c r="V42" s="35" t="n">
        <v>1.00194626356611</v>
      </c>
      <c r="W42" s="35" t="n">
        <v>1.00201502202976</v>
      </c>
      <c r="X42" s="35" t="n">
        <v>1.00201502202976</v>
      </c>
      <c r="Y42" s="35" t="n">
        <v>1.00194932241318</v>
      </c>
      <c r="Z42" s="35" t="n">
        <v>1.00213729408859</v>
      </c>
      <c r="AA42" s="35" t="n">
        <v>1.00202401531049</v>
      </c>
      <c r="AB42" s="35" t="n">
        <v>1.00195493944707</v>
      </c>
      <c r="AC42" s="35" t="n">
        <v>1.0020257572103</v>
      </c>
      <c r="AD42" s="35" t="n">
        <v>1.0020257572103</v>
      </c>
      <c r="AE42" s="35" t="n">
        <v>1.00195621848258</v>
      </c>
      <c r="AF42" s="35" t="n">
        <v>1.00202942336545</v>
      </c>
      <c r="AG42" s="35" t="n">
        <v>1.00203392193011</v>
      </c>
      <c r="AH42" s="35" t="n">
        <v>1.00196617693875</v>
      </c>
      <c r="AI42" s="35" t="n">
        <v>1.00203566448261</v>
      </c>
      <c r="AJ42" s="35" t="n">
        <v>1.00214962054284</v>
      </c>
      <c r="AK42" s="35" t="n">
        <v>1.0019678577719</v>
      </c>
      <c r="AL42" s="35" t="n">
        <v>1.00203740715732</v>
      </c>
      <c r="AM42" s="35" t="n">
        <v>1.00203740715732</v>
      </c>
      <c r="AN42" s="35" t="n">
        <v>1.0019678577719</v>
      </c>
      <c r="AO42" s="35" t="n">
        <v>1.00203740715732</v>
      </c>
      <c r="AP42" s="35" t="n">
        <v>1.00203914995422</v>
      </c>
      <c r="AQ42" s="35" t="n">
        <v>1.00197485894013</v>
      </c>
      <c r="AR42" s="35" t="n">
        <v>1.00204466433202</v>
      </c>
      <c r="AS42" s="35" t="n">
        <v>1.00204599140957</v>
      </c>
      <c r="AT42" s="35" t="n">
        <v>1.0021292752842</v>
      </c>
      <c r="AU42" s="35" t="n">
        <v>1.00205150701572</v>
      </c>
      <c r="AV42" s="35" t="n">
        <v>1.00205192328832</v>
      </c>
      <c r="AW42" s="35" t="n">
        <v>1.00198748534419</v>
      </c>
      <c r="AX42" s="35" t="n">
        <v>1.00205775305819</v>
      </c>
      <c r="AY42" s="35" t="n">
        <v>1.00206400052482</v>
      </c>
      <c r="AZ42" s="35" t="n">
        <v>1.00199351171288</v>
      </c>
      <c r="BA42" s="35" t="n">
        <v>1.00206983284404</v>
      </c>
      <c r="BB42" s="35" t="n">
        <v>1.00207157777213</v>
      </c>
      <c r="BC42" s="35" t="n">
        <v>1.00200210184888</v>
      </c>
      <c r="BD42" s="35" t="n">
        <v>1.00219087593853</v>
      </c>
      <c r="BE42" s="35" t="n">
        <v>1.00208017231601</v>
      </c>
      <c r="BF42" s="35" t="n">
        <v>1.00200911134983</v>
      </c>
      <c r="BG42" s="35" t="n">
        <v>1.00208283008641</v>
      </c>
      <c r="BH42" s="35" t="n">
        <v>1.00208426214788</v>
      </c>
      <c r="BI42" s="35" t="n">
        <v>1.00201305664225</v>
      </c>
      <c r="BJ42" s="35" t="n">
        <v>1.00208559119901</v>
      </c>
      <c r="BK42" s="35" t="n">
        <v>1.00208968180594</v>
      </c>
      <c r="BL42" s="35" t="n">
        <v>1.0020182844918</v>
      </c>
      <c r="BM42" s="35" t="n">
        <v>1.00209244353406</v>
      </c>
      <c r="BN42" s="35" t="n">
        <v>1.00221155042862</v>
      </c>
    </row>
    <row r="43" customFormat="false" ht="15" hidden="false" customHeight="false" outlineLevel="0" collapsed="false">
      <c r="A43" s="1"/>
      <c r="B43" s="8" t="s">
        <v>262</v>
      </c>
      <c r="C43" s="1"/>
      <c r="D43" s="1"/>
      <c r="E43" s="1"/>
      <c r="F43" s="1"/>
      <c r="G43" s="35" t="n">
        <v>1.00181537755722</v>
      </c>
      <c r="H43" s="35" t="n">
        <v>1.00190208843553</v>
      </c>
      <c r="I43" s="35" t="n">
        <v>1.00190799199646</v>
      </c>
      <c r="J43" s="35" t="n">
        <v>1.00182984173228</v>
      </c>
      <c r="K43" s="35" t="n">
        <v>1.00191297212036</v>
      </c>
      <c r="L43" s="35" t="n">
        <v>1.00191852515673</v>
      </c>
      <c r="M43" s="35" t="n">
        <v>1.00183669877686</v>
      </c>
      <c r="N43" s="35" t="n">
        <v>1.00192310879123</v>
      </c>
      <c r="O43" s="35" t="n">
        <v>1.00192473139878</v>
      </c>
      <c r="P43" s="35" t="n">
        <v>1.00199079668762</v>
      </c>
      <c r="Q43" s="35" t="n">
        <v>1.00193592841273</v>
      </c>
      <c r="R43" s="35" t="n">
        <v>1.00194123057234</v>
      </c>
      <c r="S43" s="35" t="n">
        <v>1.00186246210745</v>
      </c>
      <c r="T43" s="35" t="n">
        <v>1.0019454779401</v>
      </c>
      <c r="U43" s="35" t="n">
        <v>1.00195928062109</v>
      </c>
      <c r="V43" s="35" t="n">
        <v>1.00187720719803</v>
      </c>
      <c r="W43" s="35" t="n">
        <v>1.00197577292484</v>
      </c>
      <c r="X43" s="35" t="n">
        <v>1.00198239637719</v>
      </c>
      <c r="Y43" s="35" t="n">
        <v>1.00189998911106</v>
      </c>
      <c r="Z43" s="35" t="n">
        <v>1.00208327080054</v>
      </c>
      <c r="AA43" s="35" t="n">
        <v>1.0019919624933</v>
      </c>
      <c r="AB43" s="35" t="n">
        <v>1.00191917665544</v>
      </c>
      <c r="AC43" s="35" t="n">
        <v>1.00201470205867</v>
      </c>
      <c r="AD43" s="35" t="n">
        <v>1.00201470205867</v>
      </c>
      <c r="AE43" s="35" t="n">
        <v>1.00193143935287</v>
      </c>
      <c r="AF43" s="35" t="n">
        <v>1.00202485155537</v>
      </c>
      <c r="AG43" s="35" t="n">
        <v>1.00202516470827</v>
      </c>
      <c r="AH43" s="35" t="n">
        <v>1.00193862349724</v>
      </c>
      <c r="AI43" s="35" t="n">
        <v>1.00202516470827</v>
      </c>
      <c r="AJ43" s="35" t="n">
        <v>1.00211979344465</v>
      </c>
      <c r="AK43" s="35" t="n">
        <v>1.00193862349724</v>
      </c>
      <c r="AL43" s="35" t="n">
        <v>1.00202516470827</v>
      </c>
      <c r="AM43" s="35" t="n">
        <v>1.00202516470827</v>
      </c>
      <c r="AN43" s="35" t="n">
        <v>1.00193862349724</v>
      </c>
      <c r="AO43" s="35" t="n">
        <v>1.00202516470827</v>
      </c>
      <c r="AP43" s="35" t="n">
        <v>1.00202516470827</v>
      </c>
      <c r="AQ43" s="35" t="n">
        <v>1.00193862349724</v>
      </c>
      <c r="AR43" s="35" t="n">
        <v>1.00202516470827</v>
      </c>
      <c r="AS43" s="35" t="n">
        <v>1.00202516470827</v>
      </c>
      <c r="AT43" s="35" t="n">
        <v>1.00208728301017</v>
      </c>
      <c r="AU43" s="35" t="n">
        <v>1.00202516470827</v>
      </c>
      <c r="AV43" s="35" t="n">
        <v>1.00202516470827</v>
      </c>
      <c r="AW43" s="35" t="n">
        <v>1.00193862349724</v>
      </c>
      <c r="AX43" s="35" t="n">
        <v>1.00202516470827</v>
      </c>
      <c r="AY43" s="35" t="n">
        <v>1.00202516470827</v>
      </c>
      <c r="AZ43" s="35" t="n">
        <v>1.00193862349724</v>
      </c>
      <c r="BA43" s="35" t="n">
        <v>1.00202516470827</v>
      </c>
      <c r="BB43" s="35" t="n">
        <v>1.00202516470827</v>
      </c>
      <c r="BC43" s="35" t="n">
        <v>1.00193862349724</v>
      </c>
      <c r="BD43" s="35" t="n">
        <v>1.00211979344465</v>
      </c>
      <c r="BE43" s="35" t="n">
        <v>1.00202516470827</v>
      </c>
      <c r="BF43" s="35" t="n">
        <v>1.00193862349724</v>
      </c>
      <c r="BG43" s="35" t="n">
        <v>1.00202516470827</v>
      </c>
      <c r="BH43" s="35" t="n">
        <v>1.00202516470827</v>
      </c>
      <c r="BI43" s="35" t="n">
        <v>1.00193862349724</v>
      </c>
      <c r="BJ43" s="35" t="n">
        <v>1.00202516470827</v>
      </c>
      <c r="BK43" s="35" t="n">
        <v>1.00202516470827</v>
      </c>
      <c r="BL43" s="35" t="n">
        <v>1.00193862349724</v>
      </c>
      <c r="BM43" s="35" t="n">
        <v>1.00202516470827</v>
      </c>
      <c r="BN43" s="35" t="n">
        <v>1.00211979344465</v>
      </c>
    </row>
    <row r="44" customFormat="false" ht="15" hidden="false" customHeight="false" outlineLevel="0" collapsed="false">
      <c r="A44" s="1"/>
      <c r="B44" s="8" t="s">
        <v>263</v>
      </c>
      <c r="C44" s="1"/>
      <c r="D44" s="1"/>
      <c r="E44" s="1"/>
      <c r="F44" s="1"/>
      <c r="G44" s="35" t="n">
        <v>1.00184022970367</v>
      </c>
      <c r="H44" s="35" t="n">
        <v>1.00194981574833</v>
      </c>
      <c r="I44" s="35" t="n">
        <v>1.00194698809061</v>
      </c>
      <c r="J44" s="35" t="n">
        <v>1.00182892707652</v>
      </c>
      <c r="K44" s="35" t="n">
        <v>1.00194606058469</v>
      </c>
      <c r="L44" s="35" t="n">
        <v>1.00194450362391</v>
      </c>
      <c r="M44" s="35" t="n">
        <v>1.00183755799586</v>
      </c>
      <c r="N44" s="35" t="n">
        <v>1.00194993040349</v>
      </c>
      <c r="O44" s="35" t="n">
        <v>1.0019530451061</v>
      </c>
      <c r="P44" s="35" t="n">
        <v>1.00198425167227</v>
      </c>
      <c r="Q44" s="35" t="n">
        <v>1.00195419743732</v>
      </c>
      <c r="R44" s="35" t="n">
        <v>1.00195419743732</v>
      </c>
      <c r="S44" s="35" t="n">
        <v>1.00184413158273</v>
      </c>
      <c r="T44" s="35" t="n">
        <v>1.00195691593459</v>
      </c>
      <c r="U44" s="35" t="n">
        <v>1.00195847367654</v>
      </c>
      <c r="V44" s="35" t="n">
        <v>1.00184425861596</v>
      </c>
      <c r="W44" s="35" t="n">
        <v>1.00195549335857</v>
      </c>
      <c r="X44" s="35" t="n">
        <v>1.00195549335857</v>
      </c>
      <c r="Y44" s="35" t="n">
        <v>1.00184425861596</v>
      </c>
      <c r="Z44" s="35" t="n">
        <v>1.00201629895641</v>
      </c>
      <c r="AA44" s="35" t="n">
        <v>1.00195549335857</v>
      </c>
      <c r="AB44" s="35" t="n">
        <v>1.00184425861596</v>
      </c>
      <c r="AC44" s="35" t="n">
        <v>1.00195549335857</v>
      </c>
      <c r="AD44" s="35" t="n">
        <v>1.00195549335857</v>
      </c>
      <c r="AE44" s="35" t="n">
        <v>1.00184425861596</v>
      </c>
      <c r="AF44" s="35" t="n">
        <v>1.00195549335857</v>
      </c>
      <c r="AG44" s="35" t="n">
        <v>1.00195549335857</v>
      </c>
      <c r="AH44" s="35" t="n">
        <v>1.00184425861596</v>
      </c>
      <c r="AI44" s="35" t="n">
        <v>1.00195549335857</v>
      </c>
      <c r="AJ44" s="35" t="n">
        <v>1.00201629895641</v>
      </c>
      <c r="AK44" s="35" t="n">
        <v>1.00184425861596</v>
      </c>
      <c r="AL44" s="35" t="n">
        <v>1.00195549335857</v>
      </c>
      <c r="AM44" s="35" t="n">
        <v>1.00195549335857</v>
      </c>
      <c r="AN44" s="35" t="n">
        <v>1.00184425861596</v>
      </c>
      <c r="AO44" s="35" t="n">
        <v>1.00195549335857</v>
      </c>
      <c r="AP44" s="35" t="n">
        <v>1.00195549335857</v>
      </c>
      <c r="AQ44" s="35" t="n">
        <v>1.00184425861596</v>
      </c>
      <c r="AR44" s="35" t="n">
        <v>1.00195549335857</v>
      </c>
      <c r="AS44" s="35" t="n">
        <v>1.00195549335857</v>
      </c>
      <c r="AT44" s="35" t="n">
        <v>1.0019854307101</v>
      </c>
      <c r="AU44" s="35" t="n">
        <v>1.00195549335857</v>
      </c>
      <c r="AV44" s="35" t="n">
        <v>1.00195549335857</v>
      </c>
      <c r="AW44" s="35" t="n">
        <v>1.00184425861596</v>
      </c>
      <c r="AX44" s="35" t="n">
        <v>1.00195549335857</v>
      </c>
      <c r="AY44" s="35" t="n">
        <v>1.00195549335857</v>
      </c>
      <c r="AZ44" s="35" t="n">
        <v>1.00184425861596</v>
      </c>
      <c r="BA44" s="35" t="n">
        <v>1.00195549335857</v>
      </c>
      <c r="BB44" s="35" t="n">
        <v>1.00195549335857</v>
      </c>
      <c r="BC44" s="35" t="n">
        <v>1.00184425861596</v>
      </c>
      <c r="BD44" s="35" t="n">
        <v>1.00201629895641</v>
      </c>
      <c r="BE44" s="35" t="n">
        <v>1.00195549335857</v>
      </c>
      <c r="BF44" s="35" t="n">
        <v>1.00184425861596</v>
      </c>
      <c r="BG44" s="35" t="n">
        <v>1.00195549335857</v>
      </c>
      <c r="BH44" s="35" t="n">
        <v>1.00195549335857</v>
      </c>
      <c r="BI44" s="35" t="n">
        <v>1.00184425861596</v>
      </c>
      <c r="BJ44" s="35" t="n">
        <v>1.00195549335857</v>
      </c>
      <c r="BK44" s="35" t="n">
        <v>1.00195549335857</v>
      </c>
      <c r="BL44" s="35" t="n">
        <v>1.00184425861596</v>
      </c>
      <c r="BM44" s="35" t="n">
        <v>1.00195549335857</v>
      </c>
      <c r="BN44" s="35" t="n">
        <v>1.00201629895641</v>
      </c>
    </row>
    <row r="45" customFormat="false" ht="15" hidden="false" customHeight="false" outlineLevel="0" collapsed="false">
      <c r="A45" s="1"/>
      <c r="B45" s="4" t="s">
        <v>264</v>
      </c>
      <c r="C45" s="1"/>
      <c r="D45" s="1"/>
      <c r="E45" s="1"/>
      <c r="F45" s="1"/>
      <c r="G45" s="36" t="n">
        <f aca="false">CHOOSE(Dashboard!$C$4,G42,G43,G44)</f>
        <v>1.00181537755722</v>
      </c>
      <c r="H45" s="36" t="n">
        <f aca="false">CHOOSE(Dashboard!$C$4,H42,H43,H44)</f>
        <v>1.00190208843553</v>
      </c>
      <c r="I45" s="36" t="n">
        <f aca="false">CHOOSE(Dashboard!$C$4,I42,I43,I44)</f>
        <v>1.00190799199646</v>
      </c>
      <c r="J45" s="36" t="n">
        <f aca="false">CHOOSE(Dashboard!$C$4,J42,J43,J44)</f>
        <v>1.00182984173228</v>
      </c>
      <c r="K45" s="36" t="n">
        <f aca="false">CHOOSE(Dashboard!$C$4,K42,K43,K44)</f>
        <v>1.00191297212036</v>
      </c>
      <c r="L45" s="36" t="n">
        <f aca="false">CHOOSE(Dashboard!$C$4,L42,L43,L44)</f>
        <v>1.00191852515673</v>
      </c>
      <c r="M45" s="36" t="n">
        <f aca="false">CHOOSE(Dashboard!$C$4,M42,M43,M44)</f>
        <v>1.00183669877686</v>
      </c>
      <c r="N45" s="36" t="n">
        <f aca="false">CHOOSE(Dashboard!$C$4,N42,N43,N44)</f>
        <v>1.00192310879123</v>
      </c>
      <c r="O45" s="36" t="n">
        <f aca="false">CHOOSE(Dashboard!$C$4,O42,O43,O44)</f>
        <v>1.00192473139878</v>
      </c>
      <c r="P45" s="36" t="n">
        <f aca="false">CHOOSE(Dashboard!$C$4,P42,P43,P44)</f>
        <v>1.00199079668762</v>
      </c>
      <c r="Q45" s="36" t="n">
        <f aca="false">CHOOSE(Dashboard!$C$4,Q42,Q43,Q44)</f>
        <v>1.00193592841273</v>
      </c>
      <c r="R45" s="36" t="n">
        <f aca="false">CHOOSE(Dashboard!$C$4,R42,R43,R44)</f>
        <v>1.00194123057234</v>
      </c>
      <c r="S45" s="36" t="n">
        <f aca="false">CHOOSE(Dashboard!$C$4,S42,S43,S44)</f>
        <v>1.00186246210745</v>
      </c>
      <c r="T45" s="36" t="n">
        <f aca="false">CHOOSE(Dashboard!$C$4,T42,T43,T44)</f>
        <v>1.0019454779401</v>
      </c>
      <c r="U45" s="36" t="n">
        <f aca="false">CHOOSE(Dashboard!$C$4,U42,U43,U44)</f>
        <v>1.00195928062109</v>
      </c>
      <c r="V45" s="36" t="n">
        <f aca="false">CHOOSE(Dashboard!$C$4,V42,V43,V44)</f>
        <v>1.00187720719803</v>
      </c>
      <c r="W45" s="36" t="n">
        <f aca="false">CHOOSE(Dashboard!$C$4,W42,W43,W44)</f>
        <v>1.00197577292484</v>
      </c>
      <c r="X45" s="36" t="n">
        <f aca="false">CHOOSE(Dashboard!$C$4,X42,X43,X44)</f>
        <v>1.00198239637719</v>
      </c>
      <c r="Y45" s="36" t="n">
        <f aca="false">CHOOSE(Dashboard!$C$4,Y42,Y43,Y44)</f>
        <v>1.00189998911106</v>
      </c>
      <c r="Z45" s="36" t="n">
        <f aca="false">CHOOSE(Dashboard!$C$4,Z42,Z43,Z44)</f>
        <v>1.00208327080054</v>
      </c>
      <c r="AA45" s="36" t="n">
        <f aca="false">CHOOSE(Dashboard!$C$4,AA42,AA43,AA44)</f>
        <v>1.0019919624933</v>
      </c>
      <c r="AB45" s="36" t="n">
        <f aca="false">CHOOSE(Dashboard!$C$4,AB42,AB43,AB44)</f>
        <v>1.00191917665544</v>
      </c>
      <c r="AC45" s="36" t="n">
        <f aca="false">CHOOSE(Dashboard!$C$4,AC42,AC43,AC44)</f>
        <v>1.00201470205867</v>
      </c>
      <c r="AD45" s="36" t="n">
        <f aca="false">CHOOSE(Dashboard!$C$4,AD42,AD43,AD44)</f>
        <v>1.00201470205867</v>
      </c>
      <c r="AE45" s="36" t="n">
        <f aca="false">CHOOSE(Dashboard!$C$4,AE42,AE43,AE44)</f>
        <v>1.00193143935287</v>
      </c>
      <c r="AF45" s="36" t="n">
        <f aca="false">CHOOSE(Dashboard!$C$4,AF42,AF43,AF44)</f>
        <v>1.00202485155537</v>
      </c>
      <c r="AG45" s="36" t="n">
        <f aca="false">CHOOSE(Dashboard!$C$4,AG42,AG43,AG44)</f>
        <v>1.00202516470827</v>
      </c>
      <c r="AH45" s="36" t="n">
        <f aca="false">CHOOSE(Dashboard!$C$4,AH42,AH43,AH44)</f>
        <v>1.00193862349724</v>
      </c>
      <c r="AI45" s="36" t="n">
        <f aca="false">CHOOSE(Dashboard!$C$4,AI42,AI43,AI44)</f>
        <v>1.00202516470827</v>
      </c>
      <c r="AJ45" s="36" t="n">
        <f aca="false">CHOOSE(Dashboard!$C$4,AJ42,AJ43,AJ44)</f>
        <v>1.00211979344465</v>
      </c>
      <c r="AK45" s="36" t="n">
        <f aca="false">CHOOSE(Dashboard!$C$4,AK42,AK43,AK44)</f>
        <v>1.00193862349724</v>
      </c>
      <c r="AL45" s="36" t="n">
        <f aca="false">CHOOSE(Dashboard!$C$4,AL42,AL43,AL44)</f>
        <v>1.00202516470827</v>
      </c>
      <c r="AM45" s="36" t="n">
        <f aca="false">CHOOSE(Dashboard!$C$4,AM42,AM43,AM44)</f>
        <v>1.00202516470827</v>
      </c>
      <c r="AN45" s="36" t="n">
        <f aca="false">CHOOSE(Dashboard!$C$4,AN42,AN43,AN44)</f>
        <v>1.00193862349724</v>
      </c>
      <c r="AO45" s="36" t="n">
        <f aca="false">CHOOSE(Dashboard!$C$4,AO42,AO43,AO44)</f>
        <v>1.00202516470827</v>
      </c>
      <c r="AP45" s="36" t="n">
        <f aca="false">CHOOSE(Dashboard!$C$4,AP42,AP43,AP44)</f>
        <v>1.00202516470827</v>
      </c>
      <c r="AQ45" s="36" t="n">
        <f aca="false">CHOOSE(Dashboard!$C$4,AQ42,AQ43,AQ44)</f>
        <v>1.00193862349724</v>
      </c>
      <c r="AR45" s="36" t="n">
        <f aca="false">CHOOSE(Dashboard!$C$4,AR42,AR43,AR44)</f>
        <v>1.00202516470827</v>
      </c>
      <c r="AS45" s="36" t="n">
        <f aca="false">CHOOSE(Dashboard!$C$4,AS42,AS43,AS44)</f>
        <v>1.00202516470827</v>
      </c>
      <c r="AT45" s="36" t="n">
        <f aca="false">CHOOSE(Dashboard!$C$4,AT42,AT43,AT44)</f>
        <v>1.00208728301017</v>
      </c>
      <c r="AU45" s="36" t="n">
        <f aca="false">CHOOSE(Dashboard!$C$4,AU42,AU43,AU44)</f>
        <v>1.00202516470827</v>
      </c>
      <c r="AV45" s="36" t="n">
        <f aca="false">CHOOSE(Dashboard!$C$4,AV42,AV43,AV44)</f>
        <v>1.00202516470827</v>
      </c>
      <c r="AW45" s="36" t="n">
        <f aca="false">CHOOSE(Dashboard!$C$4,AW42,AW43,AW44)</f>
        <v>1.00193862349724</v>
      </c>
      <c r="AX45" s="36" t="n">
        <f aca="false">CHOOSE(Dashboard!$C$4,AX42,AX43,AX44)</f>
        <v>1.00202516470827</v>
      </c>
      <c r="AY45" s="36" t="n">
        <f aca="false">CHOOSE(Dashboard!$C$4,AY42,AY43,AY44)</f>
        <v>1.00202516470827</v>
      </c>
      <c r="AZ45" s="36" t="n">
        <f aca="false">CHOOSE(Dashboard!$C$4,AZ42,AZ43,AZ44)</f>
        <v>1.00193862349724</v>
      </c>
      <c r="BA45" s="36" t="n">
        <f aca="false">CHOOSE(Dashboard!$C$4,BA42,BA43,BA44)</f>
        <v>1.00202516470827</v>
      </c>
      <c r="BB45" s="36" t="n">
        <f aca="false">CHOOSE(Dashboard!$C$4,BB42,BB43,BB44)</f>
        <v>1.00202516470827</v>
      </c>
      <c r="BC45" s="36" t="n">
        <f aca="false">CHOOSE(Dashboard!$C$4,BC42,BC43,BC44)</f>
        <v>1.00193862349724</v>
      </c>
      <c r="BD45" s="36" t="n">
        <f aca="false">CHOOSE(Dashboard!$C$4,BD42,BD43,BD44)</f>
        <v>1.00211979344465</v>
      </c>
      <c r="BE45" s="36" t="n">
        <f aca="false">CHOOSE(Dashboard!$C$4,BE42,BE43,BE44)</f>
        <v>1.00202516470827</v>
      </c>
      <c r="BF45" s="36" t="n">
        <f aca="false">CHOOSE(Dashboard!$C$4,BF42,BF43,BF44)</f>
        <v>1.00193862349724</v>
      </c>
      <c r="BG45" s="36" t="n">
        <f aca="false">CHOOSE(Dashboard!$C$4,BG42,BG43,BG44)</f>
        <v>1.00202516470827</v>
      </c>
      <c r="BH45" s="36" t="n">
        <f aca="false">CHOOSE(Dashboard!$C$4,BH42,BH43,BH44)</f>
        <v>1.00202516470827</v>
      </c>
      <c r="BI45" s="36" t="n">
        <f aca="false">CHOOSE(Dashboard!$C$4,BI42,BI43,BI44)</f>
        <v>1.00193862349724</v>
      </c>
      <c r="BJ45" s="36" t="n">
        <f aca="false">CHOOSE(Dashboard!$C$4,BJ42,BJ43,BJ44)</f>
        <v>1.00202516470827</v>
      </c>
      <c r="BK45" s="36" t="n">
        <f aca="false">CHOOSE(Dashboard!$C$4,BK42,BK43,BK44)</f>
        <v>1.00202516470827</v>
      </c>
      <c r="BL45" s="36" t="n">
        <f aca="false">CHOOSE(Dashboard!$C$4,BL42,BL43,BL44)</f>
        <v>1.00193862349724</v>
      </c>
      <c r="BM45" s="36" t="n">
        <f aca="false">CHOOSE(Dashboard!$C$4,BM42,BM43,BM44)</f>
        <v>1.00202516470827</v>
      </c>
      <c r="BN45" s="36" t="n">
        <f aca="false">CHOOSE(Dashboard!$C$4,BN42,BN43,BN44)</f>
        <v>1.00211979344465</v>
      </c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</row>
    <row r="47" customFormat="false" ht="15" hidden="false" customHeight="false" outlineLevel="0" collapsed="false">
      <c r="A47" s="1"/>
      <c r="B47" s="13" t="s">
        <v>19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</row>
    <row r="48" customFormat="false" ht="15" hidden="false" customHeight="false" outlineLevel="0" collapsed="false">
      <c r="A48" s="1"/>
      <c r="B48" s="8" t="s">
        <v>249</v>
      </c>
      <c r="C48" s="1"/>
      <c r="D48" s="1"/>
      <c r="E48" s="1"/>
      <c r="F48" s="1"/>
      <c r="G48" s="35" t="n">
        <v>0.30558904109589</v>
      </c>
      <c r="H48" s="35" t="n">
        <v>0.285924657534247</v>
      </c>
      <c r="I48" s="35" t="n">
        <v>0.248445205479452</v>
      </c>
      <c r="J48" s="35" t="n">
        <v>0.211335616438356</v>
      </c>
      <c r="K48" s="35" t="n">
        <v>0.189780821917808</v>
      </c>
      <c r="L48" s="35" t="n">
        <v>0.182609589041096</v>
      </c>
      <c r="M48" s="35" t="n">
        <v>0.178541095890411</v>
      </c>
      <c r="N48" s="35" t="n">
        <v>0.168328767123288</v>
      </c>
      <c r="O48" s="35" t="n">
        <v>0.162945205479452</v>
      </c>
      <c r="P48" s="35" t="n">
        <v>0.155897260273973</v>
      </c>
      <c r="Q48" s="35" t="n">
        <v>0.15258904109589</v>
      </c>
      <c r="R48" s="35" t="n">
        <v>0.149383561643836</v>
      </c>
      <c r="S48" s="35" t="n">
        <v>0.142458904109589</v>
      </c>
      <c r="T48" s="35" t="n">
        <v>0.139972602739726</v>
      </c>
      <c r="U48" s="35" t="n">
        <v>0.134568493150685</v>
      </c>
      <c r="V48" s="35" t="n">
        <v>0.13136301369863</v>
      </c>
      <c r="W48" s="35" t="n">
        <v>0.128280821917808</v>
      </c>
      <c r="X48" s="35" t="n">
        <v>0.124520547945206</v>
      </c>
      <c r="Y48" s="35" t="n">
        <v>0.120760273972603</v>
      </c>
      <c r="Z48" s="35" t="n">
        <v>0.119815068493151</v>
      </c>
      <c r="AA48" s="35" t="n">
        <v>0.120123287671233</v>
      </c>
      <c r="AB48" s="35" t="n">
        <v>0.12022602739726</v>
      </c>
      <c r="AC48" s="35" t="n">
        <v>0.12022602739726</v>
      </c>
      <c r="AD48" s="35" t="n">
        <v>0.120287671232877</v>
      </c>
      <c r="AE48" s="35" t="n">
        <v>0.120287671232877</v>
      </c>
      <c r="AF48" s="35" t="n">
        <v>0.120328767123288</v>
      </c>
      <c r="AG48" s="35" t="n">
        <v>0.119712328767123</v>
      </c>
      <c r="AH48" s="35" t="n">
        <v>0.120082191780822</v>
      </c>
      <c r="AI48" s="35" t="n">
        <v>0.120184931506849</v>
      </c>
      <c r="AJ48" s="35" t="n">
        <v>0.121150684931507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customFormat="false" ht="15" hidden="false" customHeight="false" outlineLevel="0" collapsed="false">
      <c r="A49" s="1"/>
      <c r="B49" s="8" t="s">
        <v>250</v>
      </c>
      <c r="C49" s="1"/>
      <c r="D49" s="1"/>
      <c r="E49" s="1"/>
      <c r="F49" s="1"/>
      <c r="G49" s="35" t="n">
        <v>0.32748801369863</v>
      </c>
      <c r="H49" s="35" t="n">
        <v>0.309220319634703</v>
      </c>
      <c r="I49" s="35" t="n">
        <v>0.281385844748859</v>
      </c>
      <c r="J49" s="35" t="n">
        <v>0.251545091324201</v>
      </c>
      <c r="K49" s="35" t="n">
        <v>0.217058219178082</v>
      </c>
      <c r="L49" s="35" t="n">
        <v>0.202465182648402</v>
      </c>
      <c r="M49" s="35" t="n">
        <v>0.19158904109589</v>
      </c>
      <c r="N49" s="35" t="n">
        <v>0.178073059360731</v>
      </c>
      <c r="O49" s="35" t="n">
        <v>0.167408105022831</v>
      </c>
      <c r="P49" s="35" t="n">
        <v>0.154884703196347</v>
      </c>
      <c r="Q49" s="35" t="n">
        <v>0.152392694063927</v>
      </c>
      <c r="R49" s="35" t="n">
        <v>0.15154794520548</v>
      </c>
      <c r="S49" s="35" t="n">
        <v>0.14996404109589</v>
      </c>
      <c r="T49" s="35" t="n">
        <v>0.148</v>
      </c>
      <c r="U49" s="35" t="n">
        <v>0.144114155251142</v>
      </c>
      <c r="V49" s="35" t="n">
        <v>0.143586187214612</v>
      </c>
      <c r="W49" s="35" t="n">
        <v>0.142910388127854</v>
      </c>
      <c r="X49" s="35" t="n">
        <v>0.141263127853881</v>
      </c>
      <c r="Y49" s="35" t="n">
        <v>0.140671803652968</v>
      </c>
      <c r="Z49" s="35" t="n">
        <v>0.139573630136986</v>
      </c>
      <c r="AA49" s="35" t="n">
        <v>0.13946803652968</v>
      </c>
      <c r="AB49" s="35" t="n">
        <v>0.139615867579909</v>
      </c>
      <c r="AC49" s="35" t="n">
        <v>0.139658105022831</v>
      </c>
      <c r="AD49" s="35" t="n">
        <v>0.140650684931507</v>
      </c>
      <c r="AE49" s="35" t="n">
        <v>0.140967465753425</v>
      </c>
      <c r="AF49" s="35" t="n">
        <v>0.141073059360731</v>
      </c>
      <c r="AG49" s="35" t="n">
        <v>0.142973744292237</v>
      </c>
      <c r="AH49" s="35" t="n">
        <v>0.145719178082192</v>
      </c>
      <c r="AI49" s="35" t="n">
        <v>0.145930365296804</v>
      </c>
      <c r="AJ49" s="35" t="n">
        <v>0.14639497716895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</row>
    <row r="50" customFormat="false" ht="15" hidden="false" customHeight="false" outlineLevel="0" collapsed="false">
      <c r="A50" s="1"/>
      <c r="B50" s="8" t="s">
        <v>251</v>
      </c>
      <c r="C50" s="1"/>
      <c r="D50" s="1"/>
      <c r="E50" s="1"/>
      <c r="F50" s="1"/>
      <c r="G50" s="35" t="n">
        <v>0.256174657534247</v>
      </c>
      <c r="H50" s="35" t="n">
        <v>0.221102739726027</v>
      </c>
      <c r="I50" s="35" t="n">
        <v>0.191952054794521</v>
      </c>
      <c r="J50" s="35" t="n">
        <v>0.166813926940639</v>
      </c>
      <c r="K50" s="35" t="n">
        <v>0.148811643835616</v>
      </c>
      <c r="L50" s="35" t="n">
        <v>0.148594748858448</v>
      </c>
      <c r="M50" s="35" t="n">
        <v>0.147184931506849</v>
      </c>
      <c r="N50" s="35" t="n">
        <v>0.149462328767123</v>
      </c>
      <c r="O50" s="35" t="n">
        <v>0.14913698630137</v>
      </c>
      <c r="P50" s="35" t="n">
        <v>0.147727168949772</v>
      </c>
      <c r="Q50" s="35" t="n">
        <v>0.150655251141553</v>
      </c>
      <c r="R50" s="35" t="n">
        <v>0.154190639269406</v>
      </c>
      <c r="S50" s="35" t="n">
        <v>0.160697488584475</v>
      </c>
      <c r="T50" s="35" t="n">
        <v>0.165035388127854</v>
      </c>
      <c r="U50" s="35" t="n">
        <v>0.167204337899543</v>
      </c>
      <c r="V50" s="35" t="n">
        <v>0.172084474885845</v>
      </c>
      <c r="W50" s="35" t="n">
        <v>0.18021803652968</v>
      </c>
      <c r="X50" s="35" t="n">
        <v>0.184555936073059</v>
      </c>
      <c r="Y50" s="35" t="n">
        <v>0.19286301369863</v>
      </c>
      <c r="Z50" s="35" t="n">
        <v>0.194815068493151</v>
      </c>
      <c r="AA50" s="35" t="n">
        <v>0.194815068493151</v>
      </c>
      <c r="AB50" s="35" t="n">
        <v>0.194815068493151</v>
      </c>
      <c r="AC50" s="35" t="n">
        <v>0.194815068493151</v>
      </c>
      <c r="AD50" s="35" t="n">
        <v>0.194815068493151</v>
      </c>
      <c r="AE50" s="35" t="n">
        <v>0.194815068493151</v>
      </c>
      <c r="AF50" s="35" t="n">
        <v>0.194815068493151</v>
      </c>
      <c r="AG50" s="35" t="n">
        <v>0.194815068493151</v>
      </c>
      <c r="AH50" s="35" t="n">
        <v>0.194815068493151</v>
      </c>
      <c r="AI50" s="35" t="n">
        <v>0.194815068493151</v>
      </c>
      <c r="AJ50" s="35" t="n">
        <v>0.194815068493151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</row>
    <row r="51" customFormat="false" ht="15" hidden="false" customHeight="false" outlineLevel="0" collapsed="false">
      <c r="A51" s="1"/>
      <c r="B51" s="4" t="s">
        <v>252</v>
      </c>
      <c r="C51" s="1"/>
      <c r="D51" s="1"/>
      <c r="E51" s="1"/>
      <c r="F51" s="1"/>
      <c r="G51" s="36" t="n">
        <f aca="false">CHOOSE(Dashboard!$C$4,G48,G49,G50)</f>
        <v>0.32748801369863</v>
      </c>
      <c r="H51" s="36" t="n">
        <f aca="false">CHOOSE(Dashboard!$C$4,H48,H49,H50)</f>
        <v>0.309220319634703</v>
      </c>
      <c r="I51" s="36" t="n">
        <f aca="false">CHOOSE(Dashboard!$C$4,I48,I49,I50)</f>
        <v>0.281385844748859</v>
      </c>
      <c r="J51" s="36" t="n">
        <f aca="false">CHOOSE(Dashboard!$C$4,J48,J49,J50)</f>
        <v>0.251545091324201</v>
      </c>
      <c r="K51" s="36" t="n">
        <f aca="false">CHOOSE(Dashboard!$C$4,K48,K49,K50)</f>
        <v>0.217058219178082</v>
      </c>
      <c r="L51" s="36" t="n">
        <f aca="false">CHOOSE(Dashboard!$C$4,L48,L49,L50)</f>
        <v>0.202465182648402</v>
      </c>
      <c r="M51" s="36" t="n">
        <f aca="false">CHOOSE(Dashboard!$C$4,M48,M49,M50)</f>
        <v>0.19158904109589</v>
      </c>
      <c r="N51" s="36" t="n">
        <f aca="false">CHOOSE(Dashboard!$C$4,N48,N49,N50)</f>
        <v>0.178073059360731</v>
      </c>
      <c r="O51" s="36" t="n">
        <f aca="false">CHOOSE(Dashboard!$C$4,O48,O49,O50)</f>
        <v>0.167408105022831</v>
      </c>
      <c r="P51" s="36" t="n">
        <f aca="false">CHOOSE(Dashboard!$C$4,P48,P49,P50)</f>
        <v>0.154884703196347</v>
      </c>
      <c r="Q51" s="36" t="n">
        <f aca="false">CHOOSE(Dashboard!$C$4,Q48,Q49,Q50)</f>
        <v>0.152392694063927</v>
      </c>
      <c r="R51" s="36" t="n">
        <f aca="false">CHOOSE(Dashboard!$C$4,R48,R49,R50)</f>
        <v>0.15154794520548</v>
      </c>
      <c r="S51" s="36" t="n">
        <f aca="false">CHOOSE(Dashboard!$C$4,S48,S49,S50)</f>
        <v>0.14996404109589</v>
      </c>
      <c r="T51" s="36" t="n">
        <f aca="false">CHOOSE(Dashboard!$C$4,T48,T49,T50)</f>
        <v>0.148</v>
      </c>
      <c r="U51" s="36" t="n">
        <f aca="false">CHOOSE(Dashboard!$C$4,U48,U49,U50)</f>
        <v>0.144114155251142</v>
      </c>
      <c r="V51" s="36" t="n">
        <f aca="false">CHOOSE(Dashboard!$C$4,V48,V49,V50)</f>
        <v>0.143586187214612</v>
      </c>
      <c r="W51" s="36" t="n">
        <f aca="false">CHOOSE(Dashboard!$C$4,W48,W49,W50)</f>
        <v>0.142910388127854</v>
      </c>
      <c r="X51" s="36" t="n">
        <f aca="false">CHOOSE(Dashboard!$C$4,X48,X49,X50)</f>
        <v>0.141263127853881</v>
      </c>
      <c r="Y51" s="36" t="n">
        <f aca="false">CHOOSE(Dashboard!$C$4,Y48,Y49,Y50)</f>
        <v>0.140671803652968</v>
      </c>
      <c r="Z51" s="36" t="n">
        <f aca="false">CHOOSE(Dashboard!$C$4,Z48,Z49,Z50)</f>
        <v>0.139573630136986</v>
      </c>
      <c r="AA51" s="36" t="n">
        <f aca="false">CHOOSE(Dashboard!$C$4,AA48,AA49,AA50)</f>
        <v>0.13946803652968</v>
      </c>
      <c r="AB51" s="36" t="n">
        <f aca="false">CHOOSE(Dashboard!$C$4,AB48,AB49,AB50)</f>
        <v>0.139615867579909</v>
      </c>
      <c r="AC51" s="36" t="n">
        <f aca="false">CHOOSE(Dashboard!$C$4,AC48,AC49,AC50)</f>
        <v>0.139658105022831</v>
      </c>
      <c r="AD51" s="36" t="n">
        <f aca="false">CHOOSE(Dashboard!$C$4,AD48,AD49,AD50)</f>
        <v>0.140650684931507</v>
      </c>
      <c r="AE51" s="36" t="n">
        <f aca="false">CHOOSE(Dashboard!$C$4,AE48,AE49,AE50)</f>
        <v>0.140967465753425</v>
      </c>
      <c r="AF51" s="36" t="n">
        <f aca="false">CHOOSE(Dashboard!$C$4,AF48,AF49,AF50)</f>
        <v>0.141073059360731</v>
      </c>
      <c r="AG51" s="36" t="n">
        <f aca="false">CHOOSE(Dashboard!$C$4,AG48,AG49,AG50)</f>
        <v>0.142973744292237</v>
      </c>
      <c r="AH51" s="36" t="n">
        <f aca="false">CHOOSE(Dashboard!$C$4,AH48,AH49,AH50)</f>
        <v>0.145719178082192</v>
      </c>
      <c r="AI51" s="36" t="n">
        <f aca="false">CHOOSE(Dashboard!$C$4,AI48,AI49,AI50)</f>
        <v>0.145930365296804</v>
      </c>
      <c r="AJ51" s="36" t="n">
        <f aca="false">CHOOSE(Dashboard!$C$4,AJ48,AJ49,AJ50)</f>
        <v>0.14639497716895</v>
      </c>
      <c r="AK51" s="36" t="n">
        <f aca="false">CHOOSE(Dashboard!$C$4,AK48,AK49,AK50)</f>
        <v>0</v>
      </c>
      <c r="AL51" s="36" t="n">
        <f aca="false">CHOOSE(Dashboard!$C$4,AL48,AL49,AL50)</f>
        <v>0</v>
      </c>
      <c r="AM51" s="36" t="n">
        <f aca="false">CHOOSE(Dashboard!$C$4,AM48,AM49,AM50)</f>
        <v>0</v>
      </c>
      <c r="AN51" s="36" t="n">
        <f aca="false">CHOOSE(Dashboard!$C$4,AN48,AN49,AN50)</f>
        <v>0</v>
      </c>
      <c r="AO51" s="36" t="n">
        <f aca="false">CHOOSE(Dashboard!$C$4,AO48,AO49,AO50)</f>
        <v>0</v>
      </c>
      <c r="AP51" s="36" t="n">
        <f aca="false">CHOOSE(Dashboard!$C$4,AP48,AP49,AP50)</f>
        <v>0</v>
      </c>
      <c r="AQ51" s="36" t="n">
        <f aca="false">CHOOSE(Dashboard!$C$4,AQ48,AQ49,AQ50)</f>
        <v>0</v>
      </c>
      <c r="AR51" s="36" t="n">
        <f aca="false">CHOOSE(Dashboard!$C$4,AR48,AR49,AR50)</f>
        <v>0</v>
      </c>
      <c r="AS51" s="36" t="n">
        <f aca="false">CHOOSE(Dashboard!$C$4,AS48,AS49,AS50)</f>
        <v>0</v>
      </c>
      <c r="AT51" s="36" t="n">
        <f aca="false">CHOOSE(Dashboard!$C$4,AT48,AT49,AT50)</f>
        <v>0</v>
      </c>
      <c r="AU51" s="36" t="n">
        <f aca="false">CHOOSE(Dashboard!$C$4,AU48,AU49,AU50)</f>
        <v>0</v>
      </c>
      <c r="AV51" s="36" t="n">
        <f aca="false">CHOOSE(Dashboard!$C$4,AV48,AV49,AV50)</f>
        <v>0</v>
      </c>
      <c r="AW51" s="36" t="n">
        <f aca="false">CHOOSE(Dashboard!$C$4,AW48,AW49,AW50)</f>
        <v>0</v>
      </c>
      <c r="AX51" s="36" t="n">
        <f aca="false">CHOOSE(Dashboard!$C$4,AX48,AX49,AX50)</f>
        <v>0</v>
      </c>
      <c r="AY51" s="36" t="n">
        <f aca="false">CHOOSE(Dashboard!$C$4,AY48,AY49,AY50)</f>
        <v>0</v>
      </c>
      <c r="AZ51" s="36" t="n">
        <f aca="false">CHOOSE(Dashboard!$C$4,AZ48,AZ49,AZ50)</f>
        <v>0</v>
      </c>
      <c r="BA51" s="36" t="n">
        <f aca="false">CHOOSE(Dashboard!$C$4,BA48,BA49,BA50)</f>
        <v>0</v>
      </c>
      <c r="BB51" s="36" t="n">
        <f aca="false">CHOOSE(Dashboard!$C$4,BB48,BB49,BB50)</f>
        <v>0</v>
      </c>
      <c r="BC51" s="36" t="n">
        <f aca="false">CHOOSE(Dashboard!$C$4,BC48,BC49,BC50)</f>
        <v>0</v>
      </c>
      <c r="BD51" s="36" t="n">
        <f aca="false">CHOOSE(Dashboard!$C$4,BD48,BD49,BD50)</f>
        <v>0</v>
      </c>
      <c r="BE51" s="36" t="n">
        <f aca="false">CHOOSE(Dashboard!$C$4,BE48,BE49,BE50)</f>
        <v>0</v>
      </c>
      <c r="BF51" s="36" t="n">
        <f aca="false">CHOOSE(Dashboard!$C$4,BF48,BF49,BF50)</f>
        <v>0</v>
      </c>
      <c r="BG51" s="36" t="n">
        <f aca="false">CHOOSE(Dashboard!$C$4,BG48,BG49,BG50)</f>
        <v>0</v>
      </c>
      <c r="BH51" s="36" t="n">
        <f aca="false">CHOOSE(Dashboard!$C$4,BH48,BH49,BH50)</f>
        <v>0</v>
      </c>
      <c r="BI51" s="36" t="n">
        <f aca="false">CHOOSE(Dashboard!$C$4,BI48,BI49,BI50)</f>
        <v>0</v>
      </c>
      <c r="BJ51" s="36" t="n">
        <f aca="false">CHOOSE(Dashboard!$C$4,BJ48,BJ49,BJ50)</f>
        <v>0</v>
      </c>
      <c r="BK51" s="36" t="n">
        <f aca="false">CHOOSE(Dashboard!$C$4,BK48,BK49,BK50)</f>
        <v>0</v>
      </c>
      <c r="BL51" s="36" t="n">
        <f aca="false">CHOOSE(Dashboard!$C$4,BL48,BL49,BL50)</f>
        <v>0</v>
      </c>
      <c r="BM51" s="36" t="n">
        <f aca="false">CHOOSE(Dashboard!$C$4,BM48,BM49,BM50)</f>
        <v>0</v>
      </c>
      <c r="BN51" s="36" t="n">
        <f aca="false">CHOOSE(Dashboard!$C$4,BN48,BN49,BN50)</f>
        <v>0</v>
      </c>
    </row>
    <row r="52" customFormat="false" ht="15" hidden="false" customHeight="false" outlineLevel="0" collapsed="false">
      <c r="A52" s="1"/>
      <c r="B52" s="8" t="s">
        <v>253</v>
      </c>
      <c r="C52" s="1"/>
      <c r="D52" s="1"/>
      <c r="E52" s="1"/>
      <c r="F52" s="1"/>
      <c r="G52" s="35" t="n">
        <v>1.4164218188297</v>
      </c>
      <c r="H52" s="35" t="n">
        <v>1.43750672970772</v>
      </c>
      <c r="I52" s="35" t="n">
        <v>1.48168456759543</v>
      </c>
      <c r="J52" s="35" t="n">
        <v>1.53902836366017</v>
      </c>
      <c r="K52" s="35" t="n">
        <v>1.57632224866776</v>
      </c>
      <c r="L52" s="35" t="n">
        <v>1.58913564132276</v>
      </c>
      <c r="M52" s="35" t="n">
        <v>1.59762785928018</v>
      </c>
      <c r="N52" s="35" t="n">
        <v>1.61966743292382</v>
      </c>
      <c r="O52" s="35" t="n">
        <v>1.62952186413808</v>
      </c>
      <c r="P52" s="35" t="n">
        <v>1.64749852461582</v>
      </c>
      <c r="Q52" s="35" t="n">
        <v>1.65455741175331</v>
      </c>
      <c r="R52" s="35" t="n">
        <v>1.66142097900826</v>
      </c>
      <c r="S52" s="35" t="n">
        <v>1.6847415319848</v>
      </c>
      <c r="T52" s="35" t="n">
        <v>1.69209854094831</v>
      </c>
      <c r="U52" s="35" t="n">
        <v>1.7117327826412</v>
      </c>
      <c r="V52" s="35" t="n">
        <v>1.72141832764623</v>
      </c>
      <c r="W52" s="35" t="n">
        <v>1.73101219131918</v>
      </c>
      <c r="X52" s="35" t="n">
        <v>1.74235768935201</v>
      </c>
      <c r="Y52" s="35" t="n">
        <v>1.7532380215489</v>
      </c>
      <c r="Z52" s="35" t="n">
        <v>1.7575321551591</v>
      </c>
      <c r="AA52" s="35" t="n">
        <v>1.75654962299168</v>
      </c>
      <c r="AB52" s="35" t="n">
        <v>1.75629555841054</v>
      </c>
      <c r="AC52" s="35" t="n">
        <v>1.75652001416509</v>
      </c>
      <c r="AD52" s="35" t="n">
        <v>1.7563705352618</v>
      </c>
      <c r="AE52" s="35" t="n">
        <v>1.75659537970008</v>
      </c>
      <c r="AF52" s="35" t="n">
        <v>1.75674209373249</v>
      </c>
      <c r="AG52" s="35" t="n">
        <v>1.75826488828185</v>
      </c>
      <c r="AH52" s="35" t="n">
        <v>1.75703576662201</v>
      </c>
      <c r="AI52" s="35" t="n">
        <v>1.75690153649109</v>
      </c>
      <c r="AJ52" s="35" t="n">
        <v>1.75472392187244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customFormat="false" ht="15" hidden="false" customHeight="false" outlineLevel="0" collapsed="false">
      <c r="A53" s="1"/>
      <c r="B53" s="8" t="s">
        <v>254</v>
      </c>
      <c r="C53" s="1"/>
      <c r="D53" s="1"/>
      <c r="E53" s="1"/>
      <c r="F53" s="1"/>
      <c r="G53" s="35" t="n">
        <v>1.41375777878512</v>
      </c>
      <c r="H53" s="35" t="n">
        <v>1.43308449997325</v>
      </c>
      <c r="I53" s="35" t="n">
        <v>1.46696232631072</v>
      </c>
      <c r="J53" s="35" t="n">
        <v>1.50744783499435</v>
      </c>
      <c r="K53" s="35" t="n">
        <v>1.55661641105225</v>
      </c>
      <c r="L53" s="35" t="n">
        <v>1.58242881004616</v>
      </c>
      <c r="M53" s="35" t="n">
        <v>1.60379933816092</v>
      </c>
      <c r="N53" s="35" t="n">
        <v>1.63359496588343</v>
      </c>
      <c r="O53" s="35" t="n">
        <v>1.66163595695931</v>
      </c>
      <c r="P53" s="35" t="n">
        <v>1.69285669646564</v>
      </c>
      <c r="Q53" s="35" t="n">
        <v>1.69818761537509</v>
      </c>
      <c r="R53" s="35" t="n">
        <v>1.70123799192676</v>
      </c>
      <c r="S53" s="35" t="n">
        <v>1.70641068751656</v>
      </c>
      <c r="T53" s="35" t="n">
        <v>1.71242741155053</v>
      </c>
      <c r="U53" s="35" t="n">
        <v>1.72338319607949</v>
      </c>
      <c r="V53" s="35" t="n">
        <v>1.72559827367188</v>
      </c>
      <c r="W53" s="35" t="n">
        <v>1.72720880686203</v>
      </c>
      <c r="X53" s="35" t="n">
        <v>1.73134824517224</v>
      </c>
      <c r="Y53" s="35" t="n">
        <v>1.73387181043558</v>
      </c>
      <c r="Z53" s="35" t="n">
        <v>1.73828984101341</v>
      </c>
      <c r="AA53" s="35" t="n">
        <v>1.7392857358676</v>
      </c>
      <c r="AB53" s="35" t="n">
        <v>1.73954945095499</v>
      </c>
      <c r="AC53" s="35" t="n">
        <v>1.74014207433578</v>
      </c>
      <c r="AD53" s="35" t="n">
        <v>1.73883245311748</v>
      </c>
      <c r="AE53" s="35" t="n">
        <v>1.73843315043936</v>
      </c>
      <c r="AF53" s="35" t="n">
        <v>1.73867645371124</v>
      </c>
      <c r="AG53" s="35" t="n">
        <v>1.73275913364368</v>
      </c>
      <c r="AH53" s="35" t="n">
        <v>1.72528944363227</v>
      </c>
      <c r="AI53" s="35" t="n">
        <v>1.72537934581591</v>
      </c>
      <c r="AJ53" s="35" t="n">
        <v>1.72537860349558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customFormat="false" ht="15" hidden="false" customHeight="false" outlineLevel="0" collapsed="false">
      <c r="A54" s="1"/>
      <c r="B54" s="8" t="s">
        <v>255</v>
      </c>
      <c r="C54" s="1"/>
      <c r="D54" s="1"/>
      <c r="E54" s="1"/>
      <c r="F54" s="1"/>
      <c r="G54" s="35" t="n">
        <v>1.51308689459795</v>
      </c>
      <c r="H54" s="35" t="n">
        <v>1.56362881142678</v>
      </c>
      <c r="I54" s="35" t="n">
        <v>1.62202803541757</v>
      </c>
      <c r="J54" s="35" t="n">
        <v>1.6787335691508</v>
      </c>
      <c r="K54" s="35" t="n">
        <v>1.72745463931657</v>
      </c>
      <c r="L54" s="35" t="n">
        <v>1.72889504898416</v>
      </c>
      <c r="M54" s="35" t="n">
        <v>1.73526360001299</v>
      </c>
      <c r="N54" s="35" t="n">
        <v>1.73070082718879</v>
      </c>
      <c r="O54" s="35" t="n">
        <v>1.73257842360426</v>
      </c>
      <c r="P54" s="35" t="n">
        <v>1.73726863422082</v>
      </c>
      <c r="Q54" s="35" t="n">
        <v>1.73101279808031</v>
      </c>
      <c r="R54" s="35" t="n">
        <v>1.72267973227309</v>
      </c>
      <c r="S54" s="35" t="n">
        <v>1.70624840832824</v>
      </c>
      <c r="T54" s="35" t="n">
        <v>1.69834779084289</v>
      </c>
      <c r="U54" s="35" t="n">
        <v>1.69306602442137</v>
      </c>
      <c r="V54" s="35" t="n">
        <v>1.68320008491752</v>
      </c>
      <c r="W54" s="35" t="n">
        <v>1.66419119388838</v>
      </c>
      <c r="X54" s="35" t="n">
        <v>1.65588479391071</v>
      </c>
      <c r="Y54" s="35" t="n">
        <v>1.64098084757499</v>
      </c>
      <c r="Z54" s="35" t="n">
        <v>1.63716691255421</v>
      </c>
      <c r="AA54" s="35" t="n">
        <v>1.63716691255421</v>
      </c>
      <c r="AB54" s="35" t="n">
        <v>1.63716691255421</v>
      </c>
      <c r="AC54" s="35" t="n">
        <v>1.63716691255421</v>
      </c>
      <c r="AD54" s="35" t="n">
        <v>1.63716691255421</v>
      </c>
      <c r="AE54" s="35" t="n">
        <v>1.63716691255421</v>
      </c>
      <c r="AF54" s="35" t="n">
        <v>1.63716691255421</v>
      </c>
      <c r="AG54" s="35" t="n">
        <v>1.63716691255421</v>
      </c>
      <c r="AH54" s="35" t="n">
        <v>1.63716691255421</v>
      </c>
      <c r="AI54" s="35" t="n">
        <v>1.63716691255421</v>
      </c>
      <c r="AJ54" s="35" t="n">
        <v>1.63716691255421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5" customFormat="false" ht="15" hidden="false" customHeight="false" outlineLevel="0" collapsed="false">
      <c r="A55" s="1"/>
      <c r="B55" s="4" t="s">
        <v>256</v>
      </c>
      <c r="C55" s="1"/>
      <c r="D55" s="1"/>
      <c r="E55" s="1"/>
      <c r="F55" s="1"/>
      <c r="G55" s="36" t="n">
        <f aca="false">CHOOSE(Dashboard!$C$4,G52,G53,G54)</f>
        <v>1.41375777878512</v>
      </c>
      <c r="H55" s="36" t="n">
        <f aca="false">CHOOSE(Dashboard!$C$4,H52,H53,H54)</f>
        <v>1.43308449997325</v>
      </c>
      <c r="I55" s="36" t="n">
        <f aca="false">CHOOSE(Dashboard!$C$4,I52,I53,I54)</f>
        <v>1.46696232631072</v>
      </c>
      <c r="J55" s="36" t="n">
        <f aca="false">CHOOSE(Dashboard!$C$4,J52,J53,J54)</f>
        <v>1.50744783499435</v>
      </c>
      <c r="K55" s="36" t="n">
        <f aca="false">CHOOSE(Dashboard!$C$4,K52,K53,K54)</f>
        <v>1.55661641105225</v>
      </c>
      <c r="L55" s="36" t="n">
        <f aca="false">CHOOSE(Dashboard!$C$4,L52,L53,L54)</f>
        <v>1.58242881004616</v>
      </c>
      <c r="M55" s="36" t="n">
        <f aca="false">CHOOSE(Dashboard!$C$4,M52,M53,M54)</f>
        <v>1.60379933816092</v>
      </c>
      <c r="N55" s="36" t="n">
        <f aca="false">CHOOSE(Dashboard!$C$4,N52,N53,N54)</f>
        <v>1.63359496588343</v>
      </c>
      <c r="O55" s="36" t="n">
        <f aca="false">CHOOSE(Dashboard!$C$4,O52,O53,O54)</f>
        <v>1.66163595695931</v>
      </c>
      <c r="P55" s="36" t="n">
        <f aca="false">CHOOSE(Dashboard!$C$4,P52,P53,P54)</f>
        <v>1.69285669646564</v>
      </c>
      <c r="Q55" s="36" t="n">
        <f aca="false">CHOOSE(Dashboard!$C$4,Q52,Q53,Q54)</f>
        <v>1.69818761537509</v>
      </c>
      <c r="R55" s="36" t="n">
        <f aca="false">CHOOSE(Dashboard!$C$4,R52,R53,R54)</f>
        <v>1.70123799192676</v>
      </c>
      <c r="S55" s="36" t="n">
        <f aca="false">CHOOSE(Dashboard!$C$4,S52,S53,S54)</f>
        <v>1.70641068751656</v>
      </c>
      <c r="T55" s="36" t="n">
        <f aca="false">CHOOSE(Dashboard!$C$4,T52,T53,T54)</f>
        <v>1.71242741155053</v>
      </c>
      <c r="U55" s="36" t="n">
        <f aca="false">CHOOSE(Dashboard!$C$4,U52,U53,U54)</f>
        <v>1.72338319607949</v>
      </c>
      <c r="V55" s="36" t="n">
        <f aca="false">CHOOSE(Dashboard!$C$4,V52,V53,V54)</f>
        <v>1.72559827367188</v>
      </c>
      <c r="W55" s="36" t="n">
        <f aca="false">CHOOSE(Dashboard!$C$4,W52,W53,W54)</f>
        <v>1.72720880686203</v>
      </c>
      <c r="X55" s="36" t="n">
        <f aca="false">CHOOSE(Dashboard!$C$4,X52,X53,X54)</f>
        <v>1.73134824517224</v>
      </c>
      <c r="Y55" s="36" t="n">
        <f aca="false">CHOOSE(Dashboard!$C$4,Y52,Y53,Y54)</f>
        <v>1.73387181043558</v>
      </c>
      <c r="Z55" s="36" t="n">
        <f aca="false">CHOOSE(Dashboard!$C$4,Z52,Z53,Z54)</f>
        <v>1.73828984101341</v>
      </c>
      <c r="AA55" s="36" t="n">
        <f aca="false">CHOOSE(Dashboard!$C$4,AA52,AA53,AA54)</f>
        <v>1.7392857358676</v>
      </c>
      <c r="AB55" s="36" t="n">
        <f aca="false">CHOOSE(Dashboard!$C$4,AB52,AB53,AB54)</f>
        <v>1.73954945095499</v>
      </c>
      <c r="AC55" s="36" t="n">
        <f aca="false">CHOOSE(Dashboard!$C$4,AC52,AC53,AC54)</f>
        <v>1.74014207433578</v>
      </c>
      <c r="AD55" s="36" t="n">
        <f aca="false">CHOOSE(Dashboard!$C$4,AD52,AD53,AD54)</f>
        <v>1.73883245311748</v>
      </c>
      <c r="AE55" s="36" t="n">
        <f aca="false">CHOOSE(Dashboard!$C$4,AE52,AE53,AE54)</f>
        <v>1.73843315043936</v>
      </c>
      <c r="AF55" s="36" t="n">
        <f aca="false">CHOOSE(Dashboard!$C$4,AF52,AF53,AF54)</f>
        <v>1.73867645371124</v>
      </c>
      <c r="AG55" s="36" t="n">
        <f aca="false">CHOOSE(Dashboard!$C$4,AG52,AG53,AG54)</f>
        <v>1.73275913364368</v>
      </c>
      <c r="AH55" s="36" t="n">
        <f aca="false">CHOOSE(Dashboard!$C$4,AH52,AH53,AH54)</f>
        <v>1.72528944363227</v>
      </c>
      <c r="AI55" s="36" t="n">
        <f aca="false">CHOOSE(Dashboard!$C$4,AI52,AI53,AI54)</f>
        <v>1.72537934581591</v>
      </c>
      <c r="AJ55" s="36" t="n">
        <f aca="false">CHOOSE(Dashboard!$C$4,AJ52,AJ53,AJ54)</f>
        <v>1.72537860349558</v>
      </c>
      <c r="AK55" s="36" t="n">
        <f aca="false">CHOOSE(Dashboard!$C$4,AK52,AK53,AK54)</f>
        <v>0</v>
      </c>
      <c r="AL55" s="36" t="n">
        <f aca="false">CHOOSE(Dashboard!$C$4,AL52,AL53,AL54)</f>
        <v>0</v>
      </c>
      <c r="AM55" s="36" t="n">
        <f aca="false">CHOOSE(Dashboard!$C$4,AM52,AM53,AM54)</f>
        <v>0</v>
      </c>
      <c r="AN55" s="36" t="n">
        <f aca="false">CHOOSE(Dashboard!$C$4,AN52,AN53,AN54)</f>
        <v>0</v>
      </c>
      <c r="AO55" s="36" t="n">
        <f aca="false">CHOOSE(Dashboard!$C$4,AO52,AO53,AO54)</f>
        <v>0</v>
      </c>
      <c r="AP55" s="36" t="n">
        <f aca="false">CHOOSE(Dashboard!$C$4,AP52,AP53,AP54)</f>
        <v>0</v>
      </c>
      <c r="AQ55" s="36" t="n">
        <f aca="false">CHOOSE(Dashboard!$C$4,AQ52,AQ53,AQ54)</f>
        <v>0</v>
      </c>
      <c r="AR55" s="36" t="n">
        <f aca="false">CHOOSE(Dashboard!$C$4,AR52,AR53,AR54)</f>
        <v>0</v>
      </c>
      <c r="AS55" s="36" t="n">
        <f aca="false">CHOOSE(Dashboard!$C$4,AS52,AS53,AS54)</f>
        <v>0</v>
      </c>
      <c r="AT55" s="36" t="n">
        <f aca="false">CHOOSE(Dashboard!$C$4,AT52,AT53,AT54)</f>
        <v>0</v>
      </c>
      <c r="AU55" s="36" t="n">
        <f aca="false">CHOOSE(Dashboard!$C$4,AU52,AU53,AU54)</f>
        <v>0</v>
      </c>
      <c r="AV55" s="36" t="n">
        <f aca="false">CHOOSE(Dashboard!$C$4,AV52,AV53,AV54)</f>
        <v>0</v>
      </c>
      <c r="AW55" s="36" t="n">
        <f aca="false">CHOOSE(Dashboard!$C$4,AW52,AW53,AW54)</f>
        <v>0</v>
      </c>
      <c r="AX55" s="36" t="n">
        <f aca="false">CHOOSE(Dashboard!$C$4,AX52,AX53,AX54)</f>
        <v>0</v>
      </c>
      <c r="AY55" s="36" t="n">
        <f aca="false">CHOOSE(Dashboard!$C$4,AY52,AY53,AY54)</f>
        <v>0</v>
      </c>
      <c r="AZ55" s="36" t="n">
        <f aca="false">CHOOSE(Dashboard!$C$4,AZ52,AZ53,AZ54)</f>
        <v>0</v>
      </c>
      <c r="BA55" s="36" t="n">
        <f aca="false">CHOOSE(Dashboard!$C$4,BA52,BA53,BA54)</f>
        <v>0</v>
      </c>
      <c r="BB55" s="36" t="n">
        <f aca="false">CHOOSE(Dashboard!$C$4,BB52,BB53,BB54)</f>
        <v>0</v>
      </c>
      <c r="BC55" s="36" t="n">
        <f aca="false">CHOOSE(Dashboard!$C$4,BC52,BC53,BC54)</f>
        <v>0</v>
      </c>
      <c r="BD55" s="36" t="n">
        <f aca="false">CHOOSE(Dashboard!$C$4,BD52,BD53,BD54)</f>
        <v>0</v>
      </c>
      <c r="BE55" s="36" t="n">
        <f aca="false">CHOOSE(Dashboard!$C$4,BE52,BE53,BE54)</f>
        <v>0</v>
      </c>
      <c r="BF55" s="36" t="n">
        <f aca="false">CHOOSE(Dashboard!$C$4,BF52,BF53,BF54)</f>
        <v>0</v>
      </c>
      <c r="BG55" s="36" t="n">
        <f aca="false">CHOOSE(Dashboard!$C$4,BG52,BG53,BG54)</f>
        <v>0</v>
      </c>
      <c r="BH55" s="36" t="n">
        <f aca="false">CHOOSE(Dashboard!$C$4,BH52,BH53,BH54)</f>
        <v>0</v>
      </c>
      <c r="BI55" s="36" t="n">
        <f aca="false">CHOOSE(Dashboard!$C$4,BI52,BI53,BI54)</f>
        <v>0</v>
      </c>
      <c r="BJ55" s="36" t="n">
        <f aca="false">CHOOSE(Dashboard!$C$4,BJ52,BJ53,BJ54)</f>
        <v>0</v>
      </c>
      <c r="BK55" s="36" t="n">
        <f aca="false">CHOOSE(Dashboard!$C$4,BK52,BK53,BK54)</f>
        <v>0</v>
      </c>
      <c r="BL55" s="36" t="n">
        <f aca="false">CHOOSE(Dashboard!$C$4,BL52,BL53,BL54)</f>
        <v>0</v>
      </c>
      <c r="BM55" s="36" t="n">
        <f aca="false">CHOOSE(Dashboard!$C$4,BM52,BM53,BM54)</f>
        <v>0</v>
      </c>
      <c r="BN55" s="36" t="n">
        <f aca="false">CHOOSE(Dashboard!$C$4,BN52,BN53,BN54)</f>
        <v>0</v>
      </c>
    </row>
    <row r="56" customFormat="false" ht="15" hidden="false" customHeight="false" outlineLevel="0" collapsed="false">
      <c r="A56" s="1"/>
      <c r="B56" s="8" t="s">
        <v>265</v>
      </c>
      <c r="C56" s="1"/>
      <c r="D56" s="1"/>
      <c r="E56" s="1"/>
      <c r="F56" s="1"/>
      <c r="G56" s="35" t="n">
        <v>1.80627809889569</v>
      </c>
      <c r="H56" s="35" t="n">
        <v>1.80576904151412</v>
      </c>
      <c r="I56" s="35" t="n">
        <v>1.80903332454013</v>
      </c>
      <c r="J56" s="35" t="n">
        <v>1.81231811399697</v>
      </c>
      <c r="K56" s="35" t="n">
        <v>1.81447140180732</v>
      </c>
      <c r="L56" s="35" t="n">
        <v>1.81555920479147</v>
      </c>
      <c r="M56" s="35" t="n">
        <v>1.81755411042996</v>
      </c>
      <c r="N56" s="35" t="n">
        <v>1.81763880329376</v>
      </c>
      <c r="O56" s="35" t="n">
        <v>1.81722320341996</v>
      </c>
      <c r="P56" s="35" t="n">
        <v>1.82000598299475</v>
      </c>
      <c r="Q56" s="35" t="n">
        <v>1.81940528881148</v>
      </c>
      <c r="R56" s="35" t="n">
        <v>1.81885756315152</v>
      </c>
      <c r="S56" s="35" t="n">
        <v>1.82078854827371</v>
      </c>
      <c r="T56" s="35" t="n">
        <v>1.81954854056135</v>
      </c>
      <c r="U56" s="35" t="n">
        <v>1.81938011419771</v>
      </c>
      <c r="V56" s="35" t="n">
        <v>1.81791707072063</v>
      </c>
      <c r="W56" s="35" t="n">
        <v>1.8169093568888</v>
      </c>
      <c r="X56" s="35" t="n">
        <v>1.8179896183652</v>
      </c>
      <c r="Y56" s="35" t="n">
        <v>1.81653956512122</v>
      </c>
      <c r="Z56" s="35" t="n">
        <v>1.81693738108417</v>
      </c>
      <c r="AA56" s="35" t="n">
        <v>1.81706288068888</v>
      </c>
      <c r="AB56" s="35" t="n">
        <v>1.81690785057428</v>
      </c>
      <c r="AC56" s="35" t="n">
        <v>1.81690785057428</v>
      </c>
      <c r="AD56" s="35" t="n">
        <v>1.81669077888099</v>
      </c>
      <c r="AE56" s="35" t="n">
        <v>1.81669077888099</v>
      </c>
      <c r="AF56" s="35" t="n">
        <v>1.81681446470467</v>
      </c>
      <c r="AG56" s="35" t="n">
        <v>1.81681291244285</v>
      </c>
      <c r="AH56" s="35" t="n">
        <v>1.81698571569806</v>
      </c>
      <c r="AI56" s="35" t="n">
        <v>1.81706373646939</v>
      </c>
      <c r="AJ56" s="35" t="n">
        <v>1.81747214847461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r="57" customFormat="false" ht="15" hidden="false" customHeight="false" outlineLevel="0" collapsed="false">
      <c r="A57" s="1"/>
      <c r="B57" s="8" t="s">
        <v>266</v>
      </c>
      <c r="C57" s="1"/>
      <c r="D57" s="1"/>
      <c r="E57" s="1"/>
      <c r="F57" s="1"/>
      <c r="G57" s="35" t="n">
        <v>1.73803120562384</v>
      </c>
      <c r="H57" s="35" t="n">
        <v>1.73762071832922</v>
      </c>
      <c r="I57" s="35" t="n">
        <v>1.74183416939055</v>
      </c>
      <c r="J57" s="35" t="n">
        <v>1.74527686326964</v>
      </c>
      <c r="K57" s="35" t="n">
        <v>1.74601642793792</v>
      </c>
      <c r="L57" s="35" t="n">
        <v>1.75002856280155</v>
      </c>
      <c r="M57" s="35" t="n">
        <v>1.75154508038467</v>
      </c>
      <c r="N57" s="35" t="n">
        <v>1.75229982467152</v>
      </c>
      <c r="O57" s="35" t="n">
        <v>1.75505091422174</v>
      </c>
      <c r="P57" s="35" t="n">
        <v>1.75644159835988</v>
      </c>
      <c r="Q57" s="35" t="n">
        <v>1.75565698632301</v>
      </c>
      <c r="R57" s="35" t="n">
        <v>1.75554616979372</v>
      </c>
      <c r="S57" s="35" t="n">
        <v>1.75717174093864</v>
      </c>
      <c r="T57" s="35" t="n">
        <v>1.75760176398415</v>
      </c>
      <c r="U57" s="35" t="n">
        <v>1.75920926661242</v>
      </c>
      <c r="V57" s="35" t="n">
        <v>1.75898480181947</v>
      </c>
      <c r="W57" s="35" t="n">
        <v>1.75828130258272</v>
      </c>
      <c r="X57" s="35" t="n">
        <v>1.75779335910412</v>
      </c>
      <c r="Y57" s="35" t="n">
        <v>1.75759503523948</v>
      </c>
      <c r="Z57" s="35" t="n">
        <v>1.75820211557948</v>
      </c>
      <c r="AA57" s="35" t="n">
        <v>1.75829852538226</v>
      </c>
      <c r="AB57" s="35" t="n">
        <v>1.75856713755049</v>
      </c>
      <c r="AC57" s="35" t="n">
        <v>1.75875921993878</v>
      </c>
      <c r="AD57" s="35" t="n">
        <v>1.75840169961468</v>
      </c>
      <c r="AE57" s="35" t="n">
        <v>1.7584303551853</v>
      </c>
      <c r="AF57" s="35" t="n">
        <v>1.75829549378949</v>
      </c>
      <c r="AG57" s="35" t="n">
        <v>1.75714538538799</v>
      </c>
      <c r="AH57" s="35" t="n">
        <v>1.75625293424231</v>
      </c>
      <c r="AI57" s="35" t="n">
        <v>1.75645214365217</v>
      </c>
      <c r="AJ57" s="35" t="n">
        <v>1.75616740471134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8" customFormat="false" ht="15" hidden="false" customHeight="false" outlineLevel="0" collapsed="false">
      <c r="A58" s="1"/>
      <c r="B58" s="8" t="s">
        <v>267</v>
      </c>
      <c r="C58" s="1"/>
      <c r="D58" s="1"/>
      <c r="E58" s="1"/>
      <c r="F58" s="1"/>
      <c r="G58" s="35" t="n">
        <v>1.65802680382964</v>
      </c>
      <c r="H58" s="35" t="n">
        <v>1.65914779225982</v>
      </c>
      <c r="I58" s="35" t="n">
        <v>1.66305629975375</v>
      </c>
      <c r="J58" s="35" t="n">
        <v>1.66781294529032</v>
      </c>
      <c r="K58" s="35" t="n">
        <v>1.6719435738187</v>
      </c>
      <c r="L58" s="35" t="n">
        <v>1.67180644200881</v>
      </c>
      <c r="M58" s="35" t="n">
        <v>1.67282010323889</v>
      </c>
      <c r="N58" s="35" t="n">
        <v>1.67352509487449</v>
      </c>
      <c r="O58" s="35" t="n">
        <v>1.67345685066096</v>
      </c>
      <c r="P58" s="35" t="n">
        <v>1.67376098651617</v>
      </c>
      <c r="Q58" s="35" t="n">
        <v>1.67338106142634</v>
      </c>
      <c r="R58" s="35" t="n">
        <v>1.67378137803258</v>
      </c>
      <c r="S58" s="35" t="n">
        <v>1.67059684780326</v>
      </c>
      <c r="T58" s="35" t="n">
        <v>1.67056192647752</v>
      </c>
      <c r="U58" s="35" t="n">
        <v>1.66919450288061</v>
      </c>
      <c r="V58" s="35" t="n">
        <v>1.66816772047168</v>
      </c>
      <c r="W58" s="35" t="n">
        <v>1.66647305901297</v>
      </c>
      <c r="X58" s="35" t="n">
        <v>1.66550109738489</v>
      </c>
      <c r="Y58" s="35" t="n">
        <v>1.66520821735287</v>
      </c>
      <c r="Z58" s="35" t="n">
        <v>1.66521551370383</v>
      </c>
      <c r="AA58" s="35" t="n">
        <v>1.66521551370383</v>
      </c>
      <c r="AB58" s="35" t="n">
        <v>1.66521551370383</v>
      </c>
      <c r="AC58" s="35" t="n">
        <v>1.66521551370383</v>
      </c>
      <c r="AD58" s="35" t="n">
        <v>1.66521551370383</v>
      </c>
      <c r="AE58" s="35" t="n">
        <v>1.66521551370383</v>
      </c>
      <c r="AF58" s="35" t="n">
        <v>1.66521551370383</v>
      </c>
      <c r="AG58" s="35" t="n">
        <v>1.66521551370383</v>
      </c>
      <c r="AH58" s="35" t="n">
        <v>1.66521551370383</v>
      </c>
      <c r="AI58" s="35" t="n">
        <v>1.66521551370383</v>
      </c>
      <c r="AJ58" s="35" t="n">
        <v>1.66521551370383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</row>
    <row r="59" customFormat="false" ht="15" hidden="false" customHeight="false" outlineLevel="0" collapsed="false">
      <c r="A59" s="1"/>
      <c r="B59" s="4" t="s">
        <v>268</v>
      </c>
      <c r="C59" s="1"/>
      <c r="D59" s="1"/>
      <c r="E59" s="1"/>
      <c r="F59" s="1"/>
      <c r="G59" s="36" t="n">
        <f aca="false">CHOOSE(Dashboard!$C$4,G56,G57,G58)</f>
        <v>1.73803120562384</v>
      </c>
      <c r="H59" s="36" t="n">
        <f aca="false">CHOOSE(Dashboard!$C$4,H56,H57,H58)</f>
        <v>1.73762071832922</v>
      </c>
      <c r="I59" s="36" t="n">
        <f aca="false">CHOOSE(Dashboard!$C$4,I56,I57,I58)</f>
        <v>1.74183416939055</v>
      </c>
      <c r="J59" s="36" t="n">
        <f aca="false">CHOOSE(Dashboard!$C$4,J56,J57,J58)</f>
        <v>1.74527686326964</v>
      </c>
      <c r="K59" s="36" t="n">
        <f aca="false">CHOOSE(Dashboard!$C$4,K56,K57,K58)</f>
        <v>1.74601642793792</v>
      </c>
      <c r="L59" s="36" t="n">
        <f aca="false">CHOOSE(Dashboard!$C$4,L56,L57,L58)</f>
        <v>1.75002856280155</v>
      </c>
      <c r="M59" s="36" t="n">
        <f aca="false">CHOOSE(Dashboard!$C$4,M56,M57,M58)</f>
        <v>1.75154508038467</v>
      </c>
      <c r="N59" s="36" t="n">
        <f aca="false">CHOOSE(Dashboard!$C$4,N56,N57,N58)</f>
        <v>1.75229982467152</v>
      </c>
      <c r="O59" s="36" t="n">
        <f aca="false">CHOOSE(Dashboard!$C$4,O56,O57,O58)</f>
        <v>1.75505091422174</v>
      </c>
      <c r="P59" s="36" t="n">
        <f aca="false">CHOOSE(Dashboard!$C$4,P56,P57,P58)</f>
        <v>1.75644159835988</v>
      </c>
      <c r="Q59" s="36" t="n">
        <f aca="false">CHOOSE(Dashboard!$C$4,Q56,Q57,Q58)</f>
        <v>1.75565698632301</v>
      </c>
      <c r="R59" s="36" t="n">
        <f aca="false">CHOOSE(Dashboard!$C$4,R56,R57,R58)</f>
        <v>1.75554616979372</v>
      </c>
      <c r="S59" s="36" t="n">
        <f aca="false">CHOOSE(Dashboard!$C$4,S56,S57,S58)</f>
        <v>1.75717174093864</v>
      </c>
      <c r="T59" s="36" t="n">
        <f aca="false">CHOOSE(Dashboard!$C$4,T56,T57,T58)</f>
        <v>1.75760176398415</v>
      </c>
      <c r="U59" s="36" t="n">
        <f aca="false">CHOOSE(Dashboard!$C$4,U56,U57,U58)</f>
        <v>1.75920926661242</v>
      </c>
      <c r="V59" s="36" t="n">
        <f aca="false">CHOOSE(Dashboard!$C$4,V56,V57,V58)</f>
        <v>1.75898480181947</v>
      </c>
      <c r="W59" s="36" t="n">
        <f aca="false">CHOOSE(Dashboard!$C$4,W56,W57,W58)</f>
        <v>1.75828130258272</v>
      </c>
      <c r="X59" s="36" t="n">
        <f aca="false">CHOOSE(Dashboard!$C$4,X56,X57,X58)</f>
        <v>1.75779335910412</v>
      </c>
      <c r="Y59" s="36" t="n">
        <f aca="false">CHOOSE(Dashboard!$C$4,Y56,Y57,Y58)</f>
        <v>1.75759503523948</v>
      </c>
      <c r="Z59" s="36" t="n">
        <f aca="false">CHOOSE(Dashboard!$C$4,Z56,Z57,Z58)</f>
        <v>1.75820211557948</v>
      </c>
      <c r="AA59" s="36" t="n">
        <f aca="false">CHOOSE(Dashboard!$C$4,AA56,AA57,AA58)</f>
        <v>1.75829852538226</v>
      </c>
      <c r="AB59" s="36" t="n">
        <f aca="false">CHOOSE(Dashboard!$C$4,AB56,AB57,AB58)</f>
        <v>1.75856713755049</v>
      </c>
      <c r="AC59" s="36" t="n">
        <f aca="false">CHOOSE(Dashboard!$C$4,AC56,AC57,AC58)</f>
        <v>1.75875921993878</v>
      </c>
      <c r="AD59" s="36" t="n">
        <f aca="false">CHOOSE(Dashboard!$C$4,AD56,AD57,AD58)</f>
        <v>1.75840169961468</v>
      </c>
      <c r="AE59" s="36" t="n">
        <f aca="false">CHOOSE(Dashboard!$C$4,AE56,AE57,AE58)</f>
        <v>1.7584303551853</v>
      </c>
      <c r="AF59" s="36" t="n">
        <f aca="false">CHOOSE(Dashboard!$C$4,AF56,AF57,AF58)</f>
        <v>1.75829549378949</v>
      </c>
      <c r="AG59" s="36" t="n">
        <f aca="false">CHOOSE(Dashboard!$C$4,AG56,AG57,AG58)</f>
        <v>1.75714538538799</v>
      </c>
      <c r="AH59" s="36" t="n">
        <f aca="false">CHOOSE(Dashboard!$C$4,AH56,AH57,AH58)</f>
        <v>1.75625293424231</v>
      </c>
      <c r="AI59" s="36" t="n">
        <f aca="false">CHOOSE(Dashboard!$C$4,AI56,AI57,AI58)</f>
        <v>1.75645214365217</v>
      </c>
      <c r="AJ59" s="36" t="n">
        <f aca="false">CHOOSE(Dashboard!$C$4,AJ56,AJ57,AJ58)</f>
        <v>1.75616740471134</v>
      </c>
      <c r="AK59" s="36" t="n">
        <f aca="false">CHOOSE(Dashboard!$C$4,AK56,AK57,AK58)</f>
        <v>0</v>
      </c>
      <c r="AL59" s="36" t="n">
        <f aca="false">CHOOSE(Dashboard!$C$4,AL56,AL57,AL58)</f>
        <v>0</v>
      </c>
      <c r="AM59" s="36" t="n">
        <f aca="false">CHOOSE(Dashboard!$C$4,AM56,AM57,AM58)</f>
        <v>0</v>
      </c>
      <c r="AN59" s="36" t="n">
        <f aca="false">CHOOSE(Dashboard!$C$4,AN56,AN57,AN58)</f>
        <v>0</v>
      </c>
      <c r="AO59" s="36" t="n">
        <f aca="false">CHOOSE(Dashboard!$C$4,AO56,AO57,AO58)</f>
        <v>0</v>
      </c>
      <c r="AP59" s="36" t="n">
        <f aca="false">CHOOSE(Dashboard!$C$4,AP56,AP57,AP58)</f>
        <v>0</v>
      </c>
      <c r="AQ59" s="36" t="n">
        <f aca="false">CHOOSE(Dashboard!$C$4,AQ56,AQ57,AQ58)</f>
        <v>0</v>
      </c>
      <c r="AR59" s="36" t="n">
        <f aca="false">CHOOSE(Dashboard!$C$4,AR56,AR57,AR58)</f>
        <v>0</v>
      </c>
      <c r="AS59" s="36" t="n">
        <f aca="false">CHOOSE(Dashboard!$C$4,AS56,AS57,AS58)</f>
        <v>0</v>
      </c>
      <c r="AT59" s="36" t="n">
        <f aca="false">CHOOSE(Dashboard!$C$4,AT56,AT57,AT58)</f>
        <v>0</v>
      </c>
      <c r="AU59" s="36" t="n">
        <f aca="false">CHOOSE(Dashboard!$C$4,AU56,AU57,AU58)</f>
        <v>0</v>
      </c>
      <c r="AV59" s="36" t="n">
        <f aca="false">CHOOSE(Dashboard!$C$4,AV56,AV57,AV58)</f>
        <v>0</v>
      </c>
      <c r="AW59" s="36" t="n">
        <f aca="false">CHOOSE(Dashboard!$C$4,AW56,AW57,AW58)</f>
        <v>0</v>
      </c>
      <c r="AX59" s="36" t="n">
        <f aca="false">CHOOSE(Dashboard!$C$4,AX56,AX57,AX58)</f>
        <v>0</v>
      </c>
      <c r="AY59" s="36" t="n">
        <f aca="false">CHOOSE(Dashboard!$C$4,AY56,AY57,AY58)</f>
        <v>0</v>
      </c>
      <c r="AZ59" s="36" t="n">
        <f aca="false">CHOOSE(Dashboard!$C$4,AZ56,AZ57,AZ58)</f>
        <v>0</v>
      </c>
      <c r="BA59" s="36" t="n">
        <f aca="false">CHOOSE(Dashboard!$C$4,BA56,BA57,BA58)</f>
        <v>0</v>
      </c>
      <c r="BB59" s="36" t="n">
        <f aca="false">CHOOSE(Dashboard!$C$4,BB56,BB57,BB58)</f>
        <v>0</v>
      </c>
      <c r="BC59" s="36" t="n">
        <f aca="false">CHOOSE(Dashboard!$C$4,BC56,BC57,BC58)</f>
        <v>0</v>
      </c>
      <c r="BD59" s="36" t="n">
        <f aca="false">CHOOSE(Dashboard!$C$4,BD56,BD57,BD58)</f>
        <v>0</v>
      </c>
      <c r="BE59" s="36" t="n">
        <f aca="false">CHOOSE(Dashboard!$C$4,BE56,BE57,BE58)</f>
        <v>0</v>
      </c>
      <c r="BF59" s="36" t="n">
        <f aca="false">CHOOSE(Dashboard!$C$4,BF56,BF57,BF58)</f>
        <v>0</v>
      </c>
      <c r="BG59" s="36" t="n">
        <f aca="false">CHOOSE(Dashboard!$C$4,BG56,BG57,BG58)</f>
        <v>0</v>
      </c>
      <c r="BH59" s="36" t="n">
        <f aca="false">CHOOSE(Dashboard!$C$4,BH56,BH57,BH58)</f>
        <v>0</v>
      </c>
      <c r="BI59" s="36" t="n">
        <f aca="false">CHOOSE(Dashboard!$C$4,BI56,BI57,BI58)</f>
        <v>0</v>
      </c>
      <c r="BJ59" s="36" t="n">
        <f aca="false">CHOOSE(Dashboard!$C$4,BJ56,BJ57,BJ58)</f>
        <v>0</v>
      </c>
      <c r="BK59" s="36" t="n">
        <f aca="false">CHOOSE(Dashboard!$C$4,BK56,BK57,BK58)</f>
        <v>0</v>
      </c>
      <c r="BL59" s="36" t="n">
        <f aca="false">CHOOSE(Dashboard!$C$4,BL56,BL57,BL58)</f>
        <v>0</v>
      </c>
      <c r="BM59" s="36" t="n">
        <f aca="false">CHOOSE(Dashboard!$C$4,BM56,BM57,BM58)</f>
        <v>0</v>
      </c>
      <c r="BN59" s="36" t="n">
        <f aca="false">CHOOSE(Dashboard!$C$4,BN56,BN57,BN58)</f>
        <v>0</v>
      </c>
    </row>
    <row r="60" customFormat="false" ht="15" hidden="false" customHeight="false" outlineLevel="0" collapsed="false">
      <c r="A60" s="1"/>
      <c r="B60" s="8" t="s">
        <v>269</v>
      </c>
      <c r="C60" s="1"/>
      <c r="D60" s="1"/>
      <c r="E60" s="1"/>
      <c r="F60" s="1"/>
      <c r="G60" s="35" t="n">
        <v>22.9365997250613</v>
      </c>
      <c r="H60" s="35" t="n">
        <v>24.4787639238232</v>
      </c>
      <c r="I60" s="35" t="n">
        <v>26.9106681737564</v>
      </c>
      <c r="J60" s="35" t="n">
        <v>31.1185437260304</v>
      </c>
      <c r="K60" s="35" t="n">
        <v>33.2560030797363</v>
      </c>
      <c r="L60" s="35" t="n">
        <v>33.6656539514647</v>
      </c>
      <c r="M60" s="35" t="n">
        <v>34.0934259152696</v>
      </c>
      <c r="N60" s="35" t="n">
        <v>35.8872341579861</v>
      </c>
      <c r="O60" s="35" t="n">
        <v>36.3051422166176</v>
      </c>
      <c r="P60" s="35" t="n">
        <v>37.2474847326567</v>
      </c>
      <c r="Q60" s="35" t="n">
        <v>37.4110482688452</v>
      </c>
      <c r="R60" s="35" t="n">
        <v>37.5472413266086</v>
      </c>
      <c r="S60" s="35" t="n">
        <v>40.0364120069875</v>
      </c>
      <c r="T60" s="35" t="n">
        <v>40.8338879102238</v>
      </c>
      <c r="U60" s="35" t="n">
        <v>43.0307595731325</v>
      </c>
      <c r="V60" s="35" t="n">
        <v>43.8681891652328</v>
      </c>
      <c r="W60" s="35" t="n">
        <v>44.5099044262908</v>
      </c>
      <c r="X60" s="35" t="n">
        <v>44.998533186652</v>
      </c>
      <c r="Y60" s="35" t="n">
        <v>45.2295388803812</v>
      </c>
      <c r="Z60" s="35" t="n">
        <v>45.5863488252444</v>
      </c>
      <c r="AA60" s="35" t="n">
        <v>45.4693807731782</v>
      </c>
      <c r="AB60" s="35" t="n">
        <v>45.4305246966331</v>
      </c>
      <c r="AC60" s="35" t="n">
        <v>45.4305246966331</v>
      </c>
      <c r="AD60" s="35" t="n">
        <v>45.4072429108302</v>
      </c>
      <c r="AE60" s="35" t="n">
        <v>45.4072429108302</v>
      </c>
      <c r="AF60" s="35" t="n">
        <v>45.3917349726776</v>
      </c>
      <c r="AG60" s="35" t="n">
        <v>45.2833276118549</v>
      </c>
      <c r="AH60" s="35" t="n">
        <v>45.1438512434406</v>
      </c>
      <c r="AI60" s="35" t="n">
        <v>45.1052601584316</v>
      </c>
      <c r="AJ60" s="35" t="n">
        <v>44.9950625659581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</row>
    <row r="61" customFormat="false" ht="15" hidden="false" customHeight="false" outlineLevel="0" collapsed="false">
      <c r="A61" s="1"/>
      <c r="B61" s="8" t="s">
        <v>270</v>
      </c>
      <c r="C61" s="1"/>
      <c r="D61" s="1"/>
      <c r="E61" s="1"/>
      <c r="F61" s="1"/>
      <c r="G61" s="35" t="n">
        <v>27.4866555470154</v>
      </c>
      <c r="H61" s="35" t="n">
        <v>28.8751425923943</v>
      </c>
      <c r="I61" s="35" t="n">
        <v>31.7515801601662</v>
      </c>
      <c r="J61" s="35" t="n">
        <v>35.4659944135219</v>
      </c>
      <c r="K61" s="35" t="n">
        <v>38.5739049031518</v>
      </c>
      <c r="L61" s="35" t="n">
        <v>39.8705792472351</v>
      </c>
      <c r="M61" s="35" t="n">
        <v>41.5261928595262</v>
      </c>
      <c r="N61" s="35" t="n">
        <v>44.4535873634545</v>
      </c>
      <c r="O61" s="35" t="n">
        <v>47.3771407335177</v>
      </c>
      <c r="P61" s="35" t="n">
        <v>49.5750116082813</v>
      </c>
      <c r="Q61" s="35" t="n">
        <v>49.9024839695571</v>
      </c>
      <c r="R61" s="35" t="n">
        <v>50.1806472023863</v>
      </c>
      <c r="S61" s="35" t="n">
        <v>50.416972105185</v>
      </c>
      <c r="T61" s="35" t="n">
        <v>50.8503794890781</v>
      </c>
      <c r="U61" s="35" t="n">
        <v>51.1970311460347</v>
      </c>
      <c r="V61" s="35" t="n">
        <v>51.385283209375</v>
      </c>
      <c r="W61" s="35" t="n">
        <v>51.4341218712432</v>
      </c>
      <c r="X61" s="35" t="n">
        <v>51.4652131575439</v>
      </c>
      <c r="Y61" s="35" t="n">
        <v>51.8276210454562</v>
      </c>
      <c r="Z61" s="35" t="n">
        <v>52.2354038105286</v>
      </c>
      <c r="AA61" s="35" t="n">
        <v>52.2749521174718</v>
      </c>
      <c r="AB61" s="35" t="n">
        <v>52.1460138099073</v>
      </c>
      <c r="AC61" s="35" t="n">
        <v>52.1302430511564</v>
      </c>
      <c r="AD61" s="35" t="n">
        <v>52.3287070854638</v>
      </c>
      <c r="AE61" s="35" t="n">
        <v>52.2111144852718</v>
      </c>
      <c r="AF61" s="35" t="n">
        <v>52.0992069914226</v>
      </c>
      <c r="AG61" s="35" t="n">
        <v>51.5792247195497</v>
      </c>
      <c r="AH61" s="35" t="n">
        <v>50.9181198589894</v>
      </c>
      <c r="AI61" s="35" t="n">
        <v>50.8444322759808</v>
      </c>
      <c r="AJ61" s="35" t="n">
        <v>50.9914848489574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</row>
    <row r="62" customFormat="false" ht="15" hidden="false" customHeight="false" outlineLevel="0" collapsed="false">
      <c r="A62" s="1"/>
      <c r="B62" s="8" t="s">
        <v>271</v>
      </c>
      <c r="C62" s="1"/>
      <c r="D62" s="1"/>
      <c r="E62" s="1"/>
      <c r="F62" s="1"/>
      <c r="G62" s="35" t="n">
        <v>40.2559166521842</v>
      </c>
      <c r="H62" s="35" t="n">
        <v>43.9975527400019</v>
      </c>
      <c r="I62" s="35" t="n">
        <v>50.3449895926256</v>
      </c>
      <c r="J62" s="35" t="n">
        <v>55.1682417589938</v>
      </c>
      <c r="K62" s="35" t="n">
        <v>59.1213495040619</v>
      </c>
      <c r="L62" s="35" t="n">
        <v>59.2076454455362</v>
      </c>
      <c r="M62" s="35" t="n">
        <v>60.0442086648983</v>
      </c>
      <c r="N62" s="35" t="n">
        <v>59.8295259262654</v>
      </c>
      <c r="O62" s="35" t="n">
        <v>59.9600440892808</v>
      </c>
      <c r="P62" s="35" t="n">
        <v>60.2329822500754</v>
      </c>
      <c r="Q62" s="35" t="n">
        <v>60.1282828435904</v>
      </c>
      <c r="R62" s="35" t="n">
        <v>59.3695167726603</v>
      </c>
      <c r="S62" s="35" t="n">
        <v>58.1616241981658</v>
      </c>
      <c r="T62" s="35" t="n">
        <v>58.1087493342372</v>
      </c>
      <c r="U62" s="35" t="n">
        <v>57.3678748694281</v>
      </c>
      <c r="V62" s="35" t="n">
        <v>56.9071816167593</v>
      </c>
      <c r="W62" s="35" t="n">
        <v>54.5278106808724</v>
      </c>
      <c r="X62" s="35" t="n">
        <v>53.6810559716956</v>
      </c>
      <c r="Y62" s="35" t="n">
        <v>52.5333238629638</v>
      </c>
      <c r="Z62" s="35" t="n">
        <v>52.0069378523128</v>
      </c>
      <c r="AA62" s="35" t="n">
        <v>52.0069378523128</v>
      </c>
      <c r="AB62" s="35" t="n">
        <v>52.0069378523128</v>
      </c>
      <c r="AC62" s="35" t="n">
        <v>52.0069378523128</v>
      </c>
      <c r="AD62" s="35" t="n">
        <v>52.0069378523128</v>
      </c>
      <c r="AE62" s="35" t="n">
        <v>52.0069378523128</v>
      </c>
      <c r="AF62" s="35" t="n">
        <v>52.0069378523128</v>
      </c>
      <c r="AG62" s="35" t="n">
        <v>52.0069378523128</v>
      </c>
      <c r="AH62" s="35" t="n">
        <v>52.0069378523128</v>
      </c>
      <c r="AI62" s="35" t="n">
        <v>52.0069378523128</v>
      </c>
      <c r="AJ62" s="35" t="n">
        <v>52.0069378523128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</row>
    <row r="63" customFormat="false" ht="15" hidden="false" customHeight="false" outlineLevel="0" collapsed="false">
      <c r="A63" s="1"/>
      <c r="B63" s="4" t="s">
        <v>272</v>
      </c>
      <c r="C63" s="1"/>
      <c r="D63" s="1"/>
      <c r="E63" s="1"/>
      <c r="F63" s="1"/>
      <c r="G63" s="36" t="n">
        <f aca="false">CHOOSE(Dashboard!$C$4,G60,G61,G62)</f>
        <v>27.4866555470154</v>
      </c>
      <c r="H63" s="36" t="n">
        <f aca="false">CHOOSE(Dashboard!$C$4,H60,H61,H62)</f>
        <v>28.8751425923943</v>
      </c>
      <c r="I63" s="36" t="n">
        <f aca="false">CHOOSE(Dashboard!$C$4,I60,I61,I62)</f>
        <v>31.7515801601662</v>
      </c>
      <c r="J63" s="36" t="n">
        <f aca="false">CHOOSE(Dashboard!$C$4,J60,J61,J62)</f>
        <v>35.4659944135219</v>
      </c>
      <c r="K63" s="36" t="n">
        <f aca="false">CHOOSE(Dashboard!$C$4,K60,K61,K62)</f>
        <v>38.5739049031518</v>
      </c>
      <c r="L63" s="36" t="n">
        <f aca="false">CHOOSE(Dashboard!$C$4,L60,L61,L62)</f>
        <v>39.8705792472351</v>
      </c>
      <c r="M63" s="36" t="n">
        <f aca="false">CHOOSE(Dashboard!$C$4,M60,M61,M62)</f>
        <v>41.5261928595262</v>
      </c>
      <c r="N63" s="36" t="n">
        <f aca="false">CHOOSE(Dashboard!$C$4,N60,N61,N62)</f>
        <v>44.4535873634545</v>
      </c>
      <c r="O63" s="36" t="n">
        <f aca="false">CHOOSE(Dashboard!$C$4,O60,O61,O62)</f>
        <v>47.3771407335177</v>
      </c>
      <c r="P63" s="36" t="n">
        <f aca="false">CHOOSE(Dashboard!$C$4,P60,P61,P62)</f>
        <v>49.5750116082813</v>
      </c>
      <c r="Q63" s="36" t="n">
        <f aca="false">CHOOSE(Dashboard!$C$4,Q60,Q61,Q62)</f>
        <v>49.9024839695571</v>
      </c>
      <c r="R63" s="36" t="n">
        <f aca="false">CHOOSE(Dashboard!$C$4,R60,R61,R62)</f>
        <v>50.1806472023863</v>
      </c>
      <c r="S63" s="36" t="n">
        <f aca="false">CHOOSE(Dashboard!$C$4,S60,S61,S62)</f>
        <v>50.416972105185</v>
      </c>
      <c r="T63" s="36" t="n">
        <f aca="false">CHOOSE(Dashboard!$C$4,T60,T61,T62)</f>
        <v>50.8503794890781</v>
      </c>
      <c r="U63" s="36" t="n">
        <f aca="false">CHOOSE(Dashboard!$C$4,U60,U61,U62)</f>
        <v>51.1970311460347</v>
      </c>
      <c r="V63" s="36" t="n">
        <f aca="false">CHOOSE(Dashboard!$C$4,V60,V61,V62)</f>
        <v>51.385283209375</v>
      </c>
      <c r="W63" s="36" t="n">
        <f aca="false">CHOOSE(Dashboard!$C$4,W60,W61,W62)</f>
        <v>51.4341218712432</v>
      </c>
      <c r="X63" s="36" t="n">
        <f aca="false">CHOOSE(Dashboard!$C$4,X60,X61,X62)</f>
        <v>51.4652131575439</v>
      </c>
      <c r="Y63" s="36" t="n">
        <f aca="false">CHOOSE(Dashboard!$C$4,Y60,Y61,Y62)</f>
        <v>51.8276210454562</v>
      </c>
      <c r="Z63" s="36" t="n">
        <f aca="false">CHOOSE(Dashboard!$C$4,Z60,Z61,Z62)</f>
        <v>52.2354038105286</v>
      </c>
      <c r="AA63" s="36" t="n">
        <f aca="false">CHOOSE(Dashboard!$C$4,AA60,AA61,AA62)</f>
        <v>52.2749521174718</v>
      </c>
      <c r="AB63" s="36" t="n">
        <f aca="false">CHOOSE(Dashboard!$C$4,AB60,AB61,AB62)</f>
        <v>52.1460138099073</v>
      </c>
      <c r="AC63" s="36" t="n">
        <f aca="false">CHOOSE(Dashboard!$C$4,AC60,AC61,AC62)</f>
        <v>52.1302430511564</v>
      </c>
      <c r="AD63" s="36" t="n">
        <f aca="false">CHOOSE(Dashboard!$C$4,AD60,AD61,AD62)</f>
        <v>52.3287070854638</v>
      </c>
      <c r="AE63" s="36" t="n">
        <f aca="false">CHOOSE(Dashboard!$C$4,AE60,AE61,AE62)</f>
        <v>52.2111144852718</v>
      </c>
      <c r="AF63" s="36" t="n">
        <f aca="false">CHOOSE(Dashboard!$C$4,AF60,AF61,AF62)</f>
        <v>52.0992069914226</v>
      </c>
      <c r="AG63" s="36" t="n">
        <f aca="false">CHOOSE(Dashboard!$C$4,AG60,AG61,AG62)</f>
        <v>51.5792247195497</v>
      </c>
      <c r="AH63" s="36" t="n">
        <f aca="false">CHOOSE(Dashboard!$C$4,AH60,AH61,AH62)</f>
        <v>50.9181198589894</v>
      </c>
      <c r="AI63" s="36" t="n">
        <f aca="false">CHOOSE(Dashboard!$C$4,AI60,AI61,AI62)</f>
        <v>50.8444322759808</v>
      </c>
      <c r="AJ63" s="36" t="n">
        <f aca="false">CHOOSE(Dashboard!$C$4,AJ60,AJ61,AJ62)</f>
        <v>50.9914848489574</v>
      </c>
      <c r="AK63" s="36" t="n">
        <f aca="false">CHOOSE(Dashboard!$C$4,AK60,AK61,AK62)</f>
        <v>0</v>
      </c>
      <c r="AL63" s="36" t="n">
        <f aca="false">CHOOSE(Dashboard!$C$4,AL60,AL61,AL62)</f>
        <v>0</v>
      </c>
      <c r="AM63" s="36" t="n">
        <f aca="false">CHOOSE(Dashboard!$C$4,AM60,AM61,AM62)</f>
        <v>0</v>
      </c>
      <c r="AN63" s="36" t="n">
        <f aca="false">CHOOSE(Dashboard!$C$4,AN60,AN61,AN62)</f>
        <v>0</v>
      </c>
      <c r="AO63" s="36" t="n">
        <f aca="false">CHOOSE(Dashboard!$C$4,AO60,AO61,AO62)</f>
        <v>0</v>
      </c>
      <c r="AP63" s="36" t="n">
        <f aca="false">CHOOSE(Dashboard!$C$4,AP60,AP61,AP62)</f>
        <v>0</v>
      </c>
      <c r="AQ63" s="36" t="n">
        <f aca="false">CHOOSE(Dashboard!$C$4,AQ60,AQ61,AQ62)</f>
        <v>0</v>
      </c>
      <c r="AR63" s="36" t="n">
        <f aca="false">CHOOSE(Dashboard!$C$4,AR60,AR61,AR62)</f>
        <v>0</v>
      </c>
      <c r="AS63" s="36" t="n">
        <f aca="false">CHOOSE(Dashboard!$C$4,AS60,AS61,AS62)</f>
        <v>0</v>
      </c>
      <c r="AT63" s="36" t="n">
        <f aca="false">CHOOSE(Dashboard!$C$4,AT60,AT61,AT62)</f>
        <v>0</v>
      </c>
      <c r="AU63" s="36" t="n">
        <f aca="false">CHOOSE(Dashboard!$C$4,AU60,AU61,AU62)</f>
        <v>0</v>
      </c>
      <c r="AV63" s="36" t="n">
        <f aca="false">CHOOSE(Dashboard!$C$4,AV60,AV61,AV62)</f>
        <v>0</v>
      </c>
      <c r="AW63" s="36" t="n">
        <f aca="false">CHOOSE(Dashboard!$C$4,AW60,AW61,AW62)</f>
        <v>0</v>
      </c>
      <c r="AX63" s="36" t="n">
        <f aca="false">CHOOSE(Dashboard!$C$4,AX60,AX61,AX62)</f>
        <v>0</v>
      </c>
      <c r="AY63" s="36" t="n">
        <f aca="false">CHOOSE(Dashboard!$C$4,AY60,AY61,AY62)</f>
        <v>0</v>
      </c>
      <c r="AZ63" s="36" t="n">
        <f aca="false">CHOOSE(Dashboard!$C$4,AZ60,AZ61,AZ62)</f>
        <v>0</v>
      </c>
      <c r="BA63" s="36" t="n">
        <f aca="false">CHOOSE(Dashboard!$C$4,BA60,BA61,BA62)</f>
        <v>0</v>
      </c>
      <c r="BB63" s="36" t="n">
        <f aca="false">CHOOSE(Dashboard!$C$4,BB60,BB61,BB62)</f>
        <v>0</v>
      </c>
      <c r="BC63" s="36" t="n">
        <f aca="false">CHOOSE(Dashboard!$C$4,BC60,BC61,BC62)</f>
        <v>0</v>
      </c>
      <c r="BD63" s="36" t="n">
        <f aca="false">CHOOSE(Dashboard!$C$4,BD60,BD61,BD62)</f>
        <v>0</v>
      </c>
      <c r="BE63" s="36" t="n">
        <f aca="false">CHOOSE(Dashboard!$C$4,BE60,BE61,BE62)</f>
        <v>0</v>
      </c>
      <c r="BF63" s="36" t="n">
        <f aca="false">CHOOSE(Dashboard!$C$4,BF60,BF61,BF62)</f>
        <v>0</v>
      </c>
      <c r="BG63" s="36" t="n">
        <f aca="false">CHOOSE(Dashboard!$C$4,BG60,BG61,BG62)</f>
        <v>0</v>
      </c>
      <c r="BH63" s="36" t="n">
        <f aca="false">CHOOSE(Dashboard!$C$4,BH60,BH61,BH62)</f>
        <v>0</v>
      </c>
      <c r="BI63" s="36" t="n">
        <f aca="false">CHOOSE(Dashboard!$C$4,BI60,BI61,BI62)</f>
        <v>0</v>
      </c>
      <c r="BJ63" s="36" t="n">
        <f aca="false">CHOOSE(Dashboard!$C$4,BJ60,BJ61,BJ62)</f>
        <v>0</v>
      </c>
      <c r="BK63" s="36" t="n">
        <f aca="false">CHOOSE(Dashboard!$C$4,BK60,BK61,BK62)</f>
        <v>0</v>
      </c>
      <c r="BL63" s="36" t="n">
        <f aca="false">CHOOSE(Dashboard!$C$4,BL60,BL61,BL62)</f>
        <v>0</v>
      </c>
      <c r="BM63" s="36" t="n">
        <f aca="false">CHOOSE(Dashboard!$C$4,BM60,BM61,BM62)</f>
        <v>0</v>
      </c>
      <c r="BN63" s="36" t="n">
        <f aca="false">CHOOSE(Dashboard!$C$4,BN60,BN61,BN62)</f>
        <v>0</v>
      </c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</row>
    <row r="65" customFormat="false" ht="15" hidden="false" customHeight="false" outlineLevel="0" collapsed="false">
      <c r="A65" s="1"/>
      <c r="B65" s="13" t="s">
        <v>20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</row>
    <row r="66" customFormat="false" ht="15" hidden="false" customHeight="false" outlineLevel="0" collapsed="false">
      <c r="A66" s="1"/>
      <c r="B66" s="8" t="s">
        <v>249</v>
      </c>
      <c r="C66" s="1"/>
      <c r="D66" s="1"/>
      <c r="E66" s="1"/>
      <c r="F66" s="1"/>
      <c r="G66" s="35" t="n">
        <v>0.0453321917808219</v>
      </c>
      <c r="H66" s="35" t="n">
        <v>0.0422534246575343</v>
      </c>
      <c r="I66" s="35" t="n">
        <v>0.0385376712328767</v>
      </c>
      <c r="J66" s="35" t="n">
        <v>0.0371575342465753</v>
      </c>
      <c r="K66" s="35" t="n">
        <v>0.0341849315068493</v>
      </c>
      <c r="L66" s="35" t="n">
        <v>0.0335479452054795</v>
      </c>
      <c r="M66" s="35" t="n">
        <v>0.0328366438356164</v>
      </c>
      <c r="N66" s="35" t="n">
        <v>0.0324438356164384</v>
      </c>
      <c r="O66" s="35" t="n">
        <v>0.0312760273972603</v>
      </c>
      <c r="P66" s="35" t="n">
        <v>0.0293013698630137</v>
      </c>
      <c r="Q66" s="35" t="n">
        <v>0.0290890410958904</v>
      </c>
      <c r="R66" s="35" t="n">
        <v>0.0290890410958904</v>
      </c>
      <c r="S66" s="35" t="n">
        <v>0.0287705479452055</v>
      </c>
      <c r="T66" s="35" t="n">
        <v>0.0283458904109589</v>
      </c>
      <c r="U66" s="35" t="n">
        <v>0.0276027397260274</v>
      </c>
      <c r="V66" s="35" t="n">
        <v>0.0268595890410959</v>
      </c>
      <c r="W66" s="35" t="n">
        <v>0.026541095890411</v>
      </c>
      <c r="X66" s="35" t="n">
        <v>0.0264349315068493</v>
      </c>
      <c r="Y66" s="35" t="n">
        <v>0.0261164383561644</v>
      </c>
      <c r="Z66" s="35" t="n">
        <v>0.0259041095890411</v>
      </c>
      <c r="AA66" s="35" t="n">
        <v>0.0260102739726027</v>
      </c>
      <c r="AB66" s="35" t="n">
        <v>0.0260102739726027</v>
      </c>
      <c r="AC66" s="35" t="n">
        <v>0.0260102739726027</v>
      </c>
      <c r="AD66" s="35" t="n">
        <v>0.0261164383561644</v>
      </c>
      <c r="AE66" s="35" t="n">
        <v>0.0261164383561644</v>
      </c>
      <c r="AF66" s="35" t="n">
        <v>0.0261164383561644</v>
      </c>
      <c r="AG66" s="35" t="n">
        <v>0.0261164383561644</v>
      </c>
      <c r="AH66" s="35" t="n">
        <v>0.0261164383561644</v>
      </c>
      <c r="AI66" s="35" t="n">
        <v>0.0261164383561644</v>
      </c>
      <c r="AJ66" s="35" t="n">
        <v>0.0261164383561644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</row>
    <row r="67" customFormat="false" ht="15" hidden="false" customHeight="false" outlineLevel="0" collapsed="false">
      <c r="A67" s="1"/>
      <c r="B67" s="8" t="s">
        <v>250</v>
      </c>
      <c r="C67" s="1"/>
      <c r="D67" s="1"/>
      <c r="E67" s="1"/>
      <c r="F67" s="1"/>
      <c r="G67" s="35" t="n">
        <v>0.0610559360730594</v>
      </c>
      <c r="H67" s="35" t="n">
        <v>0.0556335616438356</v>
      </c>
      <c r="I67" s="35" t="n">
        <v>0.0517294520547945</v>
      </c>
      <c r="J67" s="35" t="n">
        <v>0.0476084474885845</v>
      </c>
      <c r="K67" s="35" t="n">
        <v>0.0435958904109589</v>
      </c>
      <c r="L67" s="35" t="n">
        <v>0.0422945205479452</v>
      </c>
      <c r="M67" s="35" t="n">
        <v>0.0405593607305936</v>
      </c>
      <c r="N67" s="35" t="n">
        <v>0.0376312785388128</v>
      </c>
      <c r="O67" s="35" t="n">
        <v>0.036763698630137</v>
      </c>
      <c r="P67" s="35" t="n">
        <v>0.0354623287671233</v>
      </c>
      <c r="Q67" s="35" t="n">
        <v>0.0352454337899543</v>
      </c>
      <c r="R67" s="35" t="n">
        <v>0.0350285388127854</v>
      </c>
      <c r="S67" s="35" t="n">
        <v>0.0349200913242009</v>
      </c>
      <c r="T67" s="35" t="n">
        <v>0.0348116438356164</v>
      </c>
      <c r="U67" s="35" t="n">
        <v>0.0339440639269406</v>
      </c>
      <c r="V67" s="35" t="n">
        <v>0.0335102739726027</v>
      </c>
      <c r="W67" s="35" t="n">
        <v>0.0335102739726027</v>
      </c>
      <c r="X67" s="35" t="n">
        <v>0.0330764840182648</v>
      </c>
      <c r="Y67" s="35" t="n">
        <v>0.0326426940639269</v>
      </c>
      <c r="Z67" s="35" t="n">
        <v>0.0326426940639269</v>
      </c>
      <c r="AA67" s="35" t="n">
        <v>0.0326426940639269</v>
      </c>
      <c r="AB67" s="35" t="n">
        <v>0.0326426940639269</v>
      </c>
      <c r="AC67" s="35" t="n">
        <v>0.0326426940639269</v>
      </c>
      <c r="AD67" s="35" t="n">
        <v>0.0326426940639269</v>
      </c>
      <c r="AE67" s="35" t="n">
        <v>0.0326426940639269</v>
      </c>
      <c r="AF67" s="35" t="n">
        <v>0.0326426940639269</v>
      </c>
      <c r="AG67" s="35" t="n">
        <v>0.0326426940639269</v>
      </c>
      <c r="AH67" s="35" t="n">
        <v>0.0325342465753425</v>
      </c>
      <c r="AI67" s="35" t="n">
        <v>0.0325342465753425</v>
      </c>
      <c r="AJ67" s="35" t="n">
        <v>0.0327511415525114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</row>
    <row r="68" customFormat="false" ht="15" hidden="false" customHeight="false" outlineLevel="0" collapsed="false">
      <c r="A68" s="1"/>
      <c r="B68" s="8" t="s">
        <v>251</v>
      </c>
      <c r="C68" s="1"/>
      <c r="D68" s="1"/>
      <c r="E68" s="1"/>
      <c r="F68" s="1"/>
      <c r="G68" s="35" t="n">
        <v>0.0570262557077626</v>
      </c>
      <c r="H68" s="35" t="n">
        <v>0.0523755707762557</v>
      </c>
      <c r="I68" s="35" t="n">
        <v>0.0477248858447489</v>
      </c>
      <c r="J68" s="35" t="n">
        <v>0.0437385844748858</v>
      </c>
      <c r="K68" s="35" t="n">
        <v>0.0404166666666667</v>
      </c>
      <c r="L68" s="35" t="n">
        <v>0.0399737442922374</v>
      </c>
      <c r="M68" s="35" t="n">
        <v>0.0400844748858448</v>
      </c>
      <c r="N68" s="35" t="n">
        <v>0.0400844748858448</v>
      </c>
      <c r="O68" s="35" t="n">
        <v>0.0398630136986301</v>
      </c>
      <c r="P68" s="35" t="n">
        <v>0.0397522831050228</v>
      </c>
      <c r="Q68" s="35" t="n">
        <v>0.0404166666666667</v>
      </c>
      <c r="R68" s="35" t="n">
        <v>0.0417454337899543</v>
      </c>
      <c r="S68" s="35" t="n">
        <v>0.0418561643835616</v>
      </c>
      <c r="T68" s="35" t="n">
        <v>0.0426312785388128</v>
      </c>
      <c r="U68" s="35" t="n">
        <v>0.0432956621004566</v>
      </c>
      <c r="V68" s="35" t="n">
        <v>0.0442922374429224</v>
      </c>
      <c r="W68" s="35" t="n">
        <v>0.0455102739726027</v>
      </c>
      <c r="X68" s="35" t="n">
        <v>0.0466175799086758</v>
      </c>
      <c r="Y68" s="35" t="n">
        <v>0.0473926940639269</v>
      </c>
      <c r="Z68" s="35" t="n">
        <v>0.0479463470319635</v>
      </c>
      <c r="AA68" s="35" t="n">
        <v>0.0479463470319635</v>
      </c>
      <c r="AB68" s="35" t="n">
        <v>0.0479463470319635</v>
      </c>
      <c r="AC68" s="35" t="n">
        <v>0.0479463470319635</v>
      </c>
      <c r="AD68" s="35" t="n">
        <v>0.0479463470319635</v>
      </c>
      <c r="AE68" s="35" t="n">
        <v>0.0479463470319635</v>
      </c>
      <c r="AF68" s="35" t="n">
        <v>0.0479463470319635</v>
      </c>
      <c r="AG68" s="35" t="n">
        <v>0.0479463470319635</v>
      </c>
      <c r="AH68" s="35" t="n">
        <v>0.0479463470319635</v>
      </c>
      <c r="AI68" s="35" t="n">
        <v>0.0479463470319635</v>
      </c>
      <c r="AJ68" s="35" t="n">
        <v>0.0479463470319635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</row>
    <row r="69" customFormat="false" ht="15" hidden="false" customHeight="false" outlineLevel="0" collapsed="false">
      <c r="A69" s="1"/>
      <c r="B69" s="4" t="s">
        <v>252</v>
      </c>
      <c r="C69" s="1"/>
      <c r="D69" s="1"/>
      <c r="E69" s="1"/>
      <c r="F69" s="1"/>
      <c r="G69" s="36" t="n">
        <f aca="false">CHOOSE(Dashboard!$C$4,G66,G67,G68)</f>
        <v>0.0610559360730594</v>
      </c>
      <c r="H69" s="36" t="n">
        <f aca="false">CHOOSE(Dashboard!$C$4,H66,H67,H68)</f>
        <v>0.0556335616438356</v>
      </c>
      <c r="I69" s="36" t="n">
        <f aca="false">CHOOSE(Dashboard!$C$4,I66,I67,I68)</f>
        <v>0.0517294520547945</v>
      </c>
      <c r="J69" s="36" t="n">
        <f aca="false">CHOOSE(Dashboard!$C$4,J66,J67,J68)</f>
        <v>0.0476084474885845</v>
      </c>
      <c r="K69" s="36" t="n">
        <f aca="false">CHOOSE(Dashboard!$C$4,K66,K67,K68)</f>
        <v>0.0435958904109589</v>
      </c>
      <c r="L69" s="36" t="n">
        <f aca="false">CHOOSE(Dashboard!$C$4,L66,L67,L68)</f>
        <v>0.0422945205479452</v>
      </c>
      <c r="M69" s="36" t="n">
        <f aca="false">CHOOSE(Dashboard!$C$4,M66,M67,M68)</f>
        <v>0.0405593607305936</v>
      </c>
      <c r="N69" s="36" t="n">
        <f aca="false">CHOOSE(Dashboard!$C$4,N66,N67,N68)</f>
        <v>0.0376312785388128</v>
      </c>
      <c r="O69" s="36" t="n">
        <f aca="false">CHOOSE(Dashboard!$C$4,O66,O67,O68)</f>
        <v>0.036763698630137</v>
      </c>
      <c r="P69" s="36" t="n">
        <f aca="false">CHOOSE(Dashboard!$C$4,P66,P67,P68)</f>
        <v>0.0354623287671233</v>
      </c>
      <c r="Q69" s="36" t="n">
        <f aca="false">CHOOSE(Dashboard!$C$4,Q66,Q67,Q68)</f>
        <v>0.0352454337899543</v>
      </c>
      <c r="R69" s="36" t="n">
        <f aca="false">CHOOSE(Dashboard!$C$4,R66,R67,R68)</f>
        <v>0.0350285388127854</v>
      </c>
      <c r="S69" s="36" t="n">
        <f aca="false">CHOOSE(Dashboard!$C$4,S66,S67,S68)</f>
        <v>0.0349200913242009</v>
      </c>
      <c r="T69" s="36" t="n">
        <f aca="false">CHOOSE(Dashboard!$C$4,T66,T67,T68)</f>
        <v>0.0348116438356164</v>
      </c>
      <c r="U69" s="36" t="n">
        <f aca="false">CHOOSE(Dashboard!$C$4,U66,U67,U68)</f>
        <v>0.0339440639269406</v>
      </c>
      <c r="V69" s="36" t="n">
        <f aca="false">CHOOSE(Dashboard!$C$4,V66,V67,V68)</f>
        <v>0.0335102739726027</v>
      </c>
      <c r="W69" s="36" t="n">
        <f aca="false">CHOOSE(Dashboard!$C$4,W66,W67,W68)</f>
        <v>0.0335102739726027</v>
      </c>
      <c r="X69" s="36" t="n">
        <f aca="false">CHOOSE(Dashboard!$C$4,X66,X67,X68)</f>
        <v>0.0330764840182648</v>
      </c>
      <c r="Y69" s="36" t="n">
        <f aca="false">CHOOSE(Dashboard!$C$4,Y66,Y67,Y68)</f>
        <v>0.0326426940639269</v>
      </c>
      <c r="Z69" s="36" t="n">
        <f aca="false">CHOOSE(Dashboard!$C$4,Z66,Z67,Z68)</f>
        <v>0.0326426940639269</v>
      </c>
      <c r="AA69" s="36" t="n">
        <f aca="false">CHOOSE(Dashboard!$C$4,AA66,AA67,AA68)</f>
        <v>0.0326426940639269</v>
      </c>
      <c r="AB69" s="36" t="n">
        <f aca="false">CHOOSE(Dashboard!$C$4,AB66,AB67,AB68)</f>
        <v>0.0326426940639269</v>
      </c>
      <c r="AC69" s="36" t="n">
        <f aca="false">CHOOSE(Dashboard!$C$4,AC66,AC67,AC68)</f>
        <v>0.0326426940639269</v>
      </c>
      <c r="AD69" s="36" t="n">
        <f aca="false">CHOOSE(Dashboard!$C$4,AD66,AD67,AD68)</f>
        <v>0.0326426940639269</v>
      </c>
      <c r="AE69" s="36" t="n">
        <f aca="false">CHOOSE(Dashboard!$C$4,AE66,AE67,AE68)</f>
        <v>0.0326426940639269</v>
      </c>
      <c r="AF69" s="36" t="n">
        <f aca="false">CHOOSE(Dashboard!$C$4,AF66,AF67,AF68)</f>
        <v>0.0326426940639269</v>
      </c>
      <c r="AG69" s="36" t="n">
        <f aca="false">CHOOSE(Dashboard!$C$4,AG66,AG67,AG68)</f>
        <v>0.0326426940639269</v>
      </c>
      <c r="AH69" s="36" t="n">
        <f aca="false">CHOOSE(Dashboard!$C$4,AH66,AH67,AH68)</f>
        <v>0.0325342465753425</v>
      </c>
      <c r="AI69" s="36" t="n">
        <f aca="false">CHOOSE(Dashboard!$C$4,AI66,AI67,AI68)</f>
        <v>0.0325342465753425</v>
      </c>
      <c r="AJ69" s="36" t="n">
        <f aca="false">CHOOSE(Dashboard!$C$4,AJ66,AJ67,AJ68)</f>
        <v>0.0327511415525114</v>
      </c>
      <c r="AK69" s="36" t="n">
        <f aca="false">CHOOSE(Dashboard!$C$4,AK66,AK67,AK68)</f>
        <v>0</v>
      </c>
      <c r="AL69" s="36" t="n">
        <f aca="false">CHOOSE(Dashboard!$C$4,AL66,AL67,AL68)</f>
        <v>0</v>
      </c>
      <c r="AM69" s="36" t="n">
        <f aca="false">CHOOSE(Dashboard!$C$4,AM66,AM67,AM68)</f>
        <v>0</v>
      </c>
      <c r="AN69" s="36" t="n">
        <f aca="false">CHOOSE(Dashboard!$C$4,AN66,AN67,AN68)</f>
        <v>0</v>
      </c>
      <c r="AO69" s="36" t="n">
        <f aca="false">CHOOSE(Dashboard!$C$4,AO66,AO67,AO68)</f>
        <v>0</v>
      </c>
      <c r="AP69" s="36" t="n">
        <f aca="false">CHOOSE(Dashboard!$C$4,AP66,AP67,AP68)</f>
        <v>0</v>
      </c>
      <c r="AQ69" s="36" t="n">
        <f aca="false">CHOOSE(Dashboard!$C$4,AQ66,AQ67,AQ68)</f>
        <v>0</v>
      </c>
      <c r="AR69" s="36" t="n">
        <f aca="false">CHOOSE(Dashboard!$C$4,AR66,AR67,AR68)</f>
        <v>0</v>
      </c>
      <c r="AS69" s="36" t="n">
        <f aca="false">CHOOSE(Dashboard!$C$4,AS66,AS67,AS68)</f>
        <v>0</v>
      </c>
      <c r="AT69" s="36" t="n">
        <f aca="false">CHOOSE(Dashboard!$C$4,AT66,AT67,AT68)</f>
        <v>0</v>
      </c>
      <c r="AU69" s="36" t="n">
        <f aca="false">CHOOSE(Dashboard!$C$4,AU66,AU67,AU68)</f>
        <v>0</v>
      </c>
      <c r="AV69" s="36" t="n">
        <f aca="false">CHOOSE(Dashboard!$C$4,AV66,AV67,AV68)</f>
        <v>0</v>
      </c>
      <c r="AW69" s="36" t="n">
        <f aca="false">CHOOSE(Dashboard!$C$4,AW66,AW67,AW68)</f>
        <v>0</v>
      </c>
      <c r="AX69" s="36" t="n">
        <f aca="false">CHOOSE(Dashboard!$C$4,AX66,AX67,AX68)</f>
        <v>0</v>
      </c>
      <c r="AY69" s="36" t="n">
        <f aca="false">CHOOSE(Dashboard!$C$4,AY66,AY67,AY68)</f>
        <v>0</v>
      </c>
      <c r="AZ69" s="36" t="n">
        <f aca="false">CHOOSE(Dashboard!$C$4,AZ66,AZ67,AZ68)</f>
        <v>0</v>
      </c>
      <c r="BA69" s="36" t="n">
        <f aca="false">CHOOSE(Dashboard!$C$4,BA66,BA67,BA68)</f>
        <v>0</v>
      </c>
      <c r="BB69" s="36" t="n">
        <f aca="false">CHOOSE(Dashboard!$C$4,BB66,BB67,BB68)</f>
        <v>0</v>
      </c>
      <c r="BC69" s="36" t="n">
        <f aca="false">CHOOSE(Dashboard!$C$4,BC66,BC67,BC68)</f>
        <v>0</v>
      </c>
      <c r="BD69" s="36" t="n">
        <f aca="false">CHOOSE(Dashboard!$C$4,BD66,BD67,BD68)</f>
        <v>0</v>
      </c>
      <c r="BE69" s="36" t="n">
        <f aca="false">CHOOSE(Dashboard!$C$4,BE66,BE67,BE68)</f>
        <v>0</v>
      </c>
      <c r="BF69" s="36" t="n">
        <f aca="false">CHOOSE(Dashboard!$C$4,BF66,BF67,BF68)</f>
        <v>0</v>
      </c>
      <c r="BG69" s="36" t="n">
        <f aca="false">CHOOSE(Dashboard!$C$4,BG66,BG67,BG68)</f>
        <v>0</v>
      </c>
      <c r="BH69" s="36" t="n">
        <f aca="false">CHOOSE(Dashboard!$C$4,BH66,BH67,BH68)</f>
        <v>0</v>
      </c>
      <c r="BI69" s="36" t="n">
        <f aca="false">CHOOSE(Dashboard!$C$4,BI66,BI67,BI68)</f>
        <v>0</v>
      </c>
      <c r="BJ69" s="36" t="n">
        <f aca="false">CHOOSE(Dashboard!$C$4,BJ66,BJ67,BJ68)</f>
        <v>0</v>
      </c>
      <c r="BK69" s="36" t="n">
        <f aca="false">CHOOSE(Dashboard!$C$4,BK66,BK67,BK68)</f>
        <v>0</v>
      </c>
      <c r="BL69" s="36" t="n">
        <f aca="false">CHOOSE(Dashboard!$C$4,BL66,BL67,BL68)</f>
        <v>0</v>
      </c>
      <c r="BM69" s="36" t="n">
        <f aca="false">CHOOSE(Dashboard!$C$4,BM66,BM67,BM68)</f>
        <v>0</v>
      </c>
      <c r="BN69" s="36" t="n">
        <f aca="false">CHOOSE(Dashboard!$C$4,BN66,BN67,BN68)</f>
        <v>0</v>
      </c>
    </row>
    <row r="70" customFormat="false" ht="15" hidden="false" customHeight="false" outlineLevel="0" collapsed="false">
      <c r="A70" s="1"/>
      <c r="B70" s="8" t="s">
        <v>253</v>
      </c>
      <c r="C70" s="1"/>
      <c r="D70" s="1"/>
      <c r="E70" s="1"/>
      <c r="F70" s="1"/>
      <c r="G70" s="35" t="n">
        <v>2.34069873928268</v>
      </c>
      <c r="H70" s="35" t="n">
        <v>2.38225174874893</v>
      </c>
      <c r="I70" s="35" t="n">
        <v>2.4351569527225</v>
      </c>
      <c r="J70" s="35" t="n">
        <v>2.46012198559743</v>
      </c>
      <c r="K70" s="35" t="n">
        <v>2.51283844157456</v>
      </c>
      <c r="L70" s="35" t="n">
        <v>2.52414431700111</v>
      </c>
      <c r="M70" s="35" t="n">
        <v>2.53750612979746</v>
      </c>
      <c r="N70" s="35" t="n">
        <v>2.54664330354537</v>
      </c>
      <c r="O70" s="35" t="n">
        <v>2.56642525676298</v>
      </c>
      <c r="P70" s="35" t="n">
        <v>2.61525563239178</v>
      </c>
      <c r="Q70" s="35" t="n">
        <v>2.62059487819371</v>
      </c>
      <c r="R70" s="35" t="n">
        <v>2.62051731132159</v>
      </c>
      <c r="S70" s="35" t="n">
        <v>2.62609393872715</v>
      </c>
      <c r="T70" s="35" t="n">
        <v>2.63639173639354</v>
      </c>
      <c r="U70" s="35" t="n">
        <v>2.65271678096432</v>
      </c>
      <c r="V70" s="35" t="n">
        <v>2.67061288991816</v>
      </c>
      <c r="W70" s="35" t="n">
        <v>2.67902360948941</v>
      </c>
      <c r="X70" s="35" t="n">
        <v>2.6817982371462</v>
      </c>
      <c r="Y70" s="35" t="n">
        <v>2.68916621052801</v>
      </c>
      <c r="Z70" s="35" t="n">
        <v>2.6954508177753</v>
      </c>
      <c r="AA70" s="35" t="n">
        <v>2.69178920005402</v>
      </c>
      <c r="AB70" s="35" t="n">
        <v>2.69171403966285</v>
      </c>
      <c r="AC70" s="35" t="n">
        <v>2.69163887927169</v>
      </c>
      <c r="AD70" s="35" t="n">
        <v>2.68880907884609</v>
      </c>
      <c r="AE70" s="35" t="n">
        <v>2.6887376525097</v>
      </c>
      <c r="AF70" s="35" t="n">
        <v>2.68866622617332</v>
      </c>
      <c r="AG70" s="35" t="n">
        <v>2.68859479983693</v>
      </c>
      <c r="AH70" s="35" t="n">
        <v>2.68852337350055</v>
      </c>
      <c r="AI70" s="35" t="n">
        <v>2.68845194716416</v>
      </c>
      <c r="AJ70" s="35" t="n">
        <v>2.68838052082778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</row>
    <row r="71" customFormat="false" ht="15" hidden="false" customHeight="false" outlineLevel="0" collapsed="false">
      <c r="A71" s="1"/>
      <c r="B71" s="8" t="s">
        <v>254</v>
      </c>
      <c r="C71" s="1"/>
      <c r="D71" s="1"/>
      <c r="E71" s="1"/>
      <c r="F71" s="1"/>
      <c r="G71" s="35" t="n">
        <v>2.18662859437759</v>
      </c>
      <c r="H71" s="35" t="n">
        <v>2.23866563904379</v>
      </c>
      <c r="I71" s="35" t="n">
        <v>2.28216973419531</v>
      </c>
      <c r="J71" s="35" t="n">
        <v>2.33098418314109</v>
      </c>
      <c r="K71" s="35" t="n">
        <v>2.38191847433809</v>
      </c>
      <c r="L71" s="35" t="n">
        <v>2.40109195616234</v>
      </c>
      <c r="M71" s="35" t="n">
        <v>2.42560024015012</v>
      </c>
      <c r="N71" s="35" t="n">
        <v>2.46861080164861</v>
      </c>
      <c r="O71" s="35" t="n">
        <v>2.48580127235009</v>
      </c>
      <c r="P71" s="35" t="n">
        <v>2.50921090841909</v>
      </c>
      <c r="Q71" s="35" t="n">
        <v>2.51387804026009</v>
      </c>
      <c r="R71" s="35" t="n">
        <v>2.51759467824217</v>
      </c>
      <c r="S71" s="35" t="n">
        <v>2.52000157885188</v>
      </c>
      <c r="T71" s="35" t="n">
        <v>2.52077489398671</v>
      </c>
      <c r="U71" s="35" t="n">
        <v>2.54098612752492</v>
      </c>
      <c r="V71" s="35" t="n">
        <v>2.54696036583565</v>
      </c>
      <c r="W71" s="35" t="n">
        <v>2.54691821051295</v>
      </c>
      <c r="X71" s="35" t="n">
        <v>2.55503762711155</v>
      </c>
      <c r="Y71" s="35" t="n">
        <v>2.56424621195931</v>
      </c>
      <c r="Z71" s="35" t="n">
        <v>2.56419413576955</v>
      </c>
      <c r="AA71" s="35" t="n">
        <v>2.5641420595798</v>
      </c>
      <c r="AB71" s="35" t="n">
        <v>2.56408998339004</v>
      </c>
      <c r="AC71" s="35" t="n">
        <v>2.56374615179208</v>
      </c>
      <c r="AD71" s="35" t="n">
        <v>2.56371006235459</v>
      </c>
      <c r="AE71" s="35" t="n">
        <v>2.5636739729171</v>
      </c>
      <c r="AF71" s="35" t="n">
        <v>2.56363788347961</v>
      </c>
      <c r="AG71" s="35" t="n">
        <v>2.56360179404212</v>
      </c>
      <c r="AH71" s="35" t="n">
        <v>2.56576841810059</v>
      </c>
      <c r="AI71" s="35" t="n">
        <v>2.56574206187985</v>
      </c>
      <c r="AJ71" s="35" t="n">
        <v>2.56162554819077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</row>
    <row r="72" customFormat="false" ht="15" hidden="false" customHeight="false" outlineLevel="0" collapsed="false">
      <c r="A72" s="1"/>
      <c r="B72" s="8" t="s">
        <v>255</v>
      </c>
      <c r="C72" s="1"/>
      <c r="D72" s="1"/>
      <c r="E72" s="1"/>
      <c r="F72" s="1"/>
      <c r="G72" s="35" t="n">
        <v>2.23728793488705</v>
      </c>
      <c r="H72" s="35" t="n">
        <v>2.28776866507494</v>
      </c>
      <c r="I72" s="35" t="n">
        <v>2.34478161850885</v>
      </c>
      <c r="J72" s="35" t="n">
        <v>2.39386566798387</v>
      </c>
      <c r="K72" s="35" t="n">
        <v>2.44479137554417</v>
      </c>
      <c r="L72" s="35" t="n">
        <v>2.45169583939087</v>
      </c>
      <c r="M72" s="35" t="n">
        <v>2.45067480874112</v>
      </c>
      <c r="N72" s="35" t="n">
        <v>2.45067148443155</v>
      </c>
      <c r="O72" s="35" t="n">
        <v>2.45429032396603</v>
      </c>
      <c r="P72" s="35" t="n">
        <v>2.4564415896893</v>
      </c>
      <c r="Q72" s="35" t="n">
        <v>2.44575190439108</v>
      </c>
      <c r="R72" s="35" t="n">
        <v>2.4255731874601</v>
      </c>
      <c r="S72" s="35" t="n">
        <v>2.42412167270241</v>
      </c>
      <c r="T72" s="35" t="n">
        <v>2.41317000226996</v>
      </c>
      <c r="U72" s="35" t="n">
        <v>2.40487564351776</v>
      </c>
      <c r="V72" s="35" t="n">
        <v>2.3925365444596</v>
      </c>
      <c r="W72" s="35" t="n">
        <v>2.37727574338436</v>
      </c>
      <c r="X72" s="35" t="n">
        <v>2.36599060259093</v>
      </c>
      <c r="Y72" s="35" t="n">
        <v>2.35649594979206</v>
      </c>
      <c r="Z72" s="35" t="n">
        <v>2.35015086772905</v>
      </c>
      <c r="AA72" s="35" t="n">
        <v>2.35015086772905</v>
      </c>
      <c r="AB72" s="35" t="n">
        <v>2.35015086772905</v>
      </c>
      <c r="AC72" s="35" t="n">
        <v>2.35015086772905</v>
      </c>
      <c r="AD72" s="35" t="n">
        <v>2.35015086772905</v>
      </c>
      <c r="AE72" s="35" t="n">
        <v>2.35015086772905</v>
      </c>
      <c r="AF72" s="35" t="n">
        <v>2.35015086772905</v>
      </c>
      <c r="AG72" s="35" t="n">
        <v>2.35015086772905</v>
      </c>
      <c r="AH72" s="35" t="n">
        <v>2.35015086772905</v>
      </c>
      <c r="AI72" s="35" t="n">
        <v>2.35015086772905</v>
      </c>
      <c r="AJ72" s="35" t="n">
        <v>2.35015086772905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</row>
    <row r="73" customFormat="false" ht="15" hidden="false" customHeight="false" outlineLevel="0" collapsed="false">
      <c r="A73" s="1"/>
      <c r="B73" s="4" t="s">
        <v>256</v>
      </c>
      <c r="C73" s="1"/>
      <c r="D73" s="1"/>
      <c r="E73" s="1"/>
      <c r="F73" s="1"/>
      <c r="G73" s="36" t="n">
        <f aca="false">CHOOSE(Dashboard!$C$4,G70,G71,G72)</f>
        <v>2.18662859437759</v>
      </c>
      <c r="H73" s="36" t="n">
        <f aca="false">CHOOSE(Dashboard!$C$4,H70,H71,H72)</f>
        <v>2.23866563904379</v>
      </c>
      <c r="I73" s="36" t="n">
        <f aca="false">CHOOSE(Dashboard!$C$4,I70,I71,I72)</f>
        <v>2.28216973419531</v>
      </c>
      <c r="J73" s="36" t="n">
        <f aca="false">CHOOSE(Dashboard!$C$4,J70,J71,J72)</f>
        <v>2.33098418314109</v>
      </c>
      <c r="K73" s="36" t="n">
        <f aca="false">CHOOSE(Dashboard!$C$4,K70,K71,K72)</f>
        <v>2.38191847433809</v>
      </c>
      <c r="L73" s="36" t="n">
        <f aca="false">CHOOSE(Dashboard!$C$4,L70,L71,L72)</f>
        <v>2.40109195616234</v>
      </c>
      <c r="M73" s="36" t="n">
        <f aca="false">CHOOSE(Dashboard!$C$4,M70,M71,M72)</f>
        <v>2.42560024015012</v>
      </c>
      <c r="N73" s="36" t="n">
        <f aca="false">CHOOSE(Dashboard!$C$4,N70,N71,N72)</f>
        <v>2.46861080164861</v>
      </c>
      <c r="O73" s="36" t="n">
        <f aca="false">CHOOSE(Dashboard!$C$4,O70,O71,O72)</f>
        <v>2.48580127235009</v>
      </c>
      <c r="P73" s="36" t="n">
        <f aca="false">CHOOSE(Dashboard!$C$4,P70,P71,P72)</f>
        <v>2.50921090841909</v>
      </c>
      <c r="Q73" s="36" t="n">
        <f aca="false">CHOOSE(Dashboard!$C$4,Q70,Q71,Q72)</f>
        <v>2.51387804026009</v>
      </c>
      <c r="R73" s="36" t="n">
        <f aca="false">CHOOSE(Dashboard!$C$4,R70,R71,R72)</f>
        <v>2.51759467824217</v>
      </c>
      <c r="S73" s="36" t="n">
        <f aca="false">CHOOSE(Dashboard!$C$4,S70,S71,S72)</f>
        <v>2.52000157885188</v>
      </c>
      <c r="T73" s="36" t="n">
        <f aca="false">CHOOSE(Dashboard!$C$4,T70,T71,T72)</f>
        <v>2.52077489398671</v>
      </c>
      <c r="U73" s="36" t="n">
        <f aca="false">CHOOSE(Dashboard!$C$4,U70,U71,U72)</f>
        <v>2.54098612752492</v>
      </c>
      <c r="V73" s="36" t="n">
        <f aca="false">CHOOSE(Dashboard!$C$4,V70,V71,V72)</f>
        <v>2.54696036583565</v>
      </c>
      <c r="W73" s="36" t="n">
        <f aca="false">CHOOSE(Dashboard!$C$4,W70,W71,W72)</f>
        <v>2.54691821051295</v>
      </c>
      <c r="X73" s="36" t="n">
        <f aca="false">CHOOSE(Dashboard!$C$4,X70,X71,X72)</f>
        <v>2.55503762711155</v>
      </c>
      <c r="Y73" s="36" t="n">
        <f aca="false">CHOOSE(Dashboard!$C$4,Y70,Y71,Y72)</f>
        <v>2.56424621195931</v>
      </c>
      <c r="Z73" s="36" t="n">
        <f aca="false">CHOOSE(Dashboard!$C$4,Z70,Z71,Z72)</f>
        <v>2.56419413576955</v>
      </c>
      <c r="AA73" s="36" t="n">
        <f aca="false">CHOOSE(Dashboard!$C$4,AA70,AA71,AA72)</f>
        <v>2.5641420595798</v>
      </c>
      <c r="AB73" s="36" t="n">
        <f aca="false">CHOOSE(Dashboard!$C$4,AB70,AB71,AB72)</f>
        <v>2.56408998339004</v>
      </c>
      <c r="AC73" s="36" t="n">
        <f aca="false">CHOOSE(Dashboard!$C$4,AC70,AC71,AC72)</f>
        <v>2.56374615179208</v>
      </c>
      <c r="AD73" s="36" t="n">
        <f aca="false">CHOOSE(Dashboard!$C$4,AD70,AD71,AD72)</f>
        <v>2.56371006235459</v>
      </c>
      <c r="AE73" s="36" t="n">
        <f aca="false">CHOOSE(Dashboard!$C$4,AE70,AE71,AE72)</f>
        <v>2.5636739729171</v>
      </c>
      <c r="AF73" s="36" t="n">
        <f aca="false">CHOOSE(Dashboard!$C$4,AF70,AF71,AF72)</f>
        <v>2.56363788347961</v>
      </c>
      <c r="AG73" s="36" t="n">
        <f aca="false">CHOOSE(Dashboard!$C$4,AG70,AG71,AG72)</f>
        <v>2.56360179404212</v>
      </c>
      <c r="AH73" s="36" t="n">
        <f aca="false">CHOOSE(Dashboard!$C$4,AH70,AH71,AH72)</f>
        <v>2.56576841810059</v>
      </c>
      <c r="AI73" s="36" t="n">
        <f aca="false">CHOOSE(Dashboard!$C$4,AI70,AI71,AI72)</f>
        <v>2.56574206187985</v>
      </c>
      <c r="AJ73" s="36" t="n">
        <f aca="false">CHOOSE(Dashboard!$C$4,AJ70,AJ71,AJ72)</f>
        <v>2.56162554819077</v>
      </c>
      <c r="AK73" s="36" t="n">
        <f aca="false">CHOOSE(Dashboard!$C$4,AK70,AK71,AK72)</f>
        <v>0</v>
      </c>
      <c r="AL73" s="36" t="n">
        <f aca="false">CHOOSE(Dashboard!$C$4,AL70,AL71,AL72)</f>
        <v>0</v>
      </c>
      <c r="AM73" s="36" t="n">
        <f aca="false">CHOOSE(Dashboard!$C$4,AM70,AM71,AM72)</f>
        <v>0</v>
      </c>
      <c r="AN73" s="36" t="n">
        <f aca="false">CHOOSE(Dashboard!$C$4,AN70,AN71,AN72)</f>
        <v>0</v>
      </c>
      <c r="AO73" s="36" t="n">
        <f aca="false">CHOOSE(Dashboard!$C$4,AO70,AO71,AO72)</f>
        <v>0</v>
      </c>
      <c r="AP73" s="36" t="n">
        <f aca="false">CHOOSE(Dashboard!$C$4,AP70,AP71,AP72)</f>
        <v>0</v>
      </c>
      <c r="AQ73" s="36" t="n">
        <f aca="false">CHOOSE(Dashboard!$C$4,AQ70,AQ71,AQ72)</f>
        <v>0</v>
      </c>
      <c r="AR73" s="36" t="n">
        <f aca="false">CHOOSE(Dashboard!$C$4,AR70,AR71,AR72)</f>
        <v>0</v>
      </c>
      <c r="AS73" s="36" t="n">
        <f aca="false">CHOOSE(Dashboard!$C$4,AS70,AS71,AS72)</f>
        <v>0</v>
      </c>
      <c r="AT73" s="36" t="n">
        <f aca="false">CHOOSE(Dashboard!$C$4,AT70,AT71,AT72)</f>
        <v>0</v>
      </c>
      <c r="AU73" s="36" t="n">
        <f aca="false">CHOOSE(Dashboard!$C$4,AU70,AU71,AU72)</f>
        <v>0</v>
      </c>
      <c r="AV73" s="36" t="n">
        <f aca="false">CHOOSE(Dashboard!$C$4,AV70,AV71,AV72)</f>
        <v>0</v>
      </c>
      <c r="AW73" s="36" t="n">
        <f aca="false">CHOOSE(Dashboard!$C$4,AW70,AW71,AW72)</f>
        <v>0</v>
      </c>
      <c r="AX73" s="36" t="n">
        <f aca="false">CHOOSE(Dashboard!$C$4,AX70,AX71,AX72)</f>
        <v>0</v>
      </c>
      <c r="AY73" s="36" t="n">
        <f aca="false">CHOOSE(Dashboard!$C$4,AY70,AY71,AY72)</f>
        <v>0</v>
      </c>
      <c r="AZ73" s="36" t="n">
        <f aca="false">CHOOSE(Dashboard!$C$4,AZ70,AZ71,AZ72)</f>
        <v>0</v>
      </c>
      <c r="BA73" s="36" t="n">
        <f aca="false">CHOOSE(Dashboard!$C$4,BA70,BA71,BA72)</f>
        <v>0</v>
      </c>
      <c r="BB73" s="36" t="n">
        <f aca="false">CHOOSE(Dashboard!$C$4,BB70,BB71,BB72)</f>
        <v>0</v>
      </c>
      <c r="BC73" s="36" t="n">
        <f aca="false">CHOOSE(Dashboard!$C$4,BC70,BC71,BC72)</f>
        <v>0</v>
      </c>
      <c r="BD73" s="36" t="n">
        <f aca="false">CHOOSE(Dashboard!$C$4,BD70,BD71,BD72)</f>
        <v>0</v>
      </c>
      <c r="BE73" s="36" t="n">
        <f aca="false">CHOOSE(Dashboard!$C$4,BE70,BE71,BE72)</f>
        <v>0</v>
      </c>
      <c r="BF73" s="36" t="n">
        <f aca="false">CHOOSE(Dashboard!$C$4,BF70,BF71,BF72)</f>
        <v>0</v>
      </c>
      <c r="BG73" s="36" t="n">
        <f aca="false">CHOOSE(Dashboard!$C$4,BG70,BG71,BG72)</f>
        <v>0</v>
      </c>
      <c r="BH73" s="36" t="n">
        <f aca="false">CHOOSE(Dashboard!$C$4,BH70,BH71,BH72)</f>
        <v>0</v>
      </c>
      <c r="BI73" s="36" t="n">
        <f aca="false">CHOOSE(Dashboard!$C$4,BI70,BI71,BI72)</f>
        <v>0</v>
      </c>
      <c r="BJ73" s="36" t="n">
        <f aca="false">CHOOSE(Dashboard!$C$4,BJ70,BJ71,BJ72)</f>
        <v>0</v>
      </c>
      <c r="BK73" s="36" t="n">
        <f aca="false">CHOOSE(Dashboard!$C$4,BK70,BK71,BK72)</f>
        <v>0</v>
      </c>
      <c r="BL73" s="36" t="n">
        <f aca="false">CHOOSE(Dashboard!$C$4,BL70,BL71,BL72)</f>
        <v>0</v>
      </c>
      <c r="BM73" s="36" t="n">
        <f aca="false">CHOOSE(Dashboard!$C$4,BM70,BM71,BM72)</f>
        <v>0</v>
      </c>
      <c r="BN73" s="36" t="n">
        <f aca="false">CHOOSE(Dashboard!$C$4,BN70,BN71,BN72)</f>
        <v>0</v>
      </c>
    </row>
    <row r="74" customFormat="false" ht="15" hidden="false" customHeight="false" outlineLevel="0" collapsed="false">
      <c r="A74" s="1"/>
      <c r="B74" s="8" t="s">
        <v>265</v>
      </c>
      <c r="C74" s="1"/>
      <c r="D74" s="1"/>
      <c r="E74" s="1"/>
      <c r="F74" s="1"/>
      <c r="G74" s="35" t="n">
        <v>2.74833987486784</v>
      </c>
      <c r="H74" s="35" t="n">
        <v>2.74698121515184</v>
      </c>
      <c r="I74" s="35" t="n">
        <v>2.74106963204644</v>
      </c>
      <c r="J74" s="35" t="n">
        <v>2.74038603647542</v>
      </c>
      <c r="K74" s="35" t="n">
        <v>2.73775778899798</v>
      </c>
      <c r="L74" s="35" t="n">
        <v>2.73939340348889</v>
      </c>
      <c r="M74" s="35" t="n">
        <v>2.7411659510882</v>
      </c>
      <c r="N74" s="35" t="n">
        <v>2.74189258541139</v>
      </c>
      <c r="O74" s="35" t="n">
        <v>2.74125786197999</v>
      </c>
      <c r="P74" s="35" t="n">
        <v>2.74738664841336</v>
      </c>
      <c r="Q74" s="35" t="n">
        <v>2.74697103079702</v>
      </c>
      <c r="R74" s="35" t="n">
        <v>2.74697103079702</v>
      </c>
      <c r="S74" s="35" t="n">
        <v>2.74479926034883</v>
      </c>
      <c r="T74" s="35" t="n">
        <v>2.74224361349168</v>
      </c>
      <c r="U74" s="35" t="n">
        <v>2.7415332747242</v>
      </c>
      <c r="V74" s="35" t="n">
        <v>2.74319802924298</v>
      </c>
      <c r="W74" s="35" t="n">
        <v>2.74090961648471</v>
      </c>
      <c r="X74" s="35" t="n">
        <v>2.74009738886169</v>
      </c>
      <c r="Y74" s="35" t="n">
        <v>2.74010418815803</v>
      </c>
      <c r="Z74" s="35" t="n">
        <v>2.74003295159584</v>
      </c>
      <c r="AA74" s="35" t="n">
        <v>2.73904875420063</v>
      </c>
      <c r="AB74" s="35" t="n">
        <v>2.73904875420063</v>
      </c>
      <c r="AC74" s="35" t="n">
        <v>2.73904875420063</v>
      </c>
      <c r="AD74" s="35" t="n">
        <v>2.74010418815803</v>
      </c>
      <c r="AE74" s="35" t="n">
        <v>2.74010418815803</v>
      </c>
      <c r="AF74" s="35" t="n">
        <v>2.74010418815803</v>
      </c>
      <c r="AG74" s="35" t="n">
        <v>2.74010418815803</v>
      </c>
      <c r="AH74" s="35" t="n">
        <v>2.74010418815803</v>
      </c>
      <c r="AI74" s="35" t="n">
        <v>2.74010418815803</v>
      </c>
      <c r="AJ74" s="35" t="n">
        <v>2.74010418815803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</row>
    <row r="75" customFormat="false" ht="15" hidden="false" customHeight="false" outlineLevel="0" collapsed="false">
      <c r="A75" s="1"/>
      <c r="B75" s="8" t="s">
        <v>266</v>
      </c>
      <c r="C75" s="1"/>
      <c r="D75" s="1"/>
      <c r="E75" s="1"/>
      <c r="F75" s="1"/>
      <c r="G75" s="35" t="n">
        <v>2.54923093715675</v>
      </c>
      <c r="H75" s="35" t="n">
        <v>2.54544289386983</v>
      </c>
      <c r="I75" s="35" t="n">
        <v>2.54180896680334</v>
      </c>
      <c r="J75" s="35" t="n">
        <v>2.54131926611878</v>
      </c>
      <c r="K75" s="35" t="n">
        <v>2.53938945810675</v>
      </c>
      <c r="L75" s="35" t="n">
        <v>2.53728355835335</v>
      </c>
      <c r="M75" s="35" t="n">
        <v>2.53878838165823</v>
      </c>
      <c r="N75" s="35" t="n">
        <v>2.53439483303744</v>
      </c>
      <c r="O75" s="35" t="n">
        <v>2.53296423783455</v>
      </c>
      <c r="P75" s="35" t="n">
        <v>2.53303845470557</v>
      </c>
      <c r="Q75" s="35" t="n">
        <v>2.53395825730819</v>
      </c>
      <c r="R75" s="35" t="n">
        <v>2.53536554583774</v>
      </c>
      <c r="S75" s="35" t="n">
        <v>2.53607574579442</v>
      </c>
      <c r="T75" s="35" t="n">
        <v>2.53559271690359</v>
      </c>
      <c r="U75" s="35" t="n">
        <v>2.53825000323275</v>
      </c>
      <c r="V75" s="35" t="n">
        <v>2.53593922255724</v>
      </c>
      <c r="W75" s="35" t="n">
        <v>2.53593922255724</v>
      </c>
      <c r="X75" s="35" t="n">
        <v>2.53592073005616</v>
      </c>
      <c r="Y75" s="35" t="n">
        <v>2.53845621024583</v>
      </c>
      <c r="Z75" s="35" t="n">
        <v>2.53845621024583</v>
      </c>
      <c r="AA75" s="35" t="n">
        <v>2.53845621024583</v>
      </c>
      <c r="AB75" s="35" t="n">
        <v>2.53845621024583</v>
      </c>
      <c r="AC75" s="35" t="n">
        <v>2.53760472218389</v>
      </c>
      <c r="AD75" s="35" t="n">
        <v>2.53760472218389</v>
      </c>
      <c r="AE75" s="35" t="n">
        <v>2.53760472218389</v>
      </c>
      <c r="AF75" s="35" t="n">
        <v>2.53760472218389</v>
      </c>
      <c r="AG75" s="35" t="n">
        <v>2.53760472218389</v>
      </c>
      <c r="AH75" s="35" t="n">
        <v>2.53700754522312</v>
      </c>
      <c r="AI75" s="35" t="n">
        <v>2.53700754522312</v>
      </c>
      <c r="AJ75" s="35" t="n">
        <v>2.53548220492222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</row>
    <row r="76" customFormat="false" ht="15" hidden="false" customHeight="false" outlineLevel="0" collapsed="false">
      <c r="A76" s="1"/>
      <c r="B76" s="8" t="s">
        <v>267</v>
      </c>
      <c r="C76" s="1"/>
      <c r="D76" s="1"/>
      <c r="E76" s="1"/>
      <c r="F76" s="1"/>
      <c r="G76" s="35" t="n">
        <v>2.30768112091259</v>
      </c>
      <c r="H76" s="35" t="n">
        <v>2.30480608586421</v>
      </c>
      <c r="I76" s="35" t="n">
        <v>2.30606299130734</v>
      </c>
      <c r="J76" s="35" t="n">
        <v>2.30296457607124</v>
      </c>
      <c r="K76" s="35" t="n">
        <v>2.3038005640089</v>
      </c>
      <c r="L76" s="35" t="n">
        <v>2.30408565434799</v>
      </c>
      <c r="M76" s="35" t="n">
        <v>2.30414221996882</v>
      </c>
      <c r="N76" s="35" t="n">
        <v>2.30414221996882</v>
      </c>
      <c r="O76" s="35" t="n">
        <v>2.30351220504947</v>
      </c>
      <c r="P76" s="35" t="n">
        <v>2.30410107980399</v>
      </c>
      <c r="Q76" s="35" t="n">
        <v>2.30386425065024</v>
      </c>
      <c r="R76" s="35" t="n">
        <v>2.30458473745485</v>
      </c>
      <c r="S76" s="35" t="n">
        <v>2.30543704111837</v>
      </c>
      <c r="T76" s="35" t="n">
        <v>2.30493947965996</v>
      </c>
      <c r="U76" s="35" t="n">
        <v>2.30625127808991</v>
      </c>
      <c r="V76" s="35" t="n">
        <v>2.30759310350098</v>
      </c>
      <c r="W76" s="35" t="n">
        <v>2.30866941548748</v>
      </c>
      <c r="X76" s="35" t="n">
        <v>2.31247026733934</v>
      </c>
      <c r="Y76" s="35" t="n">
        <v>2.31337409468844</v>
      </c>
      <c r="Z76" s="35" t="n">
        <v>2.31275169938757</v>
      </c>
      <c r="AA76" s="35" t="n">
        <v>2.31275169938757</v>
      </c>
      <c r="AB76" s="35" t="n">
        <v>2.31275169938757</v>
      </c>
      <c r="AC76" s="35" t="n">
        <v>2.31275169938757</v>
      </c>
      <c r="AD76" s="35" t="n">
        <v>2.31275169938757</v>
      </c>
      <c r="AE76" s="35" t="n">
        <v>2.31275169938757</v>
      </c>
      <c r="AF76" s="35" t="n">
        <v>2.31275169938757</v>
      </c>
      <c r="AG76" s="35" t="n">
        <v>2.31275169938757</v>
      </c>
      <c r="AH76" s="35" t="n">
        <v>2.31275169938757</v>
      </c>
      <c r="AI76" s="35" t="n">
        <v>2.31275169938757</v>
      </c>
      <c r="AJ76" s="35" t="n">
        <v>2.31275169938757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customFormat="false" ht="15" hidden="false" customHeight="false" outlineLevel="0" collapsed="false">
      <c r="A77" s="1"/>
      <c r="B77" s="4" t="s">
        <v>268</v>
      </c>
      <c r="C77" s="1"/>
      <c r="D77" s="1"/>
      <c r="E77" s="1"/>
      <c r="F77" s="1"/>
      <c r="G77" s="36" t="n">
        <f aca="false">CHOOSE(Dashboard!$C$4,G74,G75,G76)</f>
        <v>2.54923093715675</v>
      </c>
      <c r="H77" s="36" t="n">
        <f aca="false">CHOOSE(Dashboard!$C$4,H74,H75,H76)</f>
        <v>2.54544289386983</v>
      </c>
      <c r="I77" s="36" t="n">
        <f aca="false">CHOOSE(Dashboard!$C$4,I74,I75,I76)</f>
        <v>2.54180896680334</v>
      </c>
      <c r="J77" s="36" t="n">
        <f aca="false">CHOOSE(Dashboard!$C$4,J74,J75,J76)</f>
        <v>2.54131926611878</v>
      </c>
      <c r="K77" s="36" t="n">
        <f aca="false">CHOOSE(Dashboard!$C$4,K74,K75,K76)</f>
        <v>2.53938945810675</v>
      </c>
      <c r="L77" s="36" t="n">
        <f aca="false">CHOOSE(Dashboard!$C$4,L74,L75,L76)</f>
        <v>2.53728355835335</v>
      </c>
      <c r="M77" s="36" t="n">
        <f aca="false">CHOOSE(Dashboard!$C$4,M74,M75,M76)</f>
        <v>2.53878838165823</v>
      </c>
      <c r="N77" s="36" t="n">
        <f aca="false">CHOOSE(Dashboard!$C$4,N74,N75,N76)</f>
        <v>2.53439483303744</v>
      </c>
      <c r="O77" s="36" t="n">
        <f aca="false">CHOOSE(Dashboard!$C$4,O74,O75,O76)</f>
        <v>2.53296423783455</v>
      </c>
      <c r="P77" s="36" t="n">
        <f aca="false">CHOOSE(Dashboard!$C$4,P74,P75,P76)</f>
        <v>2.53303845470557</v>
      </c>
      <c r="Q77" s="36" t="n">
        <f aca="false">CHOOSE(Dashboard!$C$4,Q74,Q75,Q76)</f>
        <v>2.53395825730819</v>
      </c>
      <c r="R77" s="36" t="n">
        <f aca="false">CHOOSE(Dashboard!$C$4,R74,R75,R76)</f>
        <v>2.53536554583774</v>
      </c>
      <c r="S77" s="36" t="n">
        <f aca="false">CHOOSE(Dashboard!$C$4,S74,S75,S76)</f>
        <v>2.53607574579442</v>
      </c>
      <c r="T77" s="36" t="n">
        <f aca="false">CHOOSE(Dashboard!$C$4,T74,T75,T76)</f>
        <v>2.53559271690359</v>
      </c>
      <c r="U77" s="36" t="n">
        <f aca="false">CHOOSE(Dashboard!$C$4,U74,U75,U76)</f>
        <v>2.53825000323275</v>
      </c>
      <c r="V77" s="36" t="n">
        <f aca="false">CHOOSE(Dashboard!$C$4,V74,V75,V76)</f>
        <v>2.53593922255724</v>
      </c>
      <c r="W77" s="36" t="n">
        <f aca="false">CHOOSE(Dashboard!$C$4,W74,W75,W76)</f>
        <v>2.53593922255724</v>
      </c>
      <c r="X77" s="36" t="n">
        <f aca="false">CHOOSE(Dashboard!$C$4,X74,X75,X76)</f>
        <v>2.53592073005616</v>
      </c>
      <c r="Y77" s="36" t="n">
        <f aca="false">CHOOSE(Dashboard!$C$4,Y74,Y75,Y76)</f>
        <v>2.53845621024583</v>
      </c>
      <c r="Z77" s="36" t="n">
        <f aca="false">CHOOSE(Dashboard!$C$4,Z74,Z75,Z76)</f>
        <v>2.53845621024583</v>
      </c>
      <c r="AA77" s="36" t="n">
        <f aca="false">CHOOSE(Dashboard!$C$4,AA74,AA75,AA76)</f>
        <v>2.53845621024583</v>
      </c>
      <c r="AB77" s="36" t="n">
        <f aca="false">CHOOSE(Dashboard!$C$4,AB74,AB75,AB76)</f>
        <v>2.53845621024583</v>
      </c>
      <c r="AC77" s="36" t="n">
        <f aca="false">CHOOSE(Dashboard!$C$4,AC74,AC75,AC76)</f>
        <v>2.53760472218389</v>
      </c>
      <c r="AD77" s="36" t="n">
        <f aca="false">CHOOSE(Dashboard!$C$4,AD74,AD75,AD76)</f>
        <v>2.53760472218389</v>
      </c>
      <c r="AE77" s="36" t="n">
        <f aca="false">CHOOSE(Dashboard!$C$4,AE74,AE75,AE76)</f>
        <v>2.53760472218389</v>
      </c>
      <c r="AF77" s="36" t="n">
        <f aca="false">CHOOSE(Dashboard!$C$4,AF74,AF75,AF76)</f>
        <v>2.53760472218389</v>
      </c>
      <c r="AG77" s="36" t="n">
        <f aca="false">CHOOSE(Dashboard!$C$4,AG74,AG75,AG76)</f>
        <v>2.53760472218389</v>
      </c>
      <c r="AH77" s="36" t="n">
        <f aca="false">CHOOSE(Dashboard!$C$4,AH74,AH75,AH76)</f>
        <v>2.53700754522312</v>
      </c>
      <c r="AI77" s="36" t="n">
        <f aca="false">CHOOSE(Dashboard!$C$4,AI74,AI75,AI76)</f>
        <v>2.53700754522312</v>
      </c>
      <c r="AJ77" s="36" t="n">
        <f aca="false">CHOOSE(Dashboard!$C$4,AJ74,AJ75,AJ76)</f>
        <v>2.53548220492222</v>
      </c>
      <c r="AK77" s="36" t="n">
        <f aca="false">CHOOSE(Dashboard!$C$4,AK74,AK75,AK76)</f>
        <v>0</v>
      </c>
      <c r="AL77" s="36" t="n">
        <f aca="false">CHOOSE(Dashboard!$C$4,AL74,AL75,AL76)</f>
        <v>0</v>
      </c>
      <c r="AM77" s="36" t="n">
        <f aca="false">CHOOSE(Dashboard!$C$4,AM74,AM75,AM76)</f>
        <v>0</v>
      </c>
      <c r="AN77" s="36" t="n">
        <f aca="false">CHOOSE(Dashboard!$C$4,AN74,AN75,AN76)</f>
        <v>0</v>
      </c>
      <c r="AO77" s="36" t="n">
        <f aca="false">CHOOSE(Dashboard!$C$4,AO74,AO75,AO76)</f>
        <v>0</v>
      </c>
      <c r="AP77" s="36" t="n">
        <f aca="false">CHOOSE(Dashboard!$C$4,AP74,AP75,AP76)</f>
        <v>0</v>
      </c>
      <c r="AQ77" s="36" t="n">
        <f aca="false">CHOOSE(Dashboard!$C$4,AQ74,AQ75,AQ76)</f>
        <v>0</v>
      </c>
      <c r="AR77" s="36" t="n">
        <f aca="false">CHOOSE(Dashboard!$C$4,AR74,AR75,AR76)</f>
        <v>0</v>
      </c>
      <c r="AS77" s="36" t="n">
        <f aca="false">CHOOSE(Dashboard!$C$4,AS74,AS75,AS76)</f>
        <v>0</v>
      </c>
      <c r="AT77" s="36" t="n">
        <f aca="false">CHOOSE(Dashboard!$C$4,AT74,AT75,AT76)</f>
        <v>0</v>
      </c>
      <c r="AU77" s="36" t="n">
        <f aca="false">CHOOSE(Dashboard!$C$4,AU74,AU75,AU76)</f>
        <v>0</v>
      </c>
      <c r="AV77" s="36" t="n">
        <f aca="false">CHOOSE(Dashboard!$C$4,AV74,AV75,AV76)</f>
        <v>0</v>
      </c>
      <c r="AW77" s="36" t="n">
        <f aca="false">CHOOSE(Dashboard!$C$4,AW74,AW75,AW76)</f>
        <v>0</v>
      </c>
      <c r="AX77" s="36" t="n">
        <f aca="false">CHOOSE(Dashboard!$C$4,AX74,AX75,AX76)</f>
        <v>0</v>
      </c>
      <c r="AY77" s="36" t="n">
        <f aca="false">CHOOSE(Dashboard!$C$4,AY74,AY75,AY76)</f>
        <v>0</v>
      </c>
      <c r="AZ77" s="36" t="n">
        <f aca="false">CHOOSE(Dashboard!$C$4,AZ74,AZ75,AZ76)</f>
        <v>0</v>
      </c>
      <c r="BA77" s="36" t="n">
        <f aca="false">CHOOSE(Dashboard!$C$4,BA74,BA75,BA76)</f>
        <v>0</v>
      </c>
      <c r="BB77" s="36" t="n">
        <f aca="false">CHOOSE(Dashboard!$C$4,BB74,BB75,BB76)</f>
        <v>0</v>
      </c>
      <c r="BC77" s="36" t="n">
        <f aca="false">CHOOSE(Dashboard!$C$4,BC74,BC75,BC76)</f>
        <v>0</v>
      </c>
      <c r="BD77" s="36" t="n">
        <f aca="false">CHOOSE(Dashboard!$C$4,BD74,BD75,BD76)</f>
        <v>0</v>
      </c>
      <c r="BE77" s="36" t="n">
        <f aca="false">CHOOSE(Dashboard!$C$4,BE74,BE75,BE76)</f>
        <v>0</v>
      </c>
      <c r="BF77" s="36" t="n">
        <f aca="false">CHOOSE(Dashboard!$C$4,BF74,BF75,BF76)</f>
        <v>0</v>
      </c>
      <c r="BG77" s="36" t="n">
        <f aca="false">CHOOSE(Dashboard!$C$4,BG74,BG75,BG76)</f>
        <v>0</v>
      </c>
      <c r="BH77" s="36" t="n">
        <f aca="false">CHOOSE(Dashboard!$C$4,BH74,BH75,BH76)</f>
        <v>0</v>
      </c>
      <c r="BI77" s="36" t="n">
        <f aca="false">CHOOSE(Dashboard!$C$4,BI74,BI75,BI76)</f>
        <v>0</v>
      </c>
      <c r="BJ77" s="36" t="n">
        <f aca="false">CHOOSE(Dashboard!$C$4,BJ74,BJ75,BJ76)</f>
        <v>0</v>
      </c>
      <c r="BK77" s="36" t="n">
        <f aca="false">CHOOSE(Dashboard!$C$4,BK74,BK75,BK76)</f>
        <v>0</v>
      </c>
      <c r="BL77" s="36" t="n">
        <f aca="false">CHOOSE(Dashboard!$C$4,BL74,BL75,BL76)</f>
        <v>0</v>
      </c>
      <c r="BM77" s="36" t="n">
        <f aca="false">CHOOSE(Dashboard!$C$4,BM74,BM75,BM76)</f>
        <v>0</v>
      </c>
      <c r="BN77" s="36" t="n">
        <f aca="false">CHOOSE(Dashboard!$C$4,BN74,BN75,BN76)</f>
        <v>0</v>
      </c>
    </row>
    <row r="78" customFormat="false" ht="15" hidden="false" customHeight="false" outlineLevel="0" collapsed="false">
      <c r="A78" s="1"/>
      <c r="B78" s="8" t="s">
        <v>269</v>
      </c>
      <c r="C78" s="1"/>
      <c r="D78" s="1"/>
      <c r="E78" s="1"/>
      <c r="F78" s="1"/>
      <c r="G78" s="35" t="n">
        <v>34.3255269320843</v>
      </c>
      <c r="H78" s="35" t="n">
        <v>34.2917544712811</v>
      </c>
      <c r="I78" s="35" t="n">
        <v>34.0436031872982</v>
      </c>
      <c r="J78" s="35" t="n">
        <v>34.9055606758833</v>
      </c>
      <c r="K78" s="35" t="n">
        <v>35.7234689107059</v>
      </c>
      <c r="L78" s="35" t="n">
        <v>35.5089832584729</v>
      </c>
      <c r="M78" s="35" t="n">
        <v>35.3626120723521</v>
      </c>
      <c r="N78" s="35" t="n">
        <v>35.7907588808197</v>
      </c>
      <c r="O78" s="35" t="n">
        <v>35.1805619429297</v>
      </c>
      <c r="P78" s="35" t="n">
        <v>37.011414991429</v>
      </c>
      <c r="Q78" s="35" t="n">
        <v>37.2815713052351</v>
      </c>
      <c r="R78" s="35" t="n">
        <v>37.2815713052351</v>
      </c>
      <c r="S78" s="35" t="n">
        <v>37.158711264532</v>
      </c>
      <c r="T78" s="35" t="n">
        <v>37.7153960774838</v>
      </c>
      <c r="U78" s="35" t="n">
        <v>37.6334574028122</v>
      </c>
      <c r="V78" s="35" t="n">
        <v>37.5511921458626</v>
      </c>
      <c r="W78" s="35" t="n">
        <v>38.0018064516129</v>
      </c>
      <c r="X78" s="35" t="n">
        <v>38.1544241482057</v>
      </c>
      <c r="Y78" s="35" t="n">
        <v>38.038377480549</v>
      </c>
      <c r="Z78" s="35" t="n">
        <v>38.3501674598978</v>
      </c>
      <c r="AA78" s="35" t="n">
        <v>38.1936361641431</v>
      </c>
      <c r="AB78" s="35" t="n">
        <v>38.1936361641431</v>
      </c>
      <c r="AC78" s="35" t="n">
        <v>38.1936361641431</v>
      </c>
      <c r="AD78" s="35" t="n">
        <v>38.038377480549</v>
      </c>
      <c r="AE78" s="35" t="n">
        <v>38.038377480549</v>
      </c>
      <c r="AF78" s="35" t="n">
        <v>38.038377480549</v>
      </c>
      <c r="AG78" s="35" t="n">
        <v>38.038377480549</v>
      </c>
      <c r="AH78" s="35" t="n">
        <v>38.038377480549</v>
      </c>
      <c r="AI78" s="35" t="n">
        <v>38.038377480549</v>
      </c>
      <c r="AJ78" s="35" t="n">
        <v>38.038377480549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</row>
    <row r="79" customFormat="false" ht="15" hidden="false" customHeight="false" outlineLevel="0" collapsed="false">
      <c r="A79" s="1"/>
      <c r="B79" s="8" t="s">
        <v>270</v>
      </c>
      <c r="C79" s="1"/>
      <c r="D79" s="1"/>
      <c r="E79" s="1"/>
      <c r="F79" s="1"/>
      <c r="G79" s="35" t="n">
        <v>34.8303730017762</v>
      </c>
      <c r="H79" s="35" t="n">
        <v>35.3338976095209</v>
      </c>
      <c r="I79" s="35" t="n">
        <v>36.769336864173</v>
      </c>
      <c r="J79" s="35" t="n">
        <v>37.2666946409304</v>
      </c>
      <c r="K79" s="35" t="n">
        <v>37.0092563498298</v>
      </c>
      <c r="L79" s="35" t="n">
        <v>37.7622267206478</v>
      </c>
      <c r="M79" s="35" t="n">
        <v>37.4153391500141</v>
      </c>
      <c r="N79" s="35" t="n">
        <v>36.8813135143334</v>
      </c>
      <c r="O79" s="35" t="n">
        <v>38.1753609687937</v>
      </c>
      <c r="P79" s="35" t="n">
        <v>38.6678255271206</v>
      </c>
      <c r="Q79" s="35" t="n">
        <v>38.9057813765182</v>
      </c>
      <c r="R79" s="35" t="n">
        <v>38.7020042365977</v>
      </c>
      <c r="S79" s="35" t="n">
        <v>38.8221967963387</v>
      </c>
      <c r="T79" s="35" t="n">
        <v>38.4757665191015</v>
      </c>
      <c r="U79" s="35" t="n">
        <v>39.9180595258113</v>
      </c>
      <c r="V79" s="35" t="n">
        <v>39.4609947198092</v>
      </c>
      <c r="W79" s="35" t="n">
        <v>39.4609947198092</v>
      </c>
      <c r="X79" s="35" t="n">
        <v>39.4950129421915</v>
      </c>
      <c r="Y79" s="35" t="n">
        <v>39.5426822871131</v>
      </c>
      <c r="Z79" s="35" t="n">
        <v>39.5426822871131</v>
      </c>
      <c r="AA79" s="35" t="n">
        <v>39.5426822871131</v>
      </c>
      <c r="AB79" s="35" t="n">
        <v>39.5426822871131</v>
      </c>
      <c r="AC79" s="35" t="n">
        <v>39.5426822871131</v>
      </c>
      <c r="AD79" s="35" t="n">
        <v>39.5426822871131</v>
      </c>
      <c r="AE79" s="35" t="n">
        <v>39.5426822871131</v>
      </c>
      <c r="AF79" s="35" t="n">
        <v>39.5426822871131</v>
      </c>
      <c r="AG79" s="35" t="n">
        <v>39.5426822871131</v>
      </c>
      <c r="AH79" s="35" t="n">
        <v>39.6744912280702</v>
      </c>
      <c r="AI79" s="35" t="n">
        <v>39.6744912280702</v>
      </c>
      <c r="AJ79" s="35" t="n">
        <v>39.8873475078425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</row>
    <row r="80" customFormat="false" ht="15" hidden="false" customHeight="false" outlineLevel="0" collapsed="false">
      <c r="A80" s="1"/>
      <c r="B80" s="8" t="s">
        <v>271</v>
      </c>
      <c r="C80" s="1"/>
      <c r="D80" s="1"/>
      <c r="E80" s="1"/>
      <c r="F80" s="1"/>
      <c r="G80" s="35" t="n">
        <v>38.0579521569413</v>
      </c>
      <c r="H80" s="35" t="n">
        <v>39.4556025369979</v>
      </c>
      <c r="I80" s="35" t="n">
        <v>40.7621331355993</v>
      </c>
      <c r="J80" s="35" t="n">
        <v>40.0852799164818</v>
      </c>
      <c r="K80" s="35" t="n">
        <v>41.6377630278209</v>
      </c>
      <c r="L80" s="35" t="n">
        <v>41.6786132449953</v>
      </c>
      <c r="M80" s="35" t="n">
        <v>41.9977786637808</v>
      </c>
      <c r="N80" s="35" t="n">
        <v>41.9977786637808</v>
      </c>
      <c r="O80" s="35" t="n">
        <v>42.2310996563574</v>
      </c>
      <c r="P80" s="35" t="n">
        <v>42.3487350314447</v>
      </c>
      <c r="Q80" s="35" t="n">
        <v>42.0684931506849</v>
      </c>
      <c r="R80" s="35" t="n">
        <v>41.5634827312751</v>
      </c>
      <c r="S80" s="35" t="n">
        <v>41.4535264277532</v>
      </c>
      <c r="T80" s="35" t="n">
        <v>41.5052885259071</v>
      </c>
      <c r="U80" s="35" t="n">
        <v>41.6780921243441</v>
      </c>
      <c r="V80" s="35" t="n">
        <v>41.9275773195876</v>
      </c>
      <c r="W80" s="35" t="n">
        <v>41.9516768254446</v>
      </c>
      <c r="X80" s="35" t="n">
        <v>42.4875113255136</v>
      </c>
      <c r="Y80" s="35" t="n">
        <v>42.1624795259659</v>
      </c>
      <c r="Z80" s="35" t="n">
        <v>42.3892883502774</v>
      </c>
      <c r="AA80" s="35" t="n">
        <v>42.3892883502774</v>
      </c>
      <c r="AB80" s="35" t="n">
        <v>42.3892883502774</v>
      </c>
      <c r="AC80" s="35" t="n">
        <v>42.3892883502774</v>
      </c>
      <c r="AD80" s="35" t="n">
        <v>42.3892883502774</v>
      </c>
      <c r="AE80" s="35" t="n">
        <v>42.3892883502774</v>
      </c>
      <c r="AF80" s="35" t="n">
        <v>42.3892883502774</v>
      </c>
      <c r="AG80" s="35" t="n">
        <v>42.3892883502774</v>
      </c>
      <c r="AH80" s="35" t="n">
        <v>42.3892883502774</v>
      </c>
      <c r="AI80" s="35" t="n">
        <v>42.3892883502774</v>
      </c>
      <c r="AJ80" s="35" t="n">
        <v>42.3892883502774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</row>
    <row r="81" customFormat="false" ht="15" hidden="false" customHeight="false" outlineLevel="0" collapsed="false">
      <c r="A81" s="1"/>
      <c r="B81" s="4" t="s">
        <v>272</v>
      </c>
      <c r="C81" s="1"/>
      <c r="D81" s="1"/>
      <c r="E81" s="1"/>
      <c r="F81" s="1"/>
      <c r="G81" s="36" t="n">
        <f aca="false">CHOOSE(Dashboard!$C$4,G78,G79,G80)</f>
        <v>34.8303730017762</v>
      </c>
      <c r="H81" s="36" t="n">
        <f aca="false">CHOOSE(Dashboard!$C$4,H78,H79,H80)</f>
        <v>35.3338976095209</v>
      </c>
      <c r="I81" s="36" t="n">
        <f aca="false">CHOOSE(Dashboard!$C$4,I78,I79,I80)</f>
        <v>36.769336864173</v>
      </c>
      <c r="J81" s="36" t="n">
        <f aca="false">CHOOSE(Dashboard!$C$4,J78,J79,J80)</f>
        <v>37.2666946409304</v>
      </c>
      <c r="K81" s="36" t="n">
        <f aca="false">CHOOSE(Dashboard!$C$4,K78,K79,K80)</f>
        <v>37.0092563498298</v>
      </c>
      <c r="L81" s="36" t="n">
        <f aca="false">CHOOSE(Dashboard!$C$4,L78,L79,L80)</f>
        <v>37.7622267206478</v>
      </c>
      <c r="M81" s="36" t="n">
        <f aca="false">CHOOSE(Dashboard!$C$4,M78,M79,M80)</f>
        <v>37.4153391500141</v>
      </c>
      <c r="N81" s="36" t="n">
        <f aca="false">CHOOSE(Dashboard!$C$4,N78,N79,N80)</f>
        <v>36.8813135143334</v>
      </c>
      <c r="O81" s="36" t="n">
        <f aca="false">CHOOSE(Dashboard!$C$4,O78,O79,O80)</f>
        <v>38.1753609687937</v>
      </c>
      <c r="P81" s="36" t="n">
        <f aca="false">CHOOSE(Dashboard!$C$4,P78,P79,P80)</f>
        <v>38.6678255271206</v>
      </c>
      <c r="Q81" s="36" t="n">
        <f aca="false">CHOOSE(Dashboard!$C$4,Q78,Q79,Q80)</f>
        <v>38.9057813765182</v>
      </c>
      <c r="R81" s="36" t="n">
        <f aca="false">CHOOSE(Dashboard!$C$4,R78,R79,R80)</f>
        <v>38.7020042365977</v>
      </c>
      <c r="S81" s="36" t="n">
        <f aca="false">CHOOSE(Dashboard!$C$4,S78,S79,S80)</f>
        <v>38.8221967963387</v>
      </c>
      <c r="T81" s="36" t="n">
        <f aca="false">CHOOSE(Dashboard!$C$4,T78,T79,T80)</f>
        <v>38.4757665191015</v>
      </c>
      <c r="U81" s="36" t="n">
        <f aca="false">CHOOSE(Dashboard!$C$4,U78,U79,U80)</f>
        <v>39.9180595258113</v>
      </c>
      <c r="V81" s="36" t="n">
        <f aca="false">CHOOSE(Dashboard!$C$4,V78,V79,V80)</f>
        <v>39.4609947198092</v>
      </c>
      <c r="W81" s="36" t="n">
        <f aca="false">CHOOSE(Dashboard!$C$4,W78,W79,W80)</f>
        <v>39.4609947198092</v>
      </c>
      <c r="X81" s="36" t="n">
        <f aca="false">CHOOSE(Dashboard!$C$4,X78,X79,X80)</f>
        <v>39.4950129421915</v>
      </c>
      <c r="Y81" s="36" t="n">
        <f aca="false">CHOOSE(Dashboard!$C$4,Y78,Y79,Y80)</f>
        <v>39.5426822871131</v>
      </c>
      <c r="Z81" s="36" t="n">
        <f aca="false">CHOOSE(Dashboard!$C$4,Z78,Z79,Z80)</f>
        <v>39.5426822871131</v>
      </c>
      <c r="AA81" s="36" t="n">
        <f aca="false">CHOOSE(Dashboard!$C$4,AA78,AA79,AA80)</f>
        <v>39.5426822871131</v>
      </c>
      <c r="AB81" s="36" t="n">
        <f aca="false">CHOOSE(Dashboard!$C$4,AB78,AB79,AB80)</f>
        <v>39.5426822871131</v>
      </c>
      <c r="AC81" s="36" t="n">
        <f aca="false">CHOOSE(Dashboard!$C$4,AC78,AC79,AC80)</f>
        <v>39.5426822871131</v>
      </c>
      <c r="AD81" s="36" t="n">
        <f aca="false">CHOOSE(Dashboard!$C$4,AD78,AD79,AD80)</f>
        <v>39.5426822871131</v>
      </c>
      <c r="AE81" s="36" t="n">
        <f aca="false">CHOOSE(Dashboard!$C$4,AE78,AE79,AE80)</f>
        <v>39.5426822871131</v>
      </c>
      <c r="AF81" s="36" t="n">
        <f aca="false">CHOOSE(Dashboard!$C$4,AF78,AF79,AF80)</f>
        <v>39.5426822871131</v>
      </c>
      <c r="AG81" s="36" t="n">
        <f aca="false">CHOOSE(Dashboard!$C$4,AG78,AG79,AG80)</f>
        <v>39.5426822871131</v>
      </c>
      <c r="AH81" s="36" t="n">
        <f aca="false">CHOOSE(Dashboard!$C$4,AH78,AH79,AH80)</f>
        <v>39.6744912280702</v>
      </c>
      <c r="AI81" s="36" t="n">
        <f aca="false">CHOOSE(Dashboard!$C$4,AI78,AI79,AI80)</f>
        <v>39.6744912280702</v>
      </c>
      <c r="AJ81" s="36" t="n">
        <f aca="false">CHOOSE(Dashboard!$C$4,AJ78,AJ79,AJ80)</f>
        <v>39.8873475078425</v>
      </c>
      <c r="AK81" s="36" t="n">
        <f aca="false">CHOOSE(Dashboard!$C$4,AK78,AK79,AK80)</f>
        <v>0</v>
      </c>
      <c r="AL81" s="36" t="n">
        <f aca="false">CHOOSE(Dashboard!$C$4,AL78,AL79,AL80)</f>
        <v>0</v>
      </c>
      <c r="AM81" s="36" t="n">
        <f aca="false">CHOOSE(Dashboard!$C$4,AM78,AM79,AM80)</f>
        <v>0</v>
      </c>
      <c r="AN81" s="36" t="n">
        <f aca="false">CHOOSE(Dashboard!$C$4,AN78,AN79,AN80)</f>
        <v>0</v>
      </c>
      <c r="AO81" s="36" t="n">
        <f aca="false">CHOOSE(Dashboard!$C$4,AO78,AO79,AO80)</f>
        <v>0</v>
      </c>
      <c r="AP81" s="36" t="n">
        <f aca="false">CHOOSE(Dashboard!$C$4,AP78,AP79,AP80)</f>
        <v>0</v>
      </c>
      <c r="AQ81" s="36" t="n">
        <f aca="false">CHOOSE(Dashboard!$C$4,AQ78,AQ79,AQ80)</f>
        <v>0</v>
      </c>
      <c r="AR81" s="36" t="n">
        <f aca="false">CHOOSE(Dashboard!$C$4,AR78,AR79,AR80)</f>
        <v>0</v>
      </c>
      <c r="AS81" s="36" t="n">
        <f aca="false">CHOOSE(Dashboard!$C$4,AS78,AS79,AS80)</f>
        <v>0</v>
      </c>
      <c r="AT81" s="36" t="n">
        <f aca="false">CHOOSE(Dashboard!$C$4,AT78,AT79,AT80)</f>
        <v>0</v>
      </c>
      <c r="AU81" s="36" t="n">
        <f aca="false">CHOOSE(Dashboard!$C$4,AU78,AU79,AU80)</f>
        <v>0</v>
      </c>
      <c r="AV81" s="36" t="n">
        <f aca="false">CHOOSE(Dashboard!$C$4,AV78,AV79,AV80)</f>
        <v>0</v>
      </c>
      <c r="AW81" s="36" t="n">
        <f aca="false">CHOOSE(Dashboard!$C$4,AW78,AW79,AW80)</f>
        <v>0</v>
      </c>
      <c r="AX81" s="36" t="n">
        <f aca="false">CHOOSE(Dashboard!$C$4,AX78,AX79,AX80)</f>
        <v>0</v>
      </c>
      <c r="AY81" s="36" t="n">
        <f aca="false">CHOOSE(Dashboard!$C$4,AY78,AY79,AY80)</f>
        <v>0</v>
      </c>
      <c r="AZ81" s="36" t="n">
        <f aca="false">CHOOSE(Dashboard!$C$4,AZ78,AZ79,AZ80)</f>
        <v>0</v>
      </c>
      <c r="BA81" s="36" t="n">
        <f aca="false">CHOOSE(Dashboard!$C$4,BA78,BA79,BA80)</f>
        <v>0</v>
      </c>
      <c r="BB81" s="36" t="n">
        <f aca="false">CHOOSE(Dashboard!$C$4,BB78,BB79,BB80)</f>
        <v>0</v>
      </c>
      <c r="BC81" s="36" t="n">
        <f aca="false">CHOOSE(Dashboard!$C$4,BC78,BC79,BC80)</f>
        <v>0</v>
      </c>
      <c r="BD81" s="36" t="n">
        <f aca="false">CHOOSE(Dashboard!$C$4,BD78,BD79,BD80)</f>
        <v>0</v>
      </c>
      <c r="BE81" s="36" t="n">
        <f aca="false">CHOOSE(Dashboard!$C$4,BE78,BE79,BE80)</f>
        <v>0</v>
      </c>
      <c r="BF81" s="36" t="n">
        <f aca="false">CHOOSE(Dashboard!$C$4,BF78,BF79,BF80)</f>
        <v>0</v>
      </c>
      <c r="BG81" s="36" t="n">
        <f aca="false">CHOOSE(Dashboard!$C$4,BG78,BG79,BG80)</f>
        <v>0</v>
      </c>
      <c r="BH81" s="36" t="n">
        <f aca="false">CHOOSE(Dashboard!$C$4,BH78,BH79,BH80)</f>
        <v>0</v>
      </c>
      <c r="BI81" s="36" t="n">
        <f aca="false">CHOOSE(Dashboard!$C$4,BI78,BI79,BI80)</f>
        <v>0</v>
      </c>
      <c r="BJ81" s="36" t="n">
        <f aca="false">CHOOSE(Dashboard!$C$4,BJ78,BJ79,BJ80)</f>
        <v>0</v>
      </c>
      <c r="BK81" s="36" t="n">
        <f aca="false">CHOOSE(Dashboard!$C$4,BK78,BK79,BK80)</f>
        <v>0</v>
      </c>
      <c r="BL81" s="36" t="n">
        <f aca="false">CHOOSE(Dashboard!$C$4,BL78,BL79,BL80)</f>
        <v>0</v>
      </c>
      <c r="BM81" s="36" t="n">
        <f aca="false">CHOOSE(Dashboard!$C$4,BM78,BM79,BM80)</f>
        <v>0</v>
      </c>
      <c r="BN81" s="36" t="n">
        <f aca="false">CHOOSE(Dashboard!$C$4,BN78,BN79,BN80)</f>
        <v>0</v>
      </c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</row>
    <row r="83" customFormat="false" ht="15" hidden="false" customHeight="false" outlineLevel="0" collapsed="false">
      <c r="A83" s="1"/>
      <c r="B83" s="13" t="s">
        <v>21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</row>
    <row r="84" customFormat="false" ht="15" hidden="false" customHeight="false" outlineLevel="0" collapsed="false">
      <c r="A84" s="1"/>
      <c r="B84" s="8" t="s">
        <v>249</v>
      </c>
      <c r="C84" s="1"/>
      <c r="D84" s="1"/>
      <c r="E84" s="1"/>
      <c r="F84" s="1"/>
      <c r="G84" s="35" t="n">
        <v>0.131665068493151</v>
      </c>
      <c r="H84" s="35" t="n">
        <v>0.120284246575343</v>
      </c>
      <c r="I84" s="35" t="n">
        <v>0.108415068493151</v>
      </c>
      <c r="J84" s="35" t="n">
        <v>0.0975969178082192</v>
      </c>
      <c r="K84" s="35" t="n">
        <v>0.0879996575342466</v>
      </c>
      <c r="L84" s="35" t="n">
        <v>0.0857808219178082</v>
      </c>
      <c r="M84" s="35" t="n">
        <v>0.0834558219178082</v>
      </c>
      <c r="N84" s="35" t="n">
        <v>0.0817571917808219</v>
      </c>
      <c r="O84" s="35" t="n">
        <v>0.0792198630136986</v>
      </c>
      <c r="P84" s="35" t="n">
        <v>0.0774044520547945</v>
      </c>
      <c r="Q84" s="35" t="n">
        <v>0.0755996575342466</v>
      </c>
      <c r="R84" s="35" t="n">
        <v>0.0741770547945206</v>
      </c>
      <c r="S84" s="35" t="n">
        <v>0.073104794520548</v>
      </c>
      <c r="T84" s="35" t="n">
        <v>0.0722554794520548</v>
      </c>
      <c r="U84" s="35" t="n">
        <v>0.0713</v>
      </c>
      <c r="V84" s="35" t="n">
        <v>0.0696650684931507</v>
      </c>
      <c r="W84" s="35" t="n">
        <v>0.0688157534246576</v>
      </c>
      <c r="X84" s="35" t="n">
        <v>0.0678602739726028</v>
      </c>
      <c r="Y84" s="35" t="n">
        <v>0.0670109589041096</v>
      </c>
      <c r="Z84" s="35" t="n">
        <v>0.0660554794520548</v>
      </c>
      <c r="AA84" s="35" t="n">
        <v>0.0661616438356165</v>
      </c>
      <c r="AB84" s="35" t="n">
        <v>0.0661616438356165</v>
      </c>
      <c r="AC84" s="35" t="n">
        <v>0.0660554794520548</v>
      </c>
      <c r="AD84" s="35" t="n">
        <v>0.0660554794520548</v>
      </c>
      <c r="AE84" s="35" t="n">
        <v>0.0661616438356165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customFormat="false" ht="15" hidden="false" customHeight="false" outlineLevel="0" collapsed="false">
      <c r="A85" s="1"/>
      <c r="B85" s="8" t="s">
        <v>250</v>
      </c>
      <c r="C85" s="1"/>
      <c r="D85" s="1"/>
      <c r="E85" s="1"/>
      <c r="F85" s="1"/>
      <c r="G85" s="35" t="n">
        <v>0.168863584474886</v>
      </c>
      <c r="H85" s="35" t="n">
        <v>0.153680936073059</v>
      </c>
      <c r="I85" s="35" t="n">
        <v>0.13586301369863</v>
      </c>
      <c r="J85" s="35" t="n">
        <v>0.122827625570776</v>
      </c>
      <c r="K85" s="35" t="n">
        <v>0.112243150684932</v>
      </c>
      <c r="L85" s="35" t="n">
        <v>0.105280821917808</v>
      </c>
      <c r="M85" s="35" t="n">
        <v>0.100617579908676</v>
      </c>
      <c r="N85" s="35" t="n">
        <v>0.0968869863013699</v>
      </c>
      <c r="O85" s="35" t="n">
        <v>0.0920068493150685</v>
      </c>
      <c r="P85" s="35" t="n">
        <v>0.0868013698630137</v>
      </c>
      <c r="Q85" s="35" t="n">
        <v>0.0861506849315068</v>
      </c>
      <c r="R85" s="35" t="n">
        <v>0.0853807077625571</v>
      </c>
      <c r="S85" s="35" t="n">
        <v>0.0850553652968037</v>
      </c>
      <c r="T85" s="35" t="n">
        <v>0.0844046803652968</v>
      </c>
      <c r="U85" s="35" t="n">
        <v>0.0840793378995434</v>
      </c>
      <c r="V85" s="35" t="n">
        <v>0.0832117579908676</v>
      </c>
      <c r="W85" s="35" t="n">
        <v>0.0822357305936073</v>
      </c>
      <c r="X85" s="35" t="n">
        <v>0.0820188356164384</v>
      </c>
      <c r="Y85" s="35" t="n">
        <v>0.0807174657534247</v>
      </c>
      <c r="Z85" s="35" t="n">
        <v>0.0805005707762557</v>
      </c>
      <c r="AA85" s="35" t="n">
        <v>0.0805005707762557</v>
      </c>
      <c r="AB85" s="35" t="n">
        <v>0.0806090182648402</v>
      </c>
      <c r="AC85" s="35" t="n">
        <v>0.0809343607305936</v>
      </c>
      <c r="AD85" s="35" t="n">
        <v>0.081476598173516</v>
      </c>
      <c r="AE85" s="35" t="n">
        <v>0.0815850456621004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</row>
    <row r="86" customFormat="false" ht="15" hidden="false" customHeight="false" outlineLevel="0" collapsed="false">
      <c r="A86" s="1"/>
      <c r="B86" s="8" t="s">
        <v>251</v>
      </c>
      <c r="C86" s="1"/>
      <c r="D86" s="1"/>
      <c r="E86" s="1"/>
      <c r="F86" s="1"/>
      <c r="G86" s="35" t="n">
        <v>0.12109497716895</v>
      </c>
      <c r="H86" s="35" t="n">
        <v>0.106877168949772</v>
      </c>
      <c r="I86" s="35" t="n">
        <v>0.0982512557077626</v>
      </c>
      <c r="J86" s="35" t="n">
        <v>0.0882744292237443</v>
      </c>
      <c r="K86" s="35" t="n">
        <v>0.0807447488584475</v>
      </c>
      <c r="L86" s="35" t="n">
        <v>0.0807447488584475</v>
      </c>
      <c r="M86" s="35" t="n">
        <v>0.0806340182648402</v>
      </c>
      <c r="N86" s="35" t="n">
        <v>0.0806340182648402</v>
      </c>
      <c r="O86" s="35" t="n">
        <v>0.0807447488584475</v>
      </c>
      <c r="P86" s="35" t="n">
        <v>0.0809662100456621</v>
      </c>
      <c r="Q86" s="35" t="n">
        <v>0.0822949771689498</v>
      </c>
      <c r="R86" s="35" t="n">
        <v>0.0845206621004566</v>
      </c>
      <c r="S86" s="35" t="n">
        <v>0.0856279680365297</v>
      </c>
      <c r="T86" s="35" t="n">
        <v>0.0869567351598174</v>
      </c>
      <c r="U86" s="35" t="n">
        <v>0.0895035388127854</v>
      </c>
      <c r="V86" s="35" t="n">
        <v>0.0917181506849315</v>
      </c>
      <c r="W86" s="35" t="n">
        <v>0.0932794520547945</v>
      </c>
      <c r="X86" s="35" t="n">
        <v>0.0953722602739726</v>
      </c>
      <c r="Y86" s="35" t="n">
        <v>0.0973543378995434</v>
      </c>
      <c r="Z86" s="35" t="n">
        <v>0.0993474885844749</v>
      </c>
      <c r="AA86" s="35" t="n">
        <v>0.0993474885844749</v>
      </c>
      <c r="AB86" s="35" t="n">
        <v>0.0993474885844749</v>
      </c>
      <c r="AC86" s="35" t="n">
        <v>0.0993474885844749</v>
      </c>
      <c r="AD86" s="35" t="n">
        <v>0.0993474885844749</v>
      </c>
      <c r="AE86" s="35" t="n">
        <v>0.0993474885844749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</row>
    <row r="87" customFormat="false" ht="15" hidden="false" customHeight="false" outlineLevel="0" collapsed="false">
      <c r="A87" s="1"/>
      <c r="B87" s="4" t="s">
        <v>252</v>
      </c>
      <c r="C87" s="1"/>
      <c r="D87" s="1"/>
      <c r="E87" s="1"/>
      <c r="F87" s="1"/>
      <c r="G87" s="36" t="n">
        <f aca="false">CHOOSE(Dashboard!$C$4,G84,G85,G86)</f>
        <v>0.168863584474886</v>
      </c>
      <c r="H87" s="36" t="n">
        <f aca="false">CHOOSE(Dashboard!$C$4,H84,H85,H86)</f>
        <v>0.153680936073059</v>
      </c>
      <c r="I87" s="36" t="n">
        <f aca="false">CHOOSE(Dashboard!$C$4,I84,I85,I86)</f>
        <v>0.13586301369863</v>
      </c>
      <c r="J87" s="36" t="n">
        <f aca="false">CHOOSE(Dashboard!$C$4,J84,J85,J86)</f>
        <v>0.122827625570776</v>
      </c>
      <c r="K87" s="36" t="n">
        <f aca="false">CHOOSE(Dashboard!$C$4,K84,K85,K86)</f>
        <v>0.112243150684932</v>
      </c>
      <c r="L87" s="36" t="n">
        <f aca="false">CHOOSE(Dashboard!$C$4,L84,L85,L86)</f>
        <v>0.105280821917808</v>
      </c>
      <c r="M87" s="36" t="n">
        <f aca="false">CHOOSE(Dashboard!$C$4,M84,M85,M86)</f>
        <v>0.100617579908676</v>
      </c>
      <c r="N87" s="36" t="n">
        <f aca="false">CHOOSE(Dashboard!$C$4,N84,N85,N86)</f>
        <v>0.0968869863013699</v>
      </c>
      <c r="O87" s="36" t="n">
        <f aca="false">CHOOSE(Dashboard!$C$4,O84,O85,O86)</f>
        <v>0.0920068493150685</v>
      </c>
      <c r="P87" s="36" t="n">
        <f aca="false">CHOOSE(Dashboard!$C$4,P84,P85,P86)</f>
        <v>0.0868013698630137</v>
      </c>
      <c r="Q87" s="36" t="n">
        <f aca="false">CHOOSE(Dashboard!$C$4,Q84,Q85,Q86)</f>
        <v>0.0861506849315068</v>
      </c>
      <c r="R87" s="36" t="n">
        <f aca="false">CHOOSE(Dashboard!$C$4,R84,R85,R86)</f>
        <v>0.0853807077625571</v>
      </c>
      <c r="S87" s="36" t="n">
        <f aca="false">CHOOSE(Dashboard!$C$4,S84,S85,S86)</f>
        <v>0.0850553652968037</v>
      </c>
      <c r="T87" s="36" t="n">
        <f aca="false">CHOOSE(Dashboard!$C$4,T84,T85,T86)</f>
        <v>0.0844046803652968</v>
      </c>
      <c r="U87" s="36" t="n">
        <f aca="false">CHOOSE(Dashboard!$C$4,U84,U85,U86)</f>
        <v>0.0840793378995434</v>
      </c>
      <c r="V87" s="36" t="n">
        <f aca="false">CHOOSE(Dashboard!$C$4,V84,V85,V86)</f>
        <v>0.0832117579908676</v>
      </c>
      <c r="W87" s="36" t="n">
        <f aca="false">CHOOSE(Dashboard!$C$4,W84,W85,W86)</f>
        <v>0.0822357305936073</v>
      </c>
      <c r="X87" s="36" t="n">
        <f aca="false">CHOOSE(Dashboard!$C$4,X84,X85,X86)</f>
        <v>0.0820188356164384</v>
      </c>
      <c r="Y87" s="36" t="n">
        <f aca="false">CHOOSE(Dashboard!$C$4,Y84,Y85,Y86)</f>
        <v>0.0807174657534247</v>
      </c>
      <c r="Z87" s="36" t="n">
        <f aca="false">CHOOSE(Dashboard!$C$4,Z84,Z85,Z86)</f>
        <v>0.0805005707762557</v>
      </c>
      <c r="AA87" s="36" t="n">
        <f aca="false">CHOOSE(Dashboard!$C$4,AA84,AA85,AA86)</f>
        <v>0.0805005707762557</v>
      </c>
      <c r="AB87" s="36" t="n">
        <f aca="false">CHOOSE(Dashboard!$C$4,AB84,AB85,AB86)</f>
        <v>0.0806090182648402</v>
      </c>
      <c r="AC87" s="36" t="n">
        <f aca="false">CHOOSE(Dashboard!$C$4,AC84,AC85,AC86)</f>
        <v>0.0809343607305936</v>
      </c>
      <c r="AD87" s="36" t="n">
        <f aca="false">CHOOSE(Dashboard!$C$4,AD84,AD85,AD86)</f>
        <v>0.081476598173516</v>
      </c>
      <c r="AE87" s="36" t="n">
        <f aca="false">CHOOSE(Dashboard!$C$4,AE84,AE85,AE86)</f>
        <v>0.0815850456621004</v>
      </c>
      <c r="AF87" s="36" t="n">
        <f aca="false">CHOOSE(Dashboard!$C$4,AF84,AF85,AF86)</f>
        <v>0</v>
      </c>
      <c r="AG87" s="36" t="n">
        <f aca="false">CHOOSE(Dashboard!$C$4,AG84,AG85,AG86)</f>
        <v>0</v>
      </c>
      <c r="AH87" s="36" t="n">
        <f aca="false">CHOOSE(Dashboard!$C$4,AH84,AH85,AH86)</f>
        <v>0</v>
      </c>
      <c r="AI87" s="36" t="n">
        <f aca="false">CHOOSE(Dashboard!$C$4,AI84,AI85,AI86)</f>
        <v>0</v>
      </c>
      <c r="AJ87" s="36" t="n">
        <f aca="false">CHOOSE(Dashboard!$C$4,AJ84,AJ85,AJ86)</f>
        <v>0</v>
      </c>
      <c r="AK87" s="36" t="n">
        <f aca="false">CHOOSE(Dashboard!$C$4,AK84,AK85,AK86)</f>
        <v>0</v>
      </c>
      <c r="AL87" s="36" t="n">
        <f aca="false">CHOOSE(Dashboard!$C$4,AL84,AL85,AL86)</f>
        <v>0</v>
      </c>
      <c r="AM87" s="36" t="n">
        <f aca="false">CHOOSE(Dashboard!$C$4,AM84,AM85,AM86)</f>
        <v>0</v>
      </c>
      <c r="AN87" s="36" t="n">
        <f aca="false">CHOOSE(Dashboard!$C$4,AN84,AN85,AN86)</f>
        <v>0</v>
      </c>
      <c r="AO87" s="36" t="n">
        <f aca="false">CHOOSE(Dashboard!$C$4,AO84,AO85,AO86)</f>
        <v>0</v>
      </c>
      <c r="AP87" s="36" t="n">
        <f aca="false">CHOOSE(Dashboard!$C$4,AP84,AP85,AP86)</f>
        <v>0</v>
      </c>
      <c r="AQ87" s="36" t="n">
        <f aca="false">CHOOSE(Dashboard!$C$4,AQ84,AQ85,AQ86)</f>
        <v>0</v>
      </c>
      <c r="AR87" s="36" t="n">
        <f aca="false">CHOOSE(Dashboard!$C$4,AR84,AR85,AR86)</f>
        <v>0</v>
      </c>
      <c r="AS87" s="36" t="n">
        <f aca="false">CHOOSE(Dashboard!$C$4,AS84,AS85,AS86)</f>
        <v>0</v>
      </c>
      <c r="AT87" s="36" t="n">
        <f aca="false">CHOOSE(Dashboard!$C$4,AT84,AT85,AT86)</f>
        <v>0</v>
      </c>
      <c r="AU87" s="36" t="n">
        <f aca="false">CHOOSE(Dashboard!$C$4,AU84,AU85,AU86)</f>
        <v>0</v>
      </c>
      <c r="AV87" s="36" t="n">
        <f aca="false">CHOOSE(Dashboard!$C$4,AV84,AV85,AV86)</f>
        <v>0</v>
      </c>
      <c r="AW87" s="36" t="n">
        <f aca="false">CHOOSE(Dashboard!$C$4,AW84,AW85,AW86)</f>
        <v>0</v>
      </c>
      <c r="AX87" s="36" t="n">
        <f aca="false">CHOOSE(Dashboard!$C$4,AX84,AX85,AX86)</f>
        <v>0</v>
      </c>
      <c r="AY87" s="36" t="n">
        <f aca="false">CHOOSE(Dashboard!$C$4,AY84,AY85,AY86)</f>
        <v>0</v>
      </c>
      <c r="AZ87" s="36" t="n">
        <f aca="false">CHOOSE(Dashboard!$C$4,AZ84,AZ85,AZ86)</f>
        <v>0</v>
      </c>
      <c r="BA87" s="36" t="n">
        <f aca="false">CHOOSE(Dashboard!$C$4,BA84,BA85,BA86)</f>
        <v>0</v>
      </c>
      <c r="BB87" s="36" t="n">
        <f aca="false">CHOOSE(Dashboard!$C$4,BB84,BB85,BB86)</f>
        <v>0</v>
      </c>
      <c r="BC87" s="36" t="n">
        <f aca="false">CHOOSE(Dashboard!$C$4,BC84,BC85,BC86)</f>
        <v>0</v>
      </c>
      <c r="BD87" s="36" t="n">
        <f aca="false">CHOOSE(Dashboard!$C$4,BD84,BD85,BD86)</f>
        <v>0</v>
      </c>
      <c r="BE87" s="36" t="n">
        <f aca="false">CHOOSE(Dashboard!$C$4,BE84,BE85,BE86)</f>
        <v>0</v>
      </c>
      <c r="BF87" s="36" t="n">
        <f aca="false">CHOOSE(Dashboard!$C$4,BF84,BF85,BF86)</f>
        <v>0</v>
      </c>
      <c r="BG87" s="36" t="n">
        <f aca="false">CHOOSE(Dashboard!$C$4,BG84,BG85,BG86)</f>
        <v>0</v>
      </c>
      <c r="BH87" s="36" t="n">
        <f aca="false">CHOOSE(Dashboard!$C$4,BH84,BH85,BH86)</f>
        <v>0</v>
      </c>
      <c r="BI87" s="36" t="n">
        <f aca="false">CHOOSE(Dashboard!$C$4,BI84,BI85,BI86)</f>
        <v>0</v>
      </c>
      <c r="BJ87" s="36" t="n">
        <f aca="false">CHOOSE(Dashboard!$C$4,BJ84,BJ85,BJ86)</f>
        <v>0</v>
      </c>
      <c r="BK87" s="36" t="n">
        <f aca="false">CHOOSE(Dashboard!$C$4,BK84,BK85,BK86)</f>
        <v>0</v>
      </c>
      <c r="BL87" s="36" t="n">
        <f aca="false">CHOOSE(Dashboard!$C$4,BL84,BL85,BL86)</f>
        <v>0</v>
      </c>
      <c r="BM87" s="36" t="n">
        <f aca="false">CHOOSE(Dashboard!$C$4,BM84,BM85,BM86)</f>
        <v>0</v>
      </c>
      <c r="BN87" s="36" t="n">
        <f aca="false">CHOOSE(Dashboard!$C$4,BN84,BN85,BN86)</f>
        <v>0</v>
      </c>
    </row>
    <row r="88" customFormat="false" ht="15" hidden="false" customHeight="false" outlineLevel="0" collapsed="false">
      <c r="A88" s="1"/>
      <c r="B88" s="8" t="s">
        <v>253</v>
      </c>
      <c r="C88" s="1"/>
      <c r="D88" s="1"/>
      <c r="E88" s="1"/>
      <c r="F88" s="1"/>
      <c r="G88" s="35" t="n">
        <v>1.80928396567385</v>
      </c>
      <c r="H88" s="35" t="n">
        <v>1.85005286986738</v>
      </c>
      <c r="I88" s="35" t="n">
        <v>1.89799865374252</v>
      </c>
      <c r="J88" s="35" t="n">
        <v>1.94774135676911</v>
      </c>
      <c r="K88" s="35" t="n">
        <v>1.99668024250355</v>
      </c>
      <c r="L88" s="35" t="n">
        <v>2.01019166501205</v>
      </c>
      <c r="M88" s="35" t="n">
        <v>2.02422374991787</v>
      </c>
      <c r="N88" s="35" t="n">
        <v>2.03418244816156</v>
      </c>
      <c r="O88" s="35" t="n">
        <v>2.04935446225984</v>
      </c>
      <c r="P88" s="35" t="n">
        <v>2.06198422396346</v>
      </c>
      <c r="Q88" s="35" t="n">
        <v>2.07395736220142</v>
      </c>
      <c r="R88" s="35" t="n">
        <v>2.08373932021762</v>
      </c>
      <c r="S88" s="35" t="n">
        <v>2.09158682583199</v>
      </c>
      <c r="T88" s="35" t="n">
        <v>2.09745168370693</v>
      </c>
      <c r="U88" s="35" t="n">
        <v>2.10426104941697</v>
      </c>
      <c r="V88" s="35" t="n">
        <v>2.11576894478655</v>
      </c>
      <c r="W88" s="35" t="n">
        <v>2.12262853730567</v>
      </c>
      <c r="X88" s="35" t="n">
        <v>2.13042321163395</v>
      </c>
      <c r="Y88" s="35" t="n">
        <v>2.1376944576834</v>
      </c>
      <c r="Z88" s="35" t="n">
        <v>2.1455698548469</v>
      </c>
      <c r="AA88" s="35" t="n">
        <v>2.14485481554252</v>
      </c>
      <c r="AB88" s="35" t="n">
        <v>2.14496612117468</v>
      </c>
      <c r="AC88" s="35" t="n">
        <v>2.14586231730603</v>
      </c>
      <c r="AD88" s="35" t="n">
        <v>2.14597500599438</v>
      </c>
      <c r="AE88" s="35" t="n">
        <v>2.14542041110169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</row>
    <row r="89" customFormat="false" ht="15" hidden="false" customHeight="false" outlineLevel="0" collapsed="false">
      <c r="A89" s="1"/>
      <c r="B89" s="8" t="s">
        <v>254</v>
      </c>
      <c r="C89" s="1"/>
      <c r="D89" s="1"/>
      <c r="E89" s="1"/>
      <c r="F89" s="1"/>
      <c r="G89" s="35" t="n">
        <v>1.71563909019488</v>
      </c>
      <c r="H89" s="35" t="n">
        <v>1.75537622534469</v>
      </c>
      <c r="I89" s="35" t="n">
        <v>1.8082682948163</v>
      </c>
      <c r="J89" s="35" t="n">
        <v>1.85290432926151</v>
      </c>
      <c r="K89" s="35" t="n">
        <v>1.89493268149559</v>
      </c>
      <c r="L89" s="35" t="n">
        <v>1.92531774132712</v>
      </c>
      <c r="M89" s="35" t="n">
        <v>1.946735244376</v>
      </c>
      <c r="N89" s="35" t="n">
        <v>1.96511230547561</v>
      </c>
      <c r="O89" s="35" t="n">
        <v>1.99032506155644</v>
      </c>
      <c r="P89" s="35" t="n">
        <v>2.01965867824229</v>
      </c>
      <c r="Q89" s="35" t="n">
        <v>2.02389250418577</v>
      </c>
      <c r="R89" s="35" t="n">
        <v>2.02871007181842</v>
      </c>
      <c r="S89" s="35" t="n">
        <v>2.03082800359935</v>
      </c>
      <c r="T89" s="35" t="n">
        <v>2.03471962203576</v>
      </c>
      <c r="U89" s="35" t="n">
        <v>2.03696170846794</v>
      </c>
      <c r="V89" s="35" t="n">
        <v>2.04222008826204</v>
      </c>
      <c r="W89" s="35" t="n">
        <v>2.04819052378609</v>
      </c>
      <c r="X89" s="35" t="n">
        <v>2.04988207002402</v>
      </c>
      <c r="Y89" s="35" t="n">
        <v>2.05785750311432</v>
      </c>
      <c r="Z89" s="35" t="n">
        <v>2.05940622676419</v>
      </c>
      <c r="AA89" s="35" t="n">
        <v>2.05978345023924</v>
      </c>
      <c r="AB89" s="35" t="n">
        <v>2.05948846534358</v>
      </c>
      <c r="AC89" s="35" t="n">
        <v>2.05807786635301</v>
      </c>
      <c r="AD89" s="35" t="n">
        <v>2.05517081991226</v>
      </c>
      <c r="AE89" s="35" t="n">
        <v>2.05482524842507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</row>
    <row r="90" customFormat="false" ht="15" hidden="false" customHeight="false" outlineLevel="0" collapsed="false">
      <c r="A90" s="1"/>
      <c r="B90" s="8" t="s">
        <v>255</v>
      </c>
      <c r="C90" s="1"/>
      <c r="D90" s="1"/>
      <c r="E90" s="1"/>
      <c r="F90" s="1"/>
      <c r="G90" s="35" t="n">
        <v>1.86828499804199</v>
      </c>
      <c r="H90" s="35" t="n">
        <v>1.92761588972995</v>
      </c>
      <c r="I90" s="35" t="n">
        <v>1.96775999323011</v>
      </c>
      <c r="J90" s="35" t="n">
        <v>2.02107537810332</v>
      </c>
      <c r="K90" s="35" t="n">
        <v>2.06595261779932</v>
      </c>
      <c r="L90" s="35" t="n">
        <v>2.06626187074763</v>
      </c>
      <c r="M90" s="35" t="n">
        <v>2.06756717162631</v>
      </c>
      <c r="N90" s="35" t="n">
        <v>2.06804603631559</v>
      </c>
      <c r="O90" s="35" t="n">
        <v>2.06790027354254</v>
      </c>
      <c r="P90" s="35" t="n">
        <v>2.06709536767698</v>
      </c>
      <c r="Q90" s="35" t="n">
        <v>2.05942567102723</v>
      </c>
      <c r="R90" s="35" t="n">
        <v>2.04687026793993</v>
      </c>
      <c r="S90" s="35" t="n">
        <v>2.04120022837118</v>
      </c>
      <c r="T90" s="35" t="n">
        <v>2.03455640693933</v>
      </c>
      <c r="U90" s="35" t="n">
        <v>2.02112594339936</v>
      </c>
      <c r="V90" s="35" t="n">
        <v>2.0099798906222</v>
      </c>
      <c r="W90" s="35" t="n">
        <v>2.00233098522773</v>
      </c>
      <c r="X90" s="35" t="n">
        <v>1.99255228844255</v>
      </c>
      <c r="Y90" s="35" t="n">
        <v>1.98374431722284</v>
      </c>
      <c r="Z90" s="35" t="n">
        <v>1.9744187237081</v>
      </c>
      <c r="AA90" s="35" t="n">
        <v>1.9744187237081</v>
      </c>
      <c r="AB90" s="35" t="n">
        <v>1.9744187237081</v>
      </c>
      <c r="AC90" s="35" t="n">
        <v>1.9744187237081</v>
      </c>
      <c r="AD90" s="35" t="n">
        <v>1.9744187237081</v>
      </c>
      <c r="AE90" s="35" t="n">
        <v>1.9744187237081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</row>
    <row r="91" customFormat="false" ht="15" hidden="false" customHeight="false" outlineLevel="0" collapsed="false">
      <c r="A91" s="1"/>
      <c r="B91" s="4" t="s">
        <v>256</v>
      </c>
      <c r="C91" s="1"/>
      <c r="D91" s="1"/>
      <c r="E91" s="1"/>
      <c r="F91" s="1"/>
      <c r="G91" s="36" t="n">
        <f aca="false">CHOOSE(Dashboard!$C$4,G88,G89,G90)</f>
        <v>1.71563909019488</v>
      </c>
      <c r="H91" s="36" t="n">
        <f aca="false">CHOOSE(Dashboard!$C$4,H88,H89,H90)</f>
        <v>1.75537622534469</v>
      </c>
      <c r="I91" s="36" t="n">
        <f aca="false">CHOOSE(Dashboard!$C$4,I88,I89,I90)</f>
        <v>1.8082682948163</v>
      </c>
      <c r="J91" s="36" t="n">
        <f aca="false">CHOOSE(Dashboard!$C$4,J88,J89,J90)</f>
        <v>1.85290432926151</v>
      </c>
      <c r="K91" s="36" t="n">
        <f aca="false">CHOOSE(Dashboard!$C$4,K88,K89,K90)</f>
        <v>1.89493268149559</v>
      </c>
      <c r="L91" s="36" t="n">
        <f aca="false">CHOOSE(Dashboard!$C$4,L88,L89,L90)</f>
        <v>1.92531774132712</v>
      </c>
      <c r="M91" s="36" t="n">
        <f aca="false">CHOOSE(Dashboard!$C$4,M88,M89,M90)</f>
        <v>1.946735244376</v>
      </c>
      <c r="N91" s="36" t="n">
        <f aca="false">CHOOSE(Dashboard!$C$4,N88,N89,N90)</f>
        <v>1.96511230547561</v>
      </c>
      <c r="O91" s="36" t="n">
        <f aca="false">CHOOSE(Dashboard!$C$4,O88,O89,O90)</f>
        <v>1.99032506155644</v>
      </c>
      <c r="P91" s="36" t="n">
        <f aca="false">CHOOSE(Dashboard!$C$4,P88,P89,P90)</f>
        <v>2.01965867824229</v>
      </c>
      <c r="Q91" s="36" t="n">
        <f aca="false">CHOOSE(Dashboard!$C$4,Q88,Q89,Q90)</f>
        <v>2.02389250418577</v>
      </c>
      <c r="R91" s="36" t="n">
        <f aca="false">CHOOSE(Dashboard!$C$4,R88,R89,R90)</f>
        <v>2.02871007181842</v>
      </c>
      <c r="S91" s="36" t="n">
        <f aca="false">CHOOSE(Dashboard!$C$4,S88,S89,S90)</f>
        <v>2.03082800359935</v>
      </c>
      <c r="T91" s="36" t="n">
        <f aca="false">CHOOSE(Dashboard!$C$4,T88,T89,T90)</f>
        <v>2.03471962203576</v>
      </c>
      <c r="U91" s="36" t="n">
        <f aca="false">CHOOSE(Dashboard!$C$4,U88,U89,U90)</f>
        <v>2.03696170846794</v>
      </c>
      <c r="V91" s="36" t="n">
        <f aca="false">CHOOSE(Dashboard!$C$4,V88,V89,V90)</f>
        <v>2.04222008826204</v>
      </c>
      <c r="W91" s="36" t="n">
        <f aca="false">CHOOSE(Dashboard!$C$4,W88,W89,W90)</f>
        <v>2.04819052378609</v>
      </c>
      <c r="X91" s="36" t="n">
        <f aca="false">CHOOSE(Dashboard!$C$4,X88,X89,X90)</f>
        <v>2.04988207002402</v>
      </c>
      <c r="Y91" s="36" t="n">
        <f aca="false">CHOOSE(Dashboard!$C$4,Y88,Y89,Y90)</f>
        <v>2.05785750311432</v>
      </c>
      <c r="Z91" s="36" t="n">
        <f aca="false">CHOOSE(Dashboard!$C$4,Z88,Z89,Z90)</f>
        <v>2.05940622676419</v>
      </c>
      <c r="AA91" s="36" t="n">
        <f aca="false">CHOOSE(Dashboard!$C$4,AA88,AA89,AA90)</f>
        <v>2.05978345023924</v>
      </c>
      <c r="AB91" s="36" t="n">
        <f aca="false">CHOOSE(Dashboard!$C$4,AB88,AB89,AB90)</f>
        <v>2.05948846534358</v>
      </c>
      <c r="AC91" s="36" t="n">
        <f aca="false">CHOOSE(Dashboard!$C$4,AC88,AC89,AC90)</f>
        <v>2.05807786635301</v>
      </c>
      <c r="AD91" s="36" t="n">
        <f aca="false">CHOOSE(Dashboard!$C$4,AD88,AD89,AD90)</f>
        <v>2.05517081991226</v>
      </c>
      <c r="AE91" s="36" t="n">
        <f aca="false">CHOOSE(Dashboard!$C$4,AE88,AE89,AE90)</f>
        <v>2.05482524842507</v>
      </c>
      <c r="AF91" s="36" t="n">
        <f aca="false">CHOOSE(Dashboard!$C$4,AF88,AF89,AF90)</f>
        <v>0</v>
      </c>
      <c r="AG91" s="36" t="n">
        <f aca="false">CHOOSE(Dashboard!$C$4,AG88,AG89,AG90)</f>
        <v>0</v>
      </c>
      <c r="AH91" s="36" t="n">
        <f aca="false">CHOOSE(Dashboard!$C$4,AH88,AH89,AH90)</f>
        <v>0</v>
      </c>
      <c r="AI91" s="36" t="n">
        <f aca="false">CHOOSE(Dashboard!$C$4,AI88,AI89,AI90)</f>
        <v>0</v>
      </c>
      <c r="AJ91" s="36" t="n">
        <f aca="false">CHOOSE(Dashboard!$C$4,AJ88,AJ89,AJ90)</f>
        <v>0</v>
      </c>
      <c r="AK91" s="36" t="n">
        <f aca="false">CHOOSE(Dashboard!$C$4,AK88,AK89,AK90)</f>
        <v>0</v>
      </c>
      <c r="AL91" s="36" t="n">
        <f aca="false">CHOOSE(Dashboard!$C$4,AL88,AL89,AL90)</f>
        <v>0</v>
      </c>
      <c r="AM91" s="36" t="n">
        <f aca="false">CHOOSE(Dashboard!$C$4,AM88,AM89,AM90)</f>
        <v>0</v>
      </c>
      <c r="AN91" s="36" t="n">
        <f aca="false">CHOOSE(Dashboard!$C$4,AN88,AN89,AN90)</f>
        <v>0</v>
      </c>
      <c r="AO91" s="36" t="n">
        <f aca="false">CHOOSE(Dashboard!$C$4,AO88,AO89,AO90)</f>
        <v>0</v>
      </c>
      <c r="AP91" s="36" t="n">
        <f aca="false">CHOOSE(Dashboard!$C$4,AP88,AP89,AP90)</f>
        <v>0</v>
      </c>
      <c r="AQ91" s="36" t="n">
        <f aca="false">CHOOSE(Dashboard!$C$4,AQ88,AQ89,AQ90)</f>
        <v>0</v>
      </c>
      <c r="AR91" s="36" t="n">
        <f aca="false">CHOOSE(Dashboard!$C$4,AR88,AR89,AR90)</f>
        <v>0</v>
      </c>
      <c r="AS91" s="36" t="n">
        <f aca="false">CHOOSE(Dashboard!$C$4,AS88,AS89,AS90)</f>
        <v>0</v>
      </c>
      <c r="AT91" s="36" t="n">
        <f aca="false">CHOOSE(Dashboard!$C$4,AT88,AT89,AT90)</f>
        <v>0</v>
      </c>
      <c r="AU91" s="36" t="n">
        <f aca="false">CHOOSE(Dashboard!$C$4,AU88,AU89,AU90)</f>
        <v>0</v>
      </c>
      <c r="AV91" s="36" t="n">
        <f aca="false">CHOOSE(Dashboard!$C$4,AV88,AV89,AV90)</f>
        <v>0</v>
      </c>
      <c r="AW91" s="36" t="n">
        <f aca="false">CHOOSE(Dashboard!$C$4,AW88,AW89,AW90)</f>
        <v>0</v>
      </c>
      <c r="AX91" s="36" t="n">
        <f aca="false">CHOOSE(Dashboard!$C$4,AX88,AX89,AX90)</f>
        <v>0</v>
      </c>
      <c r="AY91" s="36" t="n">
        <f aca="false">CHOOSE(Dashboard!$C$4,AY88,AY89,AY90)</f>
        <v>0</v>
      </c>
      <c r="AZ91" s="36" t="n">
        <f aca="false">CHOOSE(Dashboard!$C$4,AZ88,AZ89,AZ90)</f>
        <v>0</v>
      </c>
      <c r="BA91" s="36" t="n">
        <f aca="false">CHOOSE(Dashboard!$C$4,BA88,BA89,BA90)</f>
        <v>0</v>
      </c>
      <c r="BB91" s="36" t="n">
        <f aca="false">CHOOSE(Dashboard!$C$4,BB88,BB89,BB90)</f>
        <v>0</v>
      </c>
      <c r="BC91" s="36" t="n">
        <f aca="false">CHOOSE(Dashboard!$C$4,BC88,BC89,BC90)</f>
        <v>0</v>
      </c>
      <c r="BD91" s="36" t="n">
        <f aca="false">CHOOSE(Dashboard!$C$4,BD88,BD89,BD90)</f>
        <v>0</v>
      </c>
      <c r="BE91" s="36" t="n">
        <f aca="false">CHOOSE(Dashboard!$C$4,BE88,BE89,BE90)</f>
        <v>0</v>
      </c>
      <c r="BF91" s="36" t="n">
        <f aca="false">CHOOSE(Dashboard!$C$4,BF88,BF89,BF90)</f>
        <v>0</v>
      </c>
      <c r="BG91" s="36" t="n">
        <f aca="false">CHOOSE(Dashboard!$C$4,BG88,BG89,BG90)</f>
        <v>0</v>
      </c>
      <c r="BH91" s="36" t="n">
        <f aca="false">CHOOSE(Dashboard!$C$4,BH88,BH89,BH90)</f>
        <v>0</v>
      </c>
      <c r="BI91" s="36" t="n">
        <f aca="false">CHOOSE(Dashboard!$C$4,BI88,BI89,BI90)</f>
        <v>0</v>
      </c>
      <c r="BJ91" s="36" t="n">
        <f aca="false">CHOOSE(Dashboard!$C$4,BJ88,BJ89,BJ90)</f>
        <v>0</v>
      </c>
      <c r="BK91" s="36" t="n">
        <f aca="false">CHOOSE(Dashboard!$C$4,BK88,BK89,BK90)</f>
        <v>0</v>
      </c>
      <c r="BL91" s="36" t="n">
        <f aca="false">CHOOSE(Dashboard!$C$4,BL88,BL89,BL90)</f>
        <v>0</v>
      </c>
      <c r="BM91" s="36" t="n">
        <f aca="false">CHOOSE(Dashboard!$C$4,BM88,BM89,BM90)</f>
        <v>0</v>
      </c>
      <c r="BN91" s="36" t="n">
        <f aca="false">CHOOSE(Dashboard!$C$4,BN88,BN89,BN90)</f>
        <v>0</v>
      </c>
    </row>
    <row r="92" customFormat="false" ht="15" hidden="false" customHeight="false" outlineLevel="0" collapsed="false">
      <c r="A92" s="1"/>
      <c r="B92" s="8" t="s">
        <v>265</v>
      </c>
      <c r="C92" s="1"/>
      <c r="D92" s="1"/>
      <c r="E92" s="1"/>
      <c r="F92" s="1"/>
      <c r="G92" s="35" t="n">
        <v>2.21871292250711</v>
      </c>
      <c r="H92" s="35" t="n">
        <v>2.21847651474856</v>
      </c>
      <c r="I92" s="35" t="n">
        <v>2.21957211612134</v>
      </c>
      <c r="J92" s="35" t="n">
        <v>2.21911101565539</v>
      </c>
      <c r="K92" s="35" t="n">
        <v>2.21485156737016</v>
      </c>
      <c r="L92" s="35" t="n">
        <v>2.21580340210523</v>
      </c>
      <c r="M92" s="35" t="n">
        <v>2.21568702687539</v>
      </c>
      <c r="N92" s="35" t="n">
        <v>2.21470616917498</v>
      </c>
      <c r="O92" s="35" t="n">
        <v>2.21206632322823</v>
      </c>
      <c r="P92" s="35" t="n">
        <v>2.21345694132754</v>
      </c>
      <c r="Q92" s="35" t="n">
        <v>2.21274065266216</v>
      </c>
      <c r="R92" s="35" t="n">
        <v>2.21147841876195</v>
      </c>
      <c r="S92" s="35" t="n">
        <v>2.21163695395263</v>
      </c>
      <c r="T92" s="35" t="n">
        <v>2.21064278753501</v>
      </c>
      <c r="U92" s="35" t="n">
        <v>2.20977303425081</v>
      </c>
      <c r="V92" s="35" t="n">
        <v>2.20722125324869</v>
      </c>
      <c r="W92" s="35" t="n">
        <v>2.2073565420473</v>
      </c>
      <c r="X92" s="35" t="n">
        <v>2.2074389451171</v>
      </c>
      <c r="Y92" s="35" t="n">
        <v>2.2084955996648</v>
      </c>
      <c r="Z92" s="35" t="n">
        <v>2.2088823297238</v>
      </c>
      <c r="AA92" s="35" t="n">
        <v>2.2090803859188</v>
      </c>
      <c r="AB92" s="35" t="n">
        <v>2.2090803859188</v>
      </c>
      <c r="AC92" s="35" t="n">
        <v>2.20877522998782</v>
      </c>
      <c r="AD92" s="35" t="n">
        <v>2.20877522998782</v>
      </c>
      <c r="AE92" s="35" t="n">
        <v>2.20897345803734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</row>
    <row r="93" customFormat="false" ht="15" hidden="false" customHeight="false" outlineLevel="0" collapsed="false">
      <c r="A93" s="1"/>
      <c r="B93" s="8" t="s">
        <v>266</v>
      </c>
      <c r="C93" s="1"/>
      <c r="D93" s="1"/>
      <c r="E93" s="1"/>
      <c r="F93" s="1"/>
      <c r="G93" s="35" t="n">
        <v>2.08119125640868</v>
      </c>
      <c r="H93" s="35" t="n">
        <v>2.082370528665</v>
      </c>
      <c r="I93" s="35" t="n">
        <v>2.0827040175262</v>
      </c>
      <c r="J93" s="35" t="n">
        <v>2.08098952015175</v>
      </c>
      <c r="K93" s="35" t="n">
        <v>2.08234863431424</v>
      </c>
      <c r="L93" s="35" t="n">
        <v>2.08173346063912</v>
      </c>
      <c r="M93" s="35" t="n">
        <v>2.08101609370473</v>
      </c>
      <c r="N93" s="35" t="n">
        <v>2.08030803575147</v>
      </c>
      <c r="O93" s="35" t="n">
        <v>2.08012936607982</v>
      </c>
      <c r="P93" s="35" t="n">
        <v>2.08081708567692</v>
      </c>
      <c r="Q93" s="35" t="n">
        <v>2.08104089913292</v>
      </c>
      <c r="R93" s="35" t="n">
        <v>2.08078284918667</v>
      </c>
      <c r="S93" s="35" t="n">
        <v>2.08040486653249</v>
      </c>
      <c r="T93" s="35" t="n">
        <v>2.07942611139105</v>
      </c>
      <c r="U93" s="35" t="n">
        <v>2.07906535064794</v>
      </c>
      <c r="V93" s="35" t="n">
        <v>2.07802620467054</v>
      </c>
      <c r="W93" s="35" t="n">
        <v>2.07715019948964</v>
      </c>
      <c r="X93" s="35" t="n">
        <v>2.07699859085743</v>
      </c>
      <c r="Y93" s="35" t="n">
        <v>2.0764635242364</v>
      </c>
      <c r="Z93" s="35" t="n">
        <v>2.07611083072508</v>
      </c>
      <c r="AA93" s="35" t="n">
        <v>2.07611083072508</v>
      </c>
      <c r="AB93" s="35" t="n">
        <v>2.07617535120211</v>
      </c>
      <c r="AC93" s="35" t="n">
        <v>2.0767027143393</v>
      </c>
      <c r="AD93" s="35" t="n">
        <v>2.0768239195841</v>
      </c>
      <c r="AE93" s="35" t="n">
        <v>2.07666527455206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</row>
    <row r="94" customFormat="false" ht="15" hidden="false" customHeight="false" outlineLevel="0" collapsed="false">
      <c r="A94" s="1"/>
      <c r="B94" s="8" t="s">
        <v>267</v>
      </c>
      <c r="C94" s="1"/>
      <c r="D94" s="1"/>
      <c r="E94" s="1"/>
      <c r="F94" s="1"/>
      <c r="G94" s="35" t="n">
        <v>1.99654355086757</v>
      </c>
      <c r="H94" s="35" t="n">
        <v>1.99749038150244</v>
      </c>
      <c r="I94" s="35" t="n">
        <v>1.99657237060083</v>
      </c>
      <c r="J94" s="35" t="n">
        <v>1.99726918165768</v>
      </c>
      <c r="K94" s="35" t="n">
        <v>1.99432925805132</v>
      </c>
      <c r="L94" s="35" t="n">
        <v>1.99408252035184</v>
      </c>
      <c r="M94" s="35" t="n">
        <v>1.99435012707488</v>
      </c>
      <c r="N94" s="35" t="n">
        <v>1.99404814464711</v>
      </c>
      <c r="O94" s="35" t="n">
        <v>1.99421959685155</v>
      </c>
      <c r="P94" s="35" t="n">
        <v>1.99450641375132</v>
      </c>
      <c r="Q94" s="35" t="n">
        <v>1.9944464714924</v>
      </c>
      <c r="R94" s="35" t="n">
        <v>1.99562848232444</v>
      </c>
      <c r="S94" s="35" t="n">
        <v>1.99670775474605</v>
      </c>
      <c r="T94" s="35" t="n">
        <v>1.99794114215288</v>
      </c>
      <c r="U94" s="35" t="n">
        <v>1.99834577747764</v>
      </c>
      <c r="V94" s="35" t="n">
        <v>1.99834042512949</v>
      </c>
      <c r="W94" s="35" t="n">
        <v>1.99793823749381</v>
      </c>
      <c r="X94" s="35" t="n">
        <v>1.99809190812033</v>
      </c>
      <c r="Y94" s="35" t="n">
        <v>1.99882645386376</v>
      </c>
      <c r="Z94" s="35" t="n">
        <v>1.9988769803869</v>
      </c>
      <c r="AA94" s="35" t="n">
        <v>1.9988769803869</v>
      </c>
      <c r="AB94" s="35" t="n">
        <v>1.9988769803869</v>
      </c>
      <c r="AC94" s="35" t="n">
        <v>1.9988769803869</v>
      </c>
      <c r="AD94" s="35" t="n">
        <v>1.9988769803869</v>
      </c>
      <c r="AE94" s="35" t="n">
        <v>1.9988769803869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</row>
    <row r="95" customFormat="false" ht="15" hidden="false" customHeight="false" outlineLevel="0" collapsed="false">
      <c r="A95" s="1"/>
      <c r="B95" s="4" t="s">
        <v>268</v>
      </c>
      <c r="C95" s="1"/>
      <c r="D95" s="1"/>
      <c r="E95" s="1"/>
      <c r="F95" s="1"/>
      <c r="G95" s="36" t="n">
        <f aca="false">CHOOSE(Dashboard!$C$4,G92,G93,G94)</f>
        <v>2.08119125640868</v>
      </c>
      <c r="H95" s="36" t="n">
        <f aca="false">CHOOSE(Dashboard!$C$4,H92,H93,H94)</f>
        <v>2.082370528665</v>
      </c>
      <c r="I95" s="36" t="n">
        <f aca="false">CHOOSE(Dashboard!$C$4,I92,I93,I94)</f>
        <v>2.0827040175262</v>
      </c>
      <c r="J95" s="36" t="n">
        <f aca="false">CHOOSE(Dashboard!$C$4,J92,J93,J94)</f>
        <v>2.08098952015175</v>
      </c>
      <c r="K95" s="36" t="n">
        <f aca="false">CHOOSE(Dashboard!$C$4,K92,K93,K94)</f>
        <v>2.08234863431424</v>
      </c>
      <c r="L95" s="36" t="n">
        <f aca="false">CHOOSE(Dashboard!$C$4,L92,L93,L94)</f>
        <v>2.08173346063912</v>
      </c>
      <c r="M95" s="36" t="n">
        <f aca="false">CHOOSE(Dashboard!$C$4,M92,M93,M94)</f>
        <v>2.08101609370473</v>
      </c>
      <c r="N95" s="36" t="n">
        <f aca="false">CHOOSE(Dashboard!$C$4,N92,N93,N94)</f>
        <v>2.08030803575147</v>
      </c>
      <c r="O95" s="36" t="n">
        <f aca="false">CHOOSE(Dashboard!$C$4,O92,O93,O94)</f>
        <v>2.08012936607982</v>
      </c>
      <c r="P95" s="36" t="n">
        <f aca="false">CHOOSE(Dashboard!$C$4,P92,P93,P94)</f>
        <v>2.08081708567692</v>
      </c>
      <c r="Q95" s="36" t="n">
        <f aca="false">CHOOSE(Dashboard!$C$4,Q92,Q93,Q94)</f>
        <v>2.08104089913292</v>
      </c>
      <c r="R95" s="36" t="n">
        <f aca="false">CHOOSE(Dashboard!$C$4,R92,R93,R94)</f>
        <v>2.08078284918667</v>
      </c>
      <c r="S95" s="36" t="n">
        <f aca="false">CHOOSE(Dashboard!$C$4,S92,S93,S94)</f>
        <v>2.08040486653249</v>
      </c>
      <c r="T95" s="36" t="n">
        <f aca="false">CHOOSE(Dashboard!$C$4,T92,T93,T94)</f>
        <v>2.07942611139105</v>
      </c>
      <c r="U95" s="36" t="n">
        <f aca="false">CHOOSE(Dashboard!$C$4,U92,U93,U94)</f>
        <v>2.07906535064794</v>
      </c>
      <c r="V95" s="36" t="n">
        <f aca="false">CHOOSE(Dashboard!$C$4,V92,V93,V94)</f>
        <v>2.07802620467054</v>
      </c>
      <c r="W95" s="36" t="n">
        <f aca="false">CHOOSE(Dashboard!$C$4,W92,W93,W94)</f>
        <v>2.07715019948964</v>
      </c>
      <c r="X95" s="36" t="n">
        <f aca="false">CHOOSE(Dashboard!$C$4,X92,X93,X94)</f>
        <v>2.07699859085743</v>
      </c>
      <c r="Y95" s="36" t="n">
        <f aca="false">CHOOSE(Dashboard!$C$4,Y92,Y93,Y94)</f>
        <v>2.0764635242364</v>
      </c>
      <c r="Z95" s="36" t="n">
        <f aca="false">CHOOSE(Dashboard!$C$4,Z92,Z93,Z94)</f>
        <v>2.07611083072508</v>
      </c>
      <c r="AA95" s="36" t="n">
        <f aca="false">CHOOSE(Dashboard!$C$4,AA92,AA93,AA94)</f>
        <v>2.07611083072508</v>
      </c>
      <c r="AB95" s="36" t="n">
        <f aca="false">CHOOSE(Dashboard!$C$4,AB92,AB93,AB94)</f>
        <v>2.07617535120211</v>
      </c>
      <c r="AC95" s="36" t="n">
        <f aca="false">CHOOSE(Dashboard!$C$4,AC92,AC93,AC94)</f>
        <v>2.0767027143393</v>
      </c>
      <c r="AD95" s="36" t="n">
        <f aca="false">CHOOSE(Dashboard!$C$4,AD92,AD93,AD94)</f>
        <v>2.0768239195841</v>
      </c>
      <c r="AE95" s="36" t="n">
        <f aca="false">CHOOSE(Dashboard!$C$4,AE92,AE93,AE94)</f>
        <v>2.07666527455206</v>
      </c>
      <c r="AF95" s="36" t="n">
        <f aca="false">CHOOSE(Dashboard!$C$4,AF92,AF93,AF94)</f>
        <v>0</v>
      </c>
      <c r="AG95" s="36" t="n">
        <f aca="false">CHOOSE(Dashboard!$C$4,AG92,AG93,AG94)</f>
        <v>0</v>
      </c>
      <c r="AH95" s="36" t="n">
        <f aca="false">CHOOSE(Dashboard!$C$4,AH92,AH93,AH94)</f>
        <v>0</v>
      </c>
      <c r="AI95" s="36" t="n">
        <f aca="false">CHOOSE(Dashboard!$C$4,AI92,AI93,AI94)</f>
        <v>0</v>
      </c>
      <c r="AJ95" s="36" t="n">
        <f aca="false">CHOOSE(Dashboard!$C$4,AJ92,AJ93,AJ94)</f>
        <v>0</v>
      </c>
      <c r="AK95" s="36" t="n">
        <f aca="false">CHOOSE(Dashboard!$C$4,AK92,AK93,AK94)</f>
        <v>0</v>
      </c>
      <c r="AL95" s="36" t="n">
        <f aca="false">CHOOSE(Dashboard!$C$4,AL92,AL93,AL94)</f>
        <v>0</v>
      </c>
      <c r="AM95" s="36" t="n">
        <f aca="false">CHOOSE(Dashboard!$C$4,AM92,AM93,AM94)</f>
        <v>0</v>
      </c>
      <c r="AN95" s="36" t="n">
        <f aca="false">CHOOSE(Dashboard!$C$4,AN92,AN93,AN94)</f>
        <v>0</v>
      </c>
      <c r="AO95" s="36" t="n">
        <f aca="false">CHOOSE(Dashboard!$C$4,AO92,AO93,AO94)</f>
        <v>0</v>
      </c>
      <c r="AP95" s="36" t="n">
        <f aca="false">CHOOSE(Dashboard!$C$4,AP92,AP93,AP94)</f>
        <v>0</v>
      </c>
      <c r="AQ95" s="36" t="n">
        <f aca="false">CHOOSE(Dashboard!$C$4,AQ92,AQ93,AQ94)</f>
        <v>0</v>
      </c>
      <c r="AR95" s="36" t="n">
        <f aca="false">CHOOSE(Dashboard!$C$4,AR92,AR93,AR94)</f>
        <v>0</v>
      </c>
      <c r="AS95" s="36" t="n">
        <f aca="false">CHOOSE(Dashboard!$C$4,AS92,AS93,AS94)</f>
        <v>0</v>
      </c>
      <c r="AT95" s="36" t="n">
        <f aca="false">CHOOSE(Dashboard!$C$4,AT92,AT93,AT94)</f>
        <v>0</v>
      </c>
      <c r="AU95" s="36" t="n">
        <f aca="false">CHOOSE(Dashboard!$C$4,AU92,AU93,AU94)</f>
        <v>0</v>
      </c>
      <c r="AV95" s="36" t="n">
        <f aca="false">CHOOSE(Dashboard!$C$4,AV92,AV93,AV94)</f>
        <v>0</v>
      </c>
      <c r="AW95" s="36" t="n">
        <f aca="false">CHOOSE(Dashboard!$C$4,AW92,AW93,AW94)</f>
        <v>0</v>
      </c>
      <c r="AX95" s="36" t="n">
        <f aca="false">CHOOSE(Dashboard!$C$4,AX92,AX93,AX94)</f>
        <v>0</v>
      </c>
      <c r="AY95" s="36" t="n">
        <f aca="false">CHOOSE(Dashboard!$C$4,AY92,AY93,AY94)</f>
        <v>0</v>
      </c>
      <c r="AZ95" s="36" t="n">
        <f aca="false">CHOOSE(Dashboard!$C$4,AZ92,AZ93,AZ94)</f>
        <v>0</v>
      </c>
      <c r="BA95" s="36" t="n">
        <f aca="false">CHOOSE(Dashboard!$C$4,BA92,BA93,BA94)</f>
        <v>0</v>
      </c>
      <c r="BB95" s="36" t="n">
        <f aca="false">CHOOSE(Dashboard!$C$4,BB92,BB93,BB94)</f>
        <v>0</v>
      </c>
      <c r="BC95" s="36" t="n">
        <f aca="false">CHOOSE(Dashboard!$C$4,BC92,BC93,BC94)</f>
        <v>0</v>
      </c>
      <c r="BD95" s="36" t="n">
        <f aca="false">CHOOSE(Dashboard!$C$4,BD92,BD93,BD94)</f>
        <v>0</v>
      </c>
      <c r="BE95" s="36" t="n">
        <f aca="false">CHOOSE(Dashboard!$C$4,BE92,BE93,BE94)</f>
        <v>0</v>
      </c>
      <c r="BF95" s="36" t="n">
        <f aca="false">CHOOSE(Dashboard!$C$4,BF92,BF93,BF94)</f>
        <v>0</v>
      </c>
      <c r="BG95" s="36" t="n">
        <f aca="false">CHOOSE(Dashboard!$C$4,BG92,BG93,BG94)</f>
        <v>0</v>
      </c>
      <c r="BH95" s="36" t="n">
        <f aca="false">CHOOSE(Dashboard!$C$4,BH92,BH93,BH94)</f>
        <v>0</v>
      </c>
      <c r="BI95" s="36" t="n">
        <f aca="false">CHOOSE(Dashboard!$C$4,BI92,BI93,BI94)</f>
        <v>0</v>
      </c>
      <c r="BJ95" s="36" t="n">
        <f aca="false">CHOOSE(Dashboard!$C$4,BJ92,BJ93,BJ94)</f>
        <v>0</v>
      </c>
      <c r="BK95" s="36" t="n">
        <f aca="false">CHOOSE(Dashboard!$C$4,BK92,BK93,BK94)</f>
        <v>0</v>
      </c>
      <c r="BL95" s="36" t="n">
        <f aca="false">CHOOSE(Dashboard!$C$4,BL92,BL93,BL94)</f>
        <v>0</v>
      </c>
      <c r="BM95" s="36" t="n">
        <f aca="false">CHOOSE(Dashboard!$C$4,BM92,BM93,BM94)</f>
        <v>0</v>
      </c>
      <c r="BN95" s="36" t="n">
        <f aca="false">CHOOSE(Dashboard!$C$4,BN92,BN93,BN94)</f>
        <v>0</v>
      </c>
    </row>
    <row r="96" customFormat="false" ht="15" hidden="false" customHeight="false" outlineLevel="0" collapsed="false">
      <c r="A96" s="1"/>
      <c r="B96" s="8" t="s">
        <v>269</v>
      </c>
      <c r="C96" s="1"/>
      <c r="D96" s="1"/>
      <c r="E96" s="1"/>
      <c r="F96" s="1"/>
      <c r="G96" s="35" t="n">
        <v>6.48703903116559</v>
      </c>
      <c r="H96" s="35" t="n">
        <v>6.80988715846215</v>
      </c>
      <c r="I96" s="35" t="n">
        <v>7.07635229900306</v>
      </c>
      <c r="J96" s="35" t="n">
        <v>7.26497720916686</v>
      </c>
      <c r="K96" s="35" t="n">
        <v>7.39314443160192</v>
      </c>
      <c r="L96" s="35" t="n">
        <v>7.51628872564675</v>
      </c>
      <c r="M96" s="35" t="n">
        <v>7.58593875030263</v>
      </c>
      <c r="N96" s="35" t="n">
        <v>7.56544674410388</v>
      </c>
      <c r="O96" s="35" t="n">
        <v>7.62268612583325</v>
      </c>
      <c r="P96" s="35" t="n">
        <v>7.68953622303533</v>
      </c>
      <c r="Q96" s="35" t="n">
        <v>7.7193383797431</v>
      </c>
      <c r="R96" s="35" t="n">
        <v>7.82729369905093</v>
      </c>
      <c r="S96" s="35" t="n">
        <v>7.86177502115873</v>
      </c>
      <c r="T96" s="35" t="n">
        <v>7.87265505768156</v>
      </c>
      <c r="U96" s="35" t="n">
        <v>7.89641331565769</v>
      </c>
      <c r="V96" s="35" t="n">
        <v>7.95601426263302</v>
      </c>
      <c r="W96" s="35" t="n">
        <v>8.01281796073826</v>
      </c>
      <c r="X96" s="35" t="n">
        <v>8.08311296378539</v>
      </c>
      <c r="Y96" s="35" t="n">
        <v>8.09914891587283</v>
      </c>
      <c r="Z96" s="35" t="n">
        <v>8.08514186566572</v>
      </c>
      <c r="AA96" s="35" t="n">
        <v>8.07216827473878</v>
      </c>
      <c r="AB96" s="35" t="n">
        <v>8.07216827473878</v>
      </c>
      <c r="AC96" s="35" t="n">
        <v>8.08514186566572</v>
      </c>
      <c r="AD96" s="35" t="n">
        <v>8.08514186566572</v>
      </c>
      <c r="AE96" s="35" t="n">
        <v>8.11664044059796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</row>
    <row r="97" customFormat="false" ht="15" hidden="false" customHeight="false" outlineLevel="0" collapsed="false">
      <c r="A97" s="1"/>
      <c r="B97" s="8" t="s">
        <v>270</v>
      </c>
      <c r="C97" s="1"/>
      <c r="D97" s="1"/>
      <c r="E97" s="1"/>
      <c r="F97" s="1"/>
      <c r="G97" s="35" t="n">
        <v>6.12109217878039</v>
      </c>
      <c r="H97" s="35" t="n">
        <v>6.52736500414114</v>
      </c>
      <c r="I97" s="35" t="n">
        <v>6.89080459770113</v>
      </c>
      <c r="J97" s="35" t="n">
        <v>7.12325157764619</v>
      </c>
      <c r="K97" s="35" t="n">
        <v>7.41628782100172</v>
      </c>
      <c r="L97" s="35" t="n">
        <v>7.6746226660594</v>
      </c>
      <c r="M97" s="35" t="n">
        <v>7.66742492143265</v>
      </c>
      <c r="N97" s="35" t="n">
        <v>7.77498144286164</v>
      </c>
      <c r="O97" s="35" t="n">
        <v>7.82170463286926</v>
      </c>
      <c r="P97" s="35" t="n">
        <v>7.90406112733103</v>
      </c>
      <c r="Q97" s="35" t="n">
        <v>7.92840342926799</v>
      </c>
      <c r="R97" s="35" t="n">
        <v>7.96359643551908</v>
      </c>
      <c r="S97" s="35" t="n">
        <v>7.9576122187401</v>
      </c>
      <c r="T97" s="35" t="n">
        <v>7.98159281024089</v>
      </c>
      <c r="U97" s="35" t="n">
        <v>8.01247734323551</v>
      </c>
      <c r="V97" s="35" t="n">
        <v>8.05913421635669</v>
      </c>
      <c r="W97" s="35" t="n">
        <v>8.07958244549785</v>
      </c>
      <c r="X97" s="35" t="n">
        <v>8.10094852362954</v>
      </c>
      <c r="Y97" s="35" t="n">
        <v>8.04106295565593</v>
      </c>
      <c r="Z97" s="35" t="n">
        <v>8.02422059459571</v>
      </c>
      <c r="AA97" s="35" t="n">
        <v>8.02422059459571</v>
      </c>
      <c r="AB97" s="35" t="n">
        <v>8.01342519489896</v>
      </c>
      <c r="AC97" s="35" t="n">
        <v>8.0201802576923</v>
      </c>
      <c r="AD97" s="35" t="n">
        <v>8.00428380281193</v>
      </c>
      <c r="AE97" s="35" t="n">
        <v>7.99364405297435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</row>
    <row r="98" customFormat="false" ht="15" hidden="false" customHeight="false" outlineLevel="0" collapsed="false">
      <c r="A98" s="1"/>
      <c r="B98" s="8" t="s">
        <v>271</v>
      </c>
      <c r="C98" s="1"/>
      <c r="D98" s="1"/>
      <c r="E98" s="1"/>
      <c r="F98" s="1"/>
      <c r="G98" s="35" t="n">
        <v>7.74216340243887</v>
      </c>
      <c r="H98" s="35" t="n">
        <v>8.28348432673528</v>
      </c>
      <c r="I98" s="35" t="n">
        <v>8.27828486977171</v>
      </c>
      <c r="J98" s="35" t="n">
        <v>8.46873529000988</v>
      </c>
      <c r="K98" s="35" t="n">
        <v>8.80765038369969</v>
      </c>
      <c r="L98" s="35" t="n">
        <v>8.76601458454683</v>
      </c>
      <c r="M98" s="35" t="n">
        <v>8.77805250625041</v>
      </c>
      <c r="N98" s="35" t="n">
        <v>8.82036485954635</v>
      </c>
      <c r="O98" s="35" t="n">
        <v>8.80826891212514</v>
      </c>
      <c r="P98" s="35" t="n">
        <v>8.78417627286878</v>
      </c>
      <c r="Q98" s="35" t="n">
        <v>8.76319870606905</v>
      </c>
      <c r="R98" s="35" t="n">
        <v>8.6118704593862</v>
      </c>
      <c r="S98" s="35" t="n">
        <v>8.50050526529094</v>
      </c>
      <c r="T98" s="35" t="n">
        <v>8.44827835182825</v>
      </c>
      <c r="U98" s="35" t="n">
        <v>8.39111550141509</v>
      </c>
      <c r="V98" s="35" t="n">
        <v>8.36763847453049</v>
      </c>
      <c r="W98" s="35" t="n">
        <v>8.29709360100253</v>
      </c>
      <c r="X98" s="35" t="n">
        <v>8.32097488691871</v>
      </c>
      <c r="Y98" s="35" t="n">
        <v>8.28569259307898</v>
      </c>
      <c r="Z98" s="35" t="n">
        <v>8.25190397617328</v>
      </c>
      <c r="AA98" s="35" t="n">
        <v>8.25190397617328</v>
      </c>
      <c r="AB98" s="35" t="n">
        <v>8.25190397617328</v>
      </c>
      <c r="AC98" s="35" t="n">
        <v>8.25190397617328</v>
      </c>
      <c r="AD98" s="35" t="n">
        <v>8.25190397617328</v>
      </c>
      <c r="AE98" s="35" t="n">
        <v>8.25190397617328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</row>
    <row r="99" customFormat="false" ht="15" hidden="false" customHeight="false" outlineLevel="0" collapsed="false">
      <c r="A99" s="1"/>
      <c r="B99" s="4" t="s">
        <v>272</v>
      </c>
      <c r="C99" s="1"/>
      <c r="D99" s="1"/>
      <c r="E99" s="1"/>
      <c r="F99" s="1"/>
      <c r="G99" s="36" t="n">
        <f aca="false">CHOOSE(Dashboard!$C$4,G96,G97,G98)</f>
        <v>6.12109217878039</v>
      </c>
      <c r="H99" s="36" t="n">
        <f aca="false">CHOOSE(Dashboard!$C$4,H96,H97,H98)</f>
        <v>6.52736500414114</v>
      </c>
      <c r="I99" s="36" t="n">
        <f aca="false">CHOOSE(Dashboard!$C$4,I96,I97,I98)</f>
        <v>6.89080459770113</v>
      </c>
      <c r="J99" s="36" t="n">
        <f aca="false">CHOOSE(Dashboard!$C$4,J96,J97,J98)</f>
        <v>7.12325157764619</v>
      </c>
      <c r="K99" s="36" t="n">
        <f aca="false">CHOOSE(Dashboard!$C$4,K96,K97,K98)</f>
        <v>7.41628782100172</v>
      </c>
      <c r="L99" s="36" t="n">
        <f aca="false">CHOOSE(Dashboard!$C$4,L96,L97,L98)</f>
        <v>7.6746226660594</v>
      </c>
      <c r="M99" s="36" t="n">
        <f aca="false">CHOOSE(Dashboard!$C$4,M96,M97,M98)</f>
        <v>7.66742492143265</v>
      </c>
      <c r="N99" s="36" t="n">
        <f aca="false">CHOOSE(Dashboard!$C$4,N96,N97,N98)</f>
        <v>7.77498144286164</v>
      </c>
      <c r="O99" s="36" t="n">
        <f aca="false">CHOOSE(Dashboard!$C$4,O96,O97,O98)</f>
        <v>7.82170463286926</v>
      </c>
      <c r="P99" s="36" t="n">
        <f aca="false">CHOOSE(Dashboard!$C$4,P96,P97,P98)</f>
        <v>7.90406112733103</v>
      </c>
      <c r="Q99" s="36" t="n">
        <f aca="false">CHOOSE(Dashboard!$C$4,Q96,Q97,Q98)</f>
        <v>7.92840342926799</v>
      </c>
      <c r="R99" s="36" t="n">
        <f aca="false">CHOOSE(Dashboard!$C$4,R96,R97,R98)</f>
        <v>7.96359643551908</v>
      </c>
      <c r="S99" s="36" t="n">
        <f aca="false">CHOOSE(Dashboard!$C$4,S96,S97,S98)</f>
        <v>7.9576122187401</v>
      </c>
      <c r="T99" s="36" t="n">
        <f aca="false">CHOOSE(Dashboard!$C$4,T96,T97,T98)</f>
        <v>7.98159281024089</v>
      </c>
      <c r="U99" s="36" t="n">
        <f aca="false">CHOOSE(Dashboard!$C$4,U96,U97,U98)</f>
        <v>8.01247734323551</v>
      </c>
      <c r="V99" s="36" t="n">
        <f aca="false">CHOOSE(Dashboard!$C$4,V96,V97,V98)</f>
        <v>8.05913421635669</v>
      </c>
      <c r="W99" s="36" t="n">
        <f aca="false">CHOOSE(Dashboard!$C$4,W96,W97,W98)</f>
        <v>8.07958244549785</v>
      </c>
      <c r="X99" s="36" t="n">
        <f aca="false">CHOOSE(Dashboard!$C$4,X96,X97,X98)</f>
        <v>8.10094852362954</v>
      </c>
      <c r="Y99" s="36" t="n">
        <f aca="false">CHOOSE(Dashboard!$C$4,Y96,Y97,Y98)</f>
        <v>8.04106295565593</v>
      </c>
      <c r="Z99" s="36" t="n">
        <f aca="false">CHOOSE(Dashboard!$C$4,Z96,Z97,Z98)</f>
        <v>8.02422059459571</v>
      </c>
      <c r="AA99" s="36" t="n">
        <f aca="false">CHOOSE(Dashboard!$C$4,AA96,AA97,AA98)</f>
        <v>8.02422059459571</v>
      </c>
      <c r="AB99" s="36" t="n">
        <f aca="false">CHOOSE(Dashboard!$C$4,AB96,AB97,AB98)</f>
        <v>8.01342519489896</v>
      </c>
      <c r="AC99" s="36" t="n">
        <f aca="false">CHOOSE(Dashboard!$C$4,AC96,AC97,AC98)</f>
        <v>8.0201802576923</v>
      </c>
      <c r="AD99" s="36" t="n">
        <f aca="false">CHOOSE(Dashboard!$C$4,AD96,AD97,AD98)</f>
        <v>8.00428380281193</v>
      </c>
      <c r="AE99" s="36" t="n">
        <f aca="false">CHOOSE(Dashboard!$C$4,AE96,AE97,AE98)</f>
        <v>7.99364405297435</v>
      </c>
      <c r="AF99" s="36" t="n">
        <f aca="false">CHOOSE(Dashboard!$C$4,AF96,AF97,AF98)</f>
        <v>0</v>
      </c>
      <c r="AG99" s="36" t="n">
        <f aca="false">CHOOSE(Dashboard!$C$4,AG96,AG97,AG98)</f>
        <v>0</v>
      </c>
      <c r="AH99" s="36" t="n">
        <f aca="false">CHOOSE(Dashboard!$C$4,AH96,AH97,AH98)</f>
        <v>0</v>
      </c>
      <c r="AI99" s="36" t="n">
        <f aca="false">CHOOSE(Dashboard!$C$4,AI96,AI97,AI98)</f>
        <v>0</v>
      </c>
      <c r="AJ99" s="36" t="n">
        <f aca="false">CHOOSE(Dashboard!$C$4,AJ96,AJ97,AJ98)</f>
        <v>0</v>
      </c>
      <c r="AK99" s="36" t="n">
        <f aca="false">CHOOSE(Dashboard!$C$4,AK96,AK97,AK98)</f>
        <v>0</v>
      </c>
      <c r="AL99" s="36" t="n">
        <f aca="false">CHOOSE(Dashboard!$C$4,AL96,AL97,AL98)</f>
        <v>0</v>
      </c>
      <c r="AM99" s="36" t="n">
        <f aca="false">CHOOSE(Dashboard!$C$4,AM96,AM97,AM98)</f>
        <v>0</v>
      </c>
      <c r="AN99" s="36" t="n">
        <f aca="false">CHOOSE(Dashboard!$C$4,AN96,AN97,AN98)</f>
        <v>0</v>
      </c>
      <c r="AO99" s="36" t="n">
        <f aca="false">CHOOSE(Dashboard!$C$4,AO96,AO97,AO98)</f>
        <v>0</v>
      </c>
      <c r="AP99" s="36" t="n">
        <f aca="false">CHOOSE(Dashboard!$C$4,AP96,AP97,AP98)</f>
        <v>0</v>
      </c>
      <c r="AQ99" s="36" t="n">
        <f aca="false">CHOOSE(Dashboard!$C$4,AQ96,AQ97,AQ98)</f>
        <v>0</v>
      </c>
      <c r="AR99" s="36" t="n">
        <f aca="false">CHOOSE(Dashboard!$C$4,AR96,AR97,AR98)</f>
        <v>0</v>
      </c>
      <c r="AS99" s="36" t="n">
        <f aca="false">CHOOSE(Dashboard!$C$4,AS96,AS97,AS98)</f>
        <v>0</v>
      </c>
      <c r="AT99" s="36" t="n">
        <f aca="false">CHOOSE(Dashboard!$C$4,AT96,AT97,AT98)</f>
        <v>0</v>
      </c>
      <c r="AU99" s="36" t="n">
        <f aca="false">CHOOSE(Dashboard!$C$4,AU96,AU97,AU98)</f>
        <v>0</v>
      </c>
      <c r="AV99" s="36" t="n">
        <f aca="false">CHOOSE(Dashboard!$C$4,AV96,AV97,AV98)</f>
        <v>0</v>
      </c>
      <c r="AW99" s="36" t="n">
        <f aca="false">CHOOSE(Dashboard!$C$4,AW96,AW97,AW98)</f>
        <v>0</v>
      </c>
      <c r="AX99" s="36" t="n">
        <f aca="false">CHOOSE(Dashboard!$C$4,AX96,AX97,AX98)</f>
        <v>0</v>
      </c>
      <c r="AY99" s="36" t="n">
        <f aca="false">CHOOSE(Dashboard!$C$4,AY96,AY97,AY98)</f>
        <v>0</v>
      </c>
      <c r="AZ99" s="36" t="n">
        <f aca="false">CHOOSE(Dashboard!$C$4,AZ96,AZ97,AZ98)</f>
        <v>0</v>
      </c>
      <c r="BA99" s="36" t="n">
        <f aca="false">CHOOSE(Dashboard!$C$4,BA96,BA97,BA98)</f>
        <v>0</v>
      </c>
      <c r="BB99" s="36" t="n">
        <f aca="false">CHOOSE(Dashboard!$C$4,BB96,BB97,BB98)</f>
        <v>0</v>
      </c>
      <c r="BC99" s="36" t="n">
        <f aca="false">CHOOSE(Dashboard!$C$4,BC96,BC97,BC98)</f>
        <v>0</v>
      </c>
      <c r="BD99" s="36" t="n">
        <f aca="false">CHOOSE(Dashboard!$C$4,BD96,BD97,BD98)</f>
        <v>0</v>
      </c>
      <c r="BE99" s="36" t="n">
        <f aca="false">CHOOSE(Dashboard!$C$4,BE96,BE97,BE98)</f>
        <v>0</v>
      </c>
      <c r="BF99" s="36" t="n">
        <f aca="false">CHOOSE(Dashboard!$C$4,BF96,BF97,BF98)</f>
        <v>0</v>
      </c>
      <c r="BG99" s="36" t="n">
        <f aca="false">CHOOSE(Dashboard!$C$4,BG96,BG97,BG98)</f>
        <v>0</v>
      </c>
      <c r="BH99" s="36" t="n">
        <f aca="false">CHOOSE(Dashboard!$C$4,BH96,BH97,BH98)</f>
        <v>0</v>
      </c>
      <c r="BI99" s="36" t="n">
        <f aca="false">CHOOSE(Dashboard!$C$4,BI96,BI97,BI98)</f>
        <v>0</v>
      </c>
      <c r="BJ99" s="36" t="n">
        <f aca="false">CHOOSE(Dashboard!$C$4,BJ96,BJ97,BJ98)</f>
        <v>0</v>
      </c>
      <c r="BK99" s="36" t="n">
        <f aca="false">CHOOSE(Dashboard!$C$4,BK96,BK97,BK98)</f>
        <v>0</v>
      </c>
      <c r="BL99" s="36" t="n">
        <f aca="false">CHOOSE(Dashboard!$C$4,BL96,BL97,BL98)</f>
        <v>0</v>
      </c>
      <c r="BM99" s="36" t="n">
        <f aca="false">CHOOSE(Dashboard!$C$4,BM96,BM97,BM98)</f>
        <v>0</v>
      </c>
      <c r="BN99" s="36" t="n">
        <f aca="false">CHOOSE(Dashboard!$C$4,BN96,BN97,BN98)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X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6" min="5" style="0" width="3"/>
    <col collapsed="false" customWidth="true" hidden="false" outlineLevel="0" max="76" min="7" style="0" width="10.51"/>
  </cols>
  <sheetData>
    <row r="1" customFormat="false" ht="15" hidden="false" customHeight="false" outlineLevel="0" collapsed="false">
      <c r="A1" s="1"/>
      <c r="B1" s="2" t="s">
        <v>16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</row>
    <row r="2" customFormat="false" ht="15" hidden="false" customHeight="false" outlineLevel="0" collapsed="false">
      <c r="A2" s="1"/>
      <c r="B2" s="6" t="s">
        <v>273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</row>
    <row r="4" customFormat="false" ht="15" hidden="false" customHeight="false" outlineLevel="0" collapsed="false">
      <c r="A4" s="1"/>
      <c r="B4" s="4" t="s">
        <v>25</v>
      </c>
      <c r="C4" s="1"/>
      <c r="D4" s="1"/>
      <c r="E4" s="1"/>
      <c r="F4" s="1"/>
      <c r="G4" s="37" t="n">
        <v>2027</v>
      </c>
      <c r="H4" s="37" t="n">
        <v>2028</v>
      </c>
      <c r="I4" s="37" t="n">
        <v>2029</v>
      </c>
      <c r="J4" s="37" t="n">
        <v>2030</v>
      </c>
      <c r="K4" s="37" t="n">
        <v>2031</v>
      </c>
      <c r="L4" s="37" t="n">
        <v>2032</v>
      </c>
      <c r="M4" s="37" t="n">
        <v>2033</v>
      </c>
      <c r="N4" s="37" t="n">
        <v>2034</v>
      </c>
      <c r="O4" s="37" t="n">
        <v>2035</v>
      </c>
      <c r="P4" s="37" t="n">
        <v>2036</v>
      </c>
      <c r="Q4" s="37" t="n">
        <v>2037</v>
      </c>
      <c r="R4" s="37" t="n">
        <v>2038</v>
      </c>
      <c r="S4" s="37" t="n">
        <v>2039</v>
      </c>
      <c r="T4" s="37" t="n">
        <v>2040</v>
      </c>
      <c r="U4" s="37" t="n">
        <v>2041</v>
      </c>
      <c r="V4" s="37" t="n">
        <v>2042</v>
      </c>
      <c r="W4" s="37" t="n">
        <v>2043</v>
      </c>
      <c r="X4" s="37" t="n">
        <v>2044</v>
      </c>
      <c r="Y4" s="37" t="n">
        <v>2045</v>
      </c>
      <c r="Z4" s="37" t="n">
        <v>2046</v>
      </c>
      <c r="AA4" s="37" t="n">
        <v>2047</v>
      </c>
      <c r="AB4" s="37" t="n">
        <v>2048</v>
      </c>
      <c r="AC4" s="37" t="n">
        <v>2049</v>
      </c>
      <c r="AD4" s="37" t="n">
        <v>2050</v>
      </c>
      <c r="AE4" s="37" t="n">
        <v>2051</v>
      </c>
      <c r="AF4" s="37" t="n">
        <v>2052</v>
      </c>
      <c r="AG4" s="37" t="n">
        <v>2053</v>
      </c>
      <c r="AH4" s="37" t="n">
        <v>2054</v>
      </c>
      <c r="AI4" s="37" t="n">
        <v>2055</v>
      </c>
      <c r="AJ4" s="37" t="n">
        <v>2056</v>
      </c>
      <c r="AK4" s="37" t="n">
        <v>2057</v>
      </c>
      <c r="AL4" s="37" t="n">
        <v>2058</v>
      </c>
      <c r="AM4" s="37" t="n">
        <v>2059</v>
      </c>
      <c r="AN4" s="37" t="n">
        <v>2060</v>
      </c>
      <c r="AO4" s="37" t="n">
        <v>2061</v>
      </c>
      <c r="AP4" s="37" t="n">
        <v>2062</v>
      </c>
      <c r="AQ4" s="37" t="n">
        <v>2063</v>
      </c>
      <c r="AR4" s="37" t="n">
        <v>2064</v>
      </c>
      <c r="AS4" s="37" t="n">
        <v>2065</v>
      </c>
      <c r="AT4" s="37" t="n">
        <v>2066</v>
      </c>
      <c r="AU4" s="37" t="n">
        <v>2067</v>
      </c>
      <c r="AV4" s="37" t="n">
        <v>2068</v>
      </c>
      <c r="AW4" s="37" t="n">
        <v>2069</v>
      </c>
      <c r="AX4" s="37" t="n">
        <v>2070</v>
      </c>
      <c r="AY4" s="37" t="n">
        <v>2071</v>
      </c>
      <c r="AZ4" s="37" t="n">
        <v>2072</v>
      </c>
      <c r="BA4" s="37" t="n">
        <v>2073</v>
      </c>
      <c r="BB4" s="37" t="n">
        <v>2074</v>
      </c>
      <c r="BC4" s="37" t="n">
        <v>2075</v>
      </c>
      <c r="BD4" s="37" t="n">
        <v>2076</v>
      </c>
      <c r="BE4" s="37" t="n">
        <v>2077</v>
      </c>
      <c r="BF4" s="37" t="n">
        <v>2078</v>
      </c>
      <c r="BG4" s="37" t="n">
        <v>2079</v>
      </c>
      <c r="BH4" s="37" t="n">
        <v>2080</v>
      </c>
      <c r="BI4" s="37" t="n">
        <v>2081</v>
      </c>
      <c r="BJ4" s="37" t="n">
        <v>2082</v>
      </c>
      <c r="BK4" s="37" t="n">
        <v>2083</v>
      </c>
      <c r="BL4" s="37" t="n">
        <v>2084</v>
      </c>
      <c r="BM4" s="37" t="n">
        <v>2085</v>
      </c>
      <c r="BN4" s="37" t="n">
        <v>2086</v>
      </c>
      <c r="BO4" s="37" t="n">
        <v>2087</v>
      </c>
      <c r="BP4" s="37" t="n">
        <v>2088</v>
      </c>
      <c r="BQ4" s="37" t="n">
        <v>2089</v>
      </c>
      <c r="BR4" s="37" t="n">
        <v>2090</v>
      </c>
      <c r="BS4" s="37" t="n">
        <v>2091</v>
      </c>
      <c r="BT4" s="37" t="n">
        <v>2092</v>
      </c>
      <c r="BU4" s="37" t="n">
        <v>2093</v>
      </c>
      <c r="BV4" s="37" t="n">
        <v>2094</v>
      </c>
      <c r="BW4" s="37" t="n">
        <v>2095</v>
      </c>
      <c r="BX4" s="37" t="n">
        <v>2096</v>
      </c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</row>
    <row r="6" customFormat="false" ht="15" hidden="false" customHeight="false" outlineLevel="0" collapsed="false">
      <c r="A6" s="1"/>
      <c r="B6" s="13" t="s">
        <v>274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</row>
    <row r="7" customFormat="false" ht="15" hidden="false" customHeight="false" outlineLevel="0" collapsed="false">
      <c r="A7" s="1"/>
      <c r="B7" s="8" t="s">
        <v>275</v>
      </c>
      <c r="C7" s="1"/>
      <c r="D7" s="9" t="n">
        <f aca="false">Input!$H$52</f>
        <v>300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</row>
    <row r="8" customFormat="false" ht="15" hidden="false" customHeight="false" outlineLevel="0" collapsed="false">
      <c r="A8" s="1"/>
      <c r="B8" s="8" t="s">
        <v>276</v>
      </c>
      <c r="C8" s="1"/>
      <c r="D8" s="9" t="n">
        <f aca="false">Input!$H$53</f>
        <v>38000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</row>
    <row r="9" customFormat="false" ht="15" hidden="false" customHeight="false" outlineLevel="0" collapsed="false">
      <c r="A9" s="1"/>
      <c r="B9" s="8" t="s">
        <v>277</v>
      </c>
      <c r="C9" s="1"/>
      <c r="D9" s="38" t="n">
        <f aca="false">Input!$H$54</f>
        <v>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</row>
    <row r="10" customFormat="false" ht="15" hidden="false" customHeight="false" outlineLevel="0" collapsed="false">
      <c r="A10" s="1"/>
      <c r="B10" s="8" t="s">
        <v>278</v>
      </c>
      <c r="C10" s="1"/>
      <c r="D10" s="38" t="n">
        <f aca="false">Input!$H$55</f>
        <v>2035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</row>
    <row r="11" customFormat="false" ht="15" hidden="false" customHeight="false" outlineLevel="0" collapsed="false">
      <c r="A11" s="1"/>
      <c r="B11" s="8" t="s">
        <v>279</v>
      </c>
      <c r="C11" s="1"/>
      <c r="D11" s="38" t="n">
        <f aca="false">Input!$H$56</f>
        <v>60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</row>
    <row r="12" customFormat="false" ht="15" hidden="false" customHeight="false" outlineLevel="0" collapsed="false">
      <c r="A12" s="1"/>
      <c r="B12" s="8" t="s">
        <v>280</v>
      </c>
      <c r="C12" s="1"/>
      <c r="D12" s="39" t="n">
        <f aca="false">$D$10-$D$9</f>
        <v>2030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</row>
    <row r="13" customFormat="false" ht="15" hidden="false" customHeight="false" outlineLevel="0" collapsed="false">
      <c r="A13" s="1"/>
      <c r="B13" s="8" t="s">
        <v>281</v>
      </c>
      <c r="C13" s="1"/>
      <c r="D13" s="10" t="n">
        <f aca="false">Input!$H$15</f>
        <v>0.05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</row>
    <row r="14" customFormat="false" ht="15" hidden="false" customHeight="false" outlineLevel="0" collapsed="false">
      <c r="A14" s="1"/>
      <c r="B14" s="8" t="s">
        <v>282</v>
      </c>
      <c r="C14" s="1"/>
      <c r="D14" s="9" t="n">
        <f aca="false">Input!$H$60</f>
        <v>520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</row>
    <row r="15" customFormat="false" ht="15" hidden="false" customHeight="false" outlineLevel="0" collapsed="false">
      <c r="A15" s="1"/>
      <c r="B15" s="8" t="s">
        <v>283</v>
      </c>
      <c r="C15" s="1"/>
      <c r="D15" s="40" t="n">
        <f aca="false">Input!$H$66</f>
        <v>11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</row>
    <row r="16" customFormat="false" ht="15" hidden="false" customHeight="false" outlineLevel="0" collapsed="false">
      <c r="A16" s="1"/>
      <c r="B16" s="8" t="s">
        <v>57</v>
      </c>
      <c r="C16" s="1"/>
      <c r="D16" s="41" t="n">
        <f aca="false">Input!$H$10</f>
        <v>4.3633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</row>
    <row r="17" customFormat="false" ht="15" hidden="false" customHeight="false" outlineLevel="0" collapsed="false">
      <c r="A17" s="1"/>
      <c r="B17" s="8" t="s">
        <v>215</v>
      </c>
      <c r="C17" s="1"/>
      <c r="D17" s="10" t="n">
        <f aca="false">Input!$H$141</f>
        <v>0.19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</row>
    <row r="18" customFormat="false" ht="15" hidden="false" customHeight="false" outlineLevel="0" collapsed="false">
      <c r="A18" s="1"/>
      <c r="B18" s="8" t="s">
        <v>284</v>
      </c>
      <c r="C18" s="1"/>
      <c r="D18" s="42" t="n">
        <f aca="false">Input!$H$31</f>
        <v>0.005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</row>
    <row r="19" customFormat="false" ht="15" hidden="false" customHeight="false" outlineLevel="0" collapsed="false">
      <c r="A19" s="1"/>
      <c r="B19" s="8" t="s">
        <v>285</v>
      </c>
      <c r="C19" s="1"/>
      <c r="D19" s="9" t="n">
        <f aca="false">Input!$H$63</f>
        <v>180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</row>
    <row r="20" customFormat="false" ht="15" hidden="false" customHeight="false" outlineLevel="0" collapsed="false">
      <c r="A20" s="1"/>
      <c r="B20" s="8" t="s">
        <v>286</v>
      </c>
      <c r="C20" s="1"/>
      <c r="D20" s="9" t="n">
        <f aca="false">Input!$H$64</f>
        <v>290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</row>
    <row r="21" customFormat="false" ht="15" hidden="false" customHeight="false" outlineLevel="0" collapsed="false">
      <c r="A21" s="1"/>
      <c r="B21" s="8" t="s">
        <v>287</v>
      </c>
      <c r="C21" s="1"/>
      <c r="D21" s="10" t="n">
        <f aca="false">Input!$H$69</f>
        <v>0.2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</row>
    <row r="22" customFormat="false" ht="15" hidden="false" customHeight="false" outlineLevel="0" collapsed="false">
      <c r="A22" s="1"/>
      <c r="B22" s="8" t="s">
        <v>288</v>
      </c>
      <c r="C22" s="1"/>
      <c r="D22" s="43" t="n">
        <f aca="false">0.02</f>
        <v>0.02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</row>
    <row r="23" customFormat="false" ht="15" hidden="false" customHeight="false" outlineLevel="0" collapsed="false">
      <c r="A23" s="1"/>
      <c r="B23" s="8" t="s">
        <v>155</v>
      </c>
      <c r="C23" s="1"/>
      <c r="D23" s="43" t="n">
        <f aca="false">Input!$H$70</f>
        <v>0.5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</row>
    <row r="24" customFormat="false" ht="15" hidden="false" customHeight="false" outlineLevel="0" collapsed="false">
      <c r="A24" s="1"/>
      <c r="B24" s="4" t="s">
        <v>289</v>
      </c>
      <c r="C24" s="1"/>
      <c r="D24" s="44" t="n">
        <f aca="false">$D$8*$D$7*1000/1000000</f>
        <v>11400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</row>
    <row r="25" customFormat="false" ht="15" hidden="false" customHeight="false" outlineLevel="0" collapsed="false">
      <c r="A25" s="1"/>
      <c r="B25" s="8" t="s">
        <v>290</v>
      </c>
      <c r="C25" s="1"/>
      <c r="D25" s="40" t="n">
        <f aca="false">Input!$H$65</f>
        <v>31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</row>
    <row r="26" customFormat="false" ht="15" hidden="false" customHeight="false" outlineLevel="0" collapsed="false">
      <c r="A26" s="1"/>
      <c r="B26" s="8" t="s">
        <v>291</v>
      </c>
      <c r="C26" s="1"/>
      <c r="D26" s="40" t="n">
        <f aca="false">Input!$H$67</f>
        <v>26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</row>
    <row r="27" customFormat="false" ht="15" hidden="false" customHeight="false" outlineLevel="0" collapsed="false">
      <c r="A27" s="1"/>
      <c r="B27" s="8" t="s">
        <v>292</v>
      </c>
      <c r="C27" s="1"/>
      <c r="D27" s="40" t="n">
        <f aca="false">Input!$H$68</f>
        <v>25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</row>
    <row r="28" customFormat="false" ht="15" hidden="false" customHeight="false" outlineLevel="0" collapsed="false">
      <c r="A28" s="1"/>
      <c r="B28" s="8" t="s">
        <v>293</v>
      </c>
      <c r="C28" s="1"/>
      <c r="D28" s="9" t="n">
        <f aca="false">Input!$H$57</f>
        <v>500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</row>
    <row r="29" customFormat="false" ht="15" hidden="false" customHeight="false" outlineLevel="0" collapsed="false">
      <c r="A29" s="1"/>
      <c r="B29" s="8" t="s">
        <v>294</v>
      </c>
      <c r="C29" s="1"/>
      <c r="D29" s="9" t="n">
        <f aca="false">Input!$H$58</f>
        <v>550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</row>
    <row r="30" customFormat="false" ht="15" hidden="false" customHeight="false" outlineLevel="0" collapsed="false">
      <c r="A30" s="1"/>
      <c r="B30" s="8" t="s">
        <v>295</v>
      </c>
      <c r="C30" s="1"/>
      <c r="D30" s="9" t="n">
        <f aca="false">Input!$H$59</f>
        <v>125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</row>
    <row r="31" customFormat="false" ht="15" hidden="false" customHeight="false" outlineLevel="0" collapsed="false">
      <c r="A31" s="1"/>
      <c r="B31" s="8" t="s">
        <v>296</v>
      </c>
      <c r="C31" s="1"/>
      <c r="D31" s="45" t="n">
        <f aca="false">Input!$H$61</f>
        <v>1.5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</row>
    <row r="32" customFormat="false" ht="15" hidden="false" customHeight="false" outlineLevel="0" collapsed="false">
      <c r="A32" s="1"/>
      <c r="B32" s="8" t="s">
        <v>297</v>
      </c>
      <c r="C32" s="1"/>
      <c r="D32" s="38" t="n">
        <f aca="false">Input!$H$62</f>
        <v>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</row>
    <row r="33" customFormat="false" ht="15" hidden="false" customHeight="false" outlineLevel="0" collapsed="false">
      <c r="A33" s="1"/>
      <c r="B33" s="8" t="s">
        <v>298</v>
      </c>
      <c r="C33" s="1"/>
      <c r="D33" s="10" t="n">
        <f aca="false">Input!$H$71</f>
        <v>0.012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</row>
    <row r="34" customFormat="false" ht="15" hidden="false" customHeight="false" outlineLevel="0" collapsed="false">
      <c r="A34" s="1"/>
      <c r="B34" s="8" t="s">
        <v>159</v>
      </c>
      <c r="C34" s="1"/>
      <c r="D34" s="10" t="n">
        <f aca="false">Input!$H$72</f>
        <v>0.01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</row>
    <row r="35" customFormat="false" ht="15" hidden="false" customHeight="false" outlineLevel="0" collapsed="false">
      <c r="A35" s="1"/>
      <c r="B35" s="8" t="s">
        <v>299</v>
      </c>
      <c r="C35" s="1"/>
      <c r="D35" s="41" t="n">
        <f aca="false">Input!$H$25</f>
        <v>0.9383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</row>
    <row r="36" customFormat="false" ht="15" hidden="false" customHeight="false" outlineLevel="0" collapsed="false">
      <c r="A36" s="1"/>
      <c r="B36" s="8" t="s">
        <v>300</v>
      </c>
      <c r="C36" s="1"/>
      <c r="D36" s="9" t="n">
        <f aca="false">Input!$H$75</f>
        <v>1500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</row>
    <row r="37" customFormat="false" ht="15" hidden="false" customHeight="false" outlineLevel="0" collapsed="false">
      <c r="A37" s="1"/>
      <c r="B37" s="8" t="s">
        <v>301</v>
      </c>
      <c r="C37" s="1"/>
      <c r="D37" s="40" t="n">
        <f aca="false">Input!$H$73</f>
        <v>125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</row>
    <row r="38" customFormat="false" ht="15" hidden="false" customHeight="false" outlineLevel="0" collapsed="false">
      <c r="A38" s="1"/>
      <c r="B38" s="4" t="s">
        <v>302</v>
      </c>
      <c r="C38" s="1"/>
      <c r="D38" s="46" t="n">
        <f aca="false">$D$37*$D$16</f>
        <v>545.4125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</row>
    <row r="39" customFormat="false" ht="15" hidden="false" customHeight="false" outlineLevel="0" collapsed="false">
      <c r="A39" s="1"/>
      <c r="B39" s="8" t="s">
        <v>303</v>
      </c>
      <c r="C39" s="1"/>
      <c r="D39" s="38" t="n">
        <f aca="false">Input!$H$74</f>
        <v>40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</row>
    <row r="40" customFormat="false" ht="15" hidden="false" customHeight="false" outlineLevel="0" collapsed="false">
      <c r="A40" s="1"/>
      <c r="B40" s="8" t="s">
        <v>304</v>
      </c>
      <c r="C40" s="1"/>
      <c r="D40" s="9" t="n">
        <f aca="false">Input!$H$23</f>
        <v>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</row>
    <row r="41" customFormat="false" ht="15" hidden="false" customHeight="false" outlineLevel="0" collapsed="false">
      <c r="A41" s="1"/>
      <c r="B41" s="8" t="s">
        <v>305</v>
      </c>
      <c r="C41" s="1"/>
      <c r="D41" s="38" t="n">
        <f aca="false">Input!$H$24</f>
        <v>17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</row>
    <row r="43" customFormat="false" ht="15" hidden="false" customHeight="false" outlineLevel="0" collapsed="false">
      <c r="A43" s="1"/>
      <c r="B43" s="13" t="s">
        <v>306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</row>
    <row r="44" customFormat="false" ht="15" hidden="false" customHeight="false" outlineLevel="0" collapsed="false">
      <c r="A44" s="1"/>
      <c r="B44" s="8" t="s">
        <v>307</v>
      </c>
      <c r="C44" s="8" t="s">
        <v>308</v>
      </c>
      <c r="D44" s="1"/>
      <c r="E44" s="1"/>
      <c r="F44" s="1"/>
      <c r="G44" s="39" t="n">
        <f aca="false">IF(AND(G$4&gt;=$D$12,G$4&lt;$D$10),1,0)</f>
        <v>0</v>
      </c>
      <c r="H44" s="39" t="n">
        <f aca="false">IF(AND(H$4&gt;=$D$12,H$4&lt;$D$10),1,0)</f>
        <v>0</v>
      </c>
      <c r="I44" s="39" t="n">
        <f aca="false">IF(AND(I$4&gt;=$D$12,I$4&lt;$D$10),1,0)</f>
        <v>0</v>
      </c>
      <c r="J44" s="39" t="n">
        <f aca="false">IF(AND(J$4&gt;=$D$12,J$4&lt;$D$10),1,0)</f>
        <v>1</v>
      </c>
      <c r="K44" s="39" t="n">
        <f aca="false">IF(AND(K$4&gt;=$D$12,K$4&lt;$D$10),1,0)</f>
        <v>1</v>
      </c>
      <c r="L44" s="39" t="n">
        <f aca="false">IF(AND(L$4&gt;=$D$12,L$4&lt;$D$10),1,0)</f>
        <v>1</v>
      </c>
      <c r="M44" s="39" t="n">
        <f aca="false">IF(AND(M$4&gt;=$D$12,M$4&lt;$D$10),1,0)</f>
        <v>1</v>
      </c>
      <c r="N44" s="39" t="n">
        <f aca="false">IF(AND(N$4&gt;=$D$12,N$4&lt;$D$10),1,0)</f>
        <v>1</v>
      </c>
      <c r="O44" s="39" t="n">
        <f aca="false">IF(AND(O$4&gt;=$D$12,O$4&lt;$D$10),1,0)</f>
        <v>0</v>
      </c>
      <c r="P44" s="39" t="n">
        <f aca="false">IF(AND(P$4&gt;=$D$12,P$4&lt;$D$10),1,0)</f>
        <v>0</v>
      </c>
      <c r="Q44" s="39" t="n">
        <f aca="false">IF(AND(Q$4&gt;=$D$12,Q$4&lt;$D$10),1,0)</f>
        <v>0</v>
      </c>
      <c r="R44" s="39" t="n">
        <f aca="false">IF(AND(R$4&gt;=$D$12,R$4&lt;$D$10),1,0)</f>
        <v>0</v>
      </c>
      <c r="S44" s="39" t="n">
        <f aca="false">IF(AND(S$4&gt;=$D$12,S$4&lt;$D$10),1,0)</f>
        <v>0</v>
      </c>
      <c r="T44" s="39" t="n">
        <f aca="false">IF(AND(T$4&gt;=$D$12,T$4&lt;$D$10),1,0)</f>
        <v>0</v>
      </c>
      <c r="U44" s="39" t="n">
        <f aca="false">IF(AND(U$4&gt;=$D$12,U$4&lt;$D$10),1,0)</f>
        <v>0</v>
      </c>
      <c r="V44" s="39" t="n">
        <f aca="false">IF(AND(V$4&gt;=$D$12,V$4&lt;$D$10),1,0)</f>
        <v>0</v>
      </c>
      <c r="W44" s="39" t="n">
        <f aca="false">IF(AND(W$4&gt;=$D$12,W$4&lt;$D$10),1,0)</f>
        <v>0</v>
      </c>
      <c r="X44" s="39" t="n">
        <f aca="false">IF(AND(X$4&gt;=$D$12,X$4&lt;$D$10),1,0)</f>
        <v>0</v>
      </c>
      <c r="Y44" s="39" t="n">
        <f aca="false">IF(AND(Y$4&gt;=$D$12,Y$4&lt;$D$10),1,0)</f>
        <v>0</v>
      </c>
      <c r="Z44" s="39" t="n">
        <f aca="false">IF(AND(Z$4&gt;=$D$12,Z$4&lt;$D$10),1,0)</f>
        <v>0</v>
      </c>
      <c r="AA44" s="39" t="n">
        <f aca="false">IF(AND(AA$4&gt;=$D$12,AA$4&lt;$D$10),1,0)</f>
        <v>0</v>
      </c>
      <c r="AB44" s="39" t="n">
        <f aca="false">IF(AND(AB$4&gt;=$D$12,AB$4&lt;$D$10),1,0)</f>
        <v>0</v>
      </c>
      <c r="AC44" s="39" t="n">
        <f aca="false">IF(AND(AC$4&gt;=$D$12,AC$4&lt;$D$10),1,0)</f>
        <v>0</v>
      </c>
      <c r="AD44" s="39" t="n">
        <f aca="false">IF(AND(AD$4&gt;=$D$12,AD$4&lt;$D$10),1,0)</f>
        <v>0</v>
      </c>
      <c r="AE44" s="39" t="n">
        <f aca="false">IF(AND(AE$4&gt;=$D$12,AE$4&lt;$D$10),1,0)</f>
        <v>0</v>
      </c>
      <c r="AF44" s="39" t="n">
        <f aca="false">IF(AND(AF$4&gt;=$D$12,AF$4&lt;$D$10),1,0)</f>
        <v>0</v>
      </c>
      <c r="AG44" s="39" t="n">
        <f aca="false">IF(AND(AG$4&gt;=$D$12,AG$4&lt;$D$10),1,0)</f>
        <v>0</v>
      </c>
      <c r="AH44" s="39" t="n">
        <f aca="false">IF(AND(AH$4&gt;=$D$12,AH$4&lt;$D$10),1,0)</f>
        <v>0</v>
      </c>
      <c r="AI44" s="39" t="n">
        <f aca="false">IF(AND(AI$4&gt;=$D$12,AI$4&lt;$D$10),1,0)</f>
        <v>0</v>
      </c>
      <c r="AJ44" s="39" t="n">
        <f aca="false">IF(AND(AJ$4&gt;=$D$12,AJ$4&lt;$D$10),1,0)</f>
        <v>0</v>
      </c>
      <c r="AK44" s="39" t="n">
        <f aca="false">IF(AND(AK$4&gt;=$D$12,AK$4&lt;$D$10),1,0)</f>
        <v>0</v>
      </c>
      <c r="AL44" s="39" t="n">
        <f aca="false">IF(AND(AL$4&gt;=$D$12,AL$4&lt;$D$10),1,0)</f>
        <v>0</v>
      </c>
      <c r="AM44" s="39" t="n">
        <f aca="false">IF(AND(AM$4&gt;=$D$12,AM$4&lt;$D$10),1,0)</f>
        <v>0</v>
      </c>
      <c r="AN44" s="39" t="n">
        <f aca="false">IF(AND(AN$4&gt;=$D$12,AN$4&lt;$D$10),1,0)</f>
        <v>0</v>
      </c>
      <c r="AO44" s="39" t="n">
        <f aca="false">IF(AND(AO$4&gt;=$D$12,AO$4&lt;$D$10),1,0)</f>
        <v>0</v>
      </c>
      <c r="AP44" s="39" t="n">
        <f aca="false">IF(AND(AP$4&gt;=$D$12,AP$4&lt;$D$10),1,0)</f>
        <v>0</v>
      </c>
      <c r="AQ44" s="39" t="n">
        <f aca="false">IF(AND(AQ$4&gt;=$D$12,AQ$4&lt;$D$10),1,0)</f>
        <v>0</v>
      </c>
      <c r="AR44" s="39" t="n">
        <f aca="false">IF(AND(AR$4&gt;=$D$12,AR$4&lt;$D$10),1,0)</f>
        <v>0</v>
      </c>
      <c r="AS44" s="39" t="n">
        <f aca="false">IF(AND(AS$4&gt;=$D$12,AS$4&lt;$D$10),1,0)</f>
        <v>0</v>
      </c>
      <c r="AT44" s="39" t="n">
        <f aca="false">IF(AND(AT$4&gt;=$D$12,AT$4&lt;$D$10),1,0)</f>
        <v>0</v>
      </c>
      <c r="AU44" s="39" t="n">
        <f aca="false">IF(AND(AU$4&gt;=$D$12,AU$4&lt;$D$10),1,0)</f>
        <v>0</v>
      </c>
      <c r="AV44" s="39" t="n">
        <f aca="false">IF(AND(AV$4&gt;=$D$12,AV$4&lt;$D$10),1,0)</f>
        <v>0</v>
      </c>
      <c r="AW44" s="39" t="n">
        <f aca="false">IF(AND(AW$4&gt;=$D$12,AW$4&lt;$D$10),1,0)</f>
        <v>0</v>
      </c>
      <c r="AX44" s="39" t="n">
        <f aca="false">IF(AND(AX$4&gt;=$D$12,AX$4&lt;$D$10),1,0)</f>
        <v>0</v>
      </c>
      <c r="AY44" s="39" t="n">
        <f aca="false">IF(AND(AY$4&gt;=$D$12,AY$4&lt;$D$10),1,0)</f>
        <v>0</v>
      </c>
      <c r="AZ44" s="39" t="n">
        <f aca="false">IF(AND(AZ$4&gt;=$D$12,AZ$4&lt;$D$10),1,0)</f>
        <v>0</v>
      </c>
      <c r="BA44" s="39" t="n">
        <f aca="false">IF(AND(BA$4&gt;=$D$12,BA$4&lt;$D$10),1,0)</f>
        <v>0</v>
      </c>
      <c r="BB44" s="39" t="n">
        <f aca="false">IF(AND(BB$4&gt;=$D$12,BB$4&lt;$D$10),1,0)</f>
        <v>0</v>
      </c>
      <c r="BC44" s="39" t="n">
        <f aca="false">IF(AND(BC$4&gt;=$D$12,BC$4&lt;$D$10),1,0)</f>
        <v>0</v>
      </c>
      <c r="BD44" s="39" t="n">
        <f aca="false">IF(AND(BD$4&gt;=$D$12,BD$4&lt;$D$10),1,0)</f>
        <v>0</v>
      </c>
      <c r="BE44" s="39" t="n">
        <f aca="false">IF(AND(BE$4&gt;=$D$12,BE$4&lt;$D$10),1,0)</f>
        <v>0</v>
      </c>
      <c r="BF44" s="39" t="n">
        <f aca="false">IF(AND(BF$4&gt;=$D$12,BF$4&lt;$D$10),1,0)</f>
        <v>0</v>
      </c>
      <c r="BG44" s="39" t="n">
        <f aca="false">IF(AND(BG$4&gt;=$D$12,BG$4&lt;$D$10),1,0)</f>
        <v>0</v>
      </c>
      <c r="BH44" s="39" t="n">
        <f aca="false">IF(AND(BH$4&gt;=$D$12,BH$4&lt;$D$10),1,0)</f>
        <v>0</v>
      </c>
      <c r="BI44" s="39" t="n">
        <f aca="false">IF(AND(BI$4&gt;=$D$12,BI$4&lt;$D$10),1,0)</f>
        <v>0</v>
      </c>
      <c r="BJ44" s="39" t="n">
        <f aca="false">IF(AND(BJ$4&gt;=$D$12,BJ$4&lt;$D$10),1,0)</f>
        <v>0</v>
      </c>
      <c r="BK44" s="39" t="n">
        <f aca="false">IF(AND(BK$4&gt;=$D$12,BK$4&lt;$D$10),1,0)</f>
        <v>0</v>
      </c>
      <c r="BL44" s="39" t="n">
        <f aca="false">IF(AND(BL$4&gt;=$D$12,BL$4&lt;$D$10),1,0)</f>
        <v>0</v>
      </c>
      <c r="BM44" s="39" t="n">
        <f aca="false">IF(AND(BM$4&gt;=$D$12,BM$4&lt;$D$10),1,0)</f>
        <v>0</v>
      </c>
      <c r="BN44" s="39" t="n">
        <f aca="false">IF(AND(BN$4&gt;=$D$12,BN$4&lt;$D$10),1,0)</f>
        <v>0</v>
      </c>
      <c r="BO44" s="39" t="n">
        <f aca="false">IF(AND(BO$4&gt;=$D$12,BO$4&lt;$D$10),1,0)</f>
        <v>0</v>
      </c>
      <c r="BP44" s="39" t="n">
        <f aca="false">IF(AND(BP$4&gt;=$D$12,BP$4&lt;$D$10),1,0)</f>
        <v>0</v>
      </c>
      <c r="BQ44" s="39" t="n">
        <f aca="false">IF(AND(BQ$4&gt;=$D$12,BQ$4&lt;$D$10),1,0)</f>
        <v>0</v>
      </c>
      <c r="BR44" s="39" t="n">
        <f aca="false">IF(AND(BR$4&gt;=$D$12,BR$4&lt;$D$10),1,0)</f>
        <v>0</v>
      </c>
      <c r="BS44" s="39" t="n">
        <f aca="false">IF(AND(BS$4&gt;=$D$12,BS$4&lt;$D$10),1,0)</f>
        <v>0</v>
      </c>
      <c r="BT44" s="39" t="n">
        <f aca="false">IF(AND(BT$4&gt;=$D$12,BT$4&lt;$D$10),1,0)</f>
        <v>0</v>
      </c>
      <c r="BU44" s="39" t="n">
        <f aca="false">IF(AND(BU$4&gt;=$D$12,BU$4&lt;$D$10),1,0)</f>
        <v>0</v>
      </c>
      <c r="BV44" s="39" t="n">
        <f aca="false">IF(AND(BV$4&gt;=$D$12,BV$4&lt;$D$10),1,0)</f>
        <v>0</v>
      </c>
      <c r="BW44" s="39" t="n">
        <f aca="false">IF(AND(BW$4&gt;=$D$12,BW$4&lt;$D$10),1,0)</f>
        <v>0</v>
      </c>
      <c r="BX44" s="39" t="n">
        <f aca="false">IF(AND(BX$4&gt;=$D$12,BX$4&lt;$D$10),1,0)</f>
        <v>0</v>
      </c>
    </row>
    <row r="45" customFormat="false" ht="15" hidden="false" customHeight="false" outlineLevel="0" collapsed="false">
      <c r="A45" s="1"/>
      <c r="B45" s="8" t="s">
        <v>309</v>
      </c>
      <c r="C45" s="8" t="s">
        <v>308</v>
      </c>
      <c r="D45" s="1"/>
      <c r="E45" s="1"/>
      <c r="F45" s="1"/>
      <c r="G45" s="39" t="n">
        <f aca="false">IF(AND(G$4&gt;=$D$10,G$4&lt;$D$10+$D$11),1,0)</f>
        <v>0</v>
      </c>
      <c r="H45" s="39" t="n">
        <f aca="false">IF(AND(H$4&gt;=$D$10,H$4&lt;$D$10+$D$11),1,0)</f>
        <v>0</v>
      </c>
      <c r="I45" s="39" t="n">
        <f aca="false">IF(AND(I$4&gt;=$D$10,I$4&lt;$D$10+$D$11),1,0)</f>
        <v>0</v>
      </c>
      <c r="J45" s="39" t="n">
        <f aca="false">IF(AND(J$4&gt;=$D$10,J$4&lt;$D$10+$D$11),1,0)</f>
        <v>0</v>
      </c>
      <c r="K45" s="39" t="n">
        <f aca="false">IF(AND(K$4&gt;=$D$10,K$4&lt;$D$10+$D$11),1,0)</f>
        <v>0</v>
      </c>
      <c r="L45" s="39" t="n">
        <f aca="false">IF(AND(L$4&gt;=$D$10,L$4&lt;$D$10+$D$11),1,0)</f>
        <v>0</v>
      </c>
      <c r="M45" s="39" t="n">
        <f aca="false">IF(AND(M$4&gt;=$D$10,M$4&lt;$D$10+$D$11),1,0)</f>
        <v>0</v>
      </c>
      <c r="N45" s="39" t="n">
        <f aca="false">IF(AND(N$4&gt;=$D$10,N$4&lt;$D$10+$D$11),1,0)</f>
        <v>0</v>
      </c>
      <c r="O45" s="39" t="n">
        <f aca="false">IF(AND(O$4&gt;=$D$10,O$4&lt;$D$10+$D$11),1,0)</f>
        <v>1</v>
      </c>
      <c r="P45" s="39" t="n">
        <f aca="false">IF(AND(P$4&gt;=$D$10,P$4&lt;$D$10+$D$11),1,0)</f>
        <v>1</v>
      </c>
      <c r="Q45" s="39" t="n">
        <f aca="false">IF(AND(Q$4&gt;=$D$10,Q$4&lt;$D$10+$D$11),1,0)</f>
        <v>1</v>
      </c>
      <c r="R45" s="39" t="n">
        <f aca="false">IF(AND(R$4&gt;=$D$10,R$4&lt;$D$10+$D$11),1,0)</f>
        <v>1</v>
      </c>
      <c r="S45" s="39" t="n">
        <f aca="false">IF(AND(S$4&gt;=$D$10,S$4&lt;$D$10+$D$11),1,0)</f>
        <v>1</v>
      </c>
      <c r="T45" s="39" t="n">
        <f aca="false">IF(AND(T$4&gt;=$D$10,T$4&lt;$D$10+$D$11),1,0)</f>
        <v>1</v>
      </c>
      <c r="U45" s="39" t="n">
        <f aca="false">IF(AND(U$4&gt;=$D$10,U$4&lt;$D$10+$D$11),1,0)</f>
        <v>1</v>
      </c>
      <c r="V45" s="39" t="n">
        <f aca="false">IF(AND(V$4&gt;=$D$10,V$4&lt;$D$10+$D$11),1,0)</f>
        <v>1</v>
      </c>
      <c r="W45" s="39" t="n">
        <f aca="false">IF(AND(W$4&gt;=$D$10,W$4&lt;$D$10+$D$11),1,0)</f>
        <v>1</v>
      </c>
      <c r="X45" s="39" t="n">
        <f aca="false">IF(AND(X$4&gt;=$D$10,X$4&lt;$D$10+$D$11),1,0)</f>
        <v>1</v>
      </c>
      <c r="Y45" s="39" t="n">
        <f aca="false">IF(AND(Y$4&gt;=$D$10,Y$4&lt;$D$10+$D$11),1,0)</f>
        <v>1</v>
      </c>
      <c r="Z45" s="39" t="n">
        <f aca="false">IF(AND(Z$4&gt;=$D$10,Z$4&lt;$D$10+$D$11),1,0)</f>
        <v>1</v>
      </c>
      <c r="AA45" s="39" t="n">
        <f aca="false">IF(AND(AA$4&gt;=$D$10,AA$4&lt;$D$10+$D$11),1,0)</f>
        <v>1</v>
      </c>
      <c r="AB45" s="39" t="n">
        <f aca="false">IF(AND(AB$4&gt;=$D$10,AB$4&lt;$D$10+$D$11),1,0)</f>
        <v>1</v>
      </c>
      <c r="AC45" s="39" t="n">
        <f aca="false">IF(AND(AC$4&gt;=$D$10,AC$4&lt;$D$10+$D$11),1,0)</f>
        <v>1</v>
      </c>
      <c r="AD45" s="39" t="n">
        <f aca="false">IF(AND(AD$4&gt;=$D$10,AD$4&lt;$D$10+$D$11),1,0)</f>
        <v>1</v>
      </c>
      <c r="AE45" s="39" t="n">
        <f aca="false">IF(AND(AE$4&gt;=$D$10,AE$4&lt;$D$10+$D$11),1,0)</f>
        <v>1</v>
      </c>
      <c r="AF45" s="39" t="n">
        <f aca="false">IF(AND(AF$4&gt;=$D$10,AF$4&lt;$D$10+$D$11),1,0)</f>
        <v>1</v>
      </c>
      <c r="AG45" s="39" t="n">
        <f aca="false">IF(AND(AG$4&gt;=$D$10,AG$4&lt;$D$10+$D$11),1,0)</f>
        <v>1</v>
      </c>
      <c r="AH45" s="39" t="n">
        <f aca="false">IF(AND(AH$4&gt;=$D$10,AH$4&lt;$D$10+$D$11),1,0)</f>
        <v>1</v>
      </c>
      <c r="AI45" s="39" t="n">
        <f aca="false">IF(AND(AI$4&gt;=$D$10,AI$4&lt;$D$10+$D$11),1,0)</f>
        <v>1</v>
      </c>
      <c r="AJ45" s="39" t="n">
        <f aca="false">IF(AND(AJ$4&gt;=$D$10,AJ$4&lt;$D$10+$D$11),1,0)</f>
        <v>1</v>
      </c>
      <c r="AK45" s="39" t="n">
        <f aca="false">IF(AND(AK$4&gt;=$D$10,AK$4&lt;$D$10+$D$11),1,0)</f>
        <v>1</v>
      </c>
      <c r="AL45" s="39" t="n">
        <f aca="false">IF(AND(AL$4&gt;=$D$10,AL$4&lt;$D$10+$D$11),1,0)</f>
        <v>1</v>
      </c>
      <c r="AM45" s="39" t="n">
        <f aca="false">IF(AND(AM$4&gt;=$D$10,AM$4&lt;$D$10+$D$11),1,0)</f>
        <v>1</v>
      </c>
      <c r="AN45" s="39" t="n">
        <f aca="false">IF(AND(AN$4&gt;=$D$10,AN$4&lt;$D$10+$D$11),1,0)</f>
        <v>1</v>
      </c>
      <c r="AO45" s="39" t="n">
        <f aca="false">IF(AND(AO$4&gt;=$D$10,AO$4&lt;$D$10+$D$11),1,0)</f>
        <v>1</v>
      </c>
      <c r="AP45" s="39" t="n">
        <f aca="false">IF(AND(AP$4&gt;=$D$10,AP$4&lt;$D$10+$D$11),1,0)</f>
        <v>1</v>
      </c>
      <c r="AQ45" s="39" t="n">
        <f aca="false">IF(AND(AQ$4&gt;=$D$10,AQ$4&lt;$D$10+$D$11),1,0)</f>
        <v>1</v>
      </c>
      <c r="AR45" s="39" t="n">
        <f aca="false">IF(AND(AR$4&gt;=$D$10,AR$4&lt;$D$10+$D$11),1,0)</f>
        <v>1</v>
      </c>
      <c r="AS45" s="39" t="n">
        <f aca="false">IF(AND(AS$4&gt;=$D$10,AS$4&lt;$D$10+$D$11),1,0)</f>
        <v>1</v>
      </c>
      <c r="AT45" s="39" t="n">
        <f aca="false">IF(AND(AT$4&gt;=$D$10,AT$4&lt;$D$10+$D$11),1,0)</f>
        <v>1</v>
      </c>
      <c r="AU45" s="39" t="n">
        <f aca="false">IF(AND(AU$4&gt;=$D$10,AU$4&lt;$D$10+$D$11),1,0)</f>
        <v>1</v>
      </c>
      <c r="AV45" s="39" t="n">
        <f aca="false">IF(AND(AV$4&gt;=$D$10,AV$4&lt;$D$10+$D$11),1,0)</f>
        <v>1</v>
      </c>
      <c r="AW45" s="39" t="n">
        <f aca="false">IF(AND(AW$4&gt;=$D$10,AW$4&lt;$D$10+$D$11),1,0)</f>
        <v>1</v>
      </c>
      <c r="AX45" s="39" t="n">
        <f aca="false">IF(AND(AX$4&gt;=$D$10,AX$4&lt;$D$10+$D$11),1,0)</f>
        <v>1</v>
      </c>
      <c r="AY45" s="39" t="n">
        <f aca="false">IF(AND(AY$4&gt;=$D$10,AY$4&lt;$D$10+$D$11),1,0)</f>
        <v>1</v>
      </c>
      <c r="AZ45" s="39" t="n">
        <f aca="false">IF(AND(AZ$4&gt;=$D$10,AZ$4&lt;$D$10+$D$11),1,0)</f>
        <v>1</v>
      </c>
      <c r="BA45" s="39" t="n">
        <f aca="false">IF(AND(BA$4&gt;=$D$10,BA$4&lt;$D$10+$D$11),1,0)</f>
        <v>1</v>
      </c>
      <c r="BB45" s="39" t="n">
        <f aca="false">IF(AND(BB$4&gt;=$D$10,BB$4&lt;$D$10+$D$11),1,0)</f>
        <v>1</v>
      </c>
      <c r="BC45" s="39" t="n">
        <f aca="false">IF(AND(BC$4&gt;=$D$10,BC$4&lt;$D$10+$D$11),1,0)</f>
        <v>1</v>
      </c>
      <c r="BD45" s="39" t="n">
        <f aca="false">IF(AND(BD$4&gt;=$D$10,BD$4&lt;$D$10+$D$11),1,0)</f>
        <v>1</v>
      </c>
      <c r="BE45" s="39" t="n">
        <f aca="false">IF(AND(BE$4&gt;=$D$10,BE$4&lt;$D$10+$D$11),1,0)</f>
        <v>1</v>
      </c>
      <c r="BF45" s="39" t="n">
        <f aca="false">IF(AND(BF$4&gt;=$D$10,BF$4&lt;$D$10+$D$11),1,0)</f>
        <v>1</v>
      </c>
      <c r="BG45" s="39" t="n">
        <f aca="false">IF(AND(BG$4&gt;=$D$10,BG$4&lt;$D$10+$D$11),1,0)</f>
        <v>1</v>
      </c>
      <c r="BH45" s="39" t="n">
        <f aca="false">IF(AND(BH$4&gt;=$D$10,BH$4&lt;$D$10+$D$11),1,0)</f>
        <v>1</v>
      </c>
      <c r="BI45" s="39" t="n">
        <f aca="false">IF(AND(BI$4&gt;=$D$10,BI$4&lt;$D$10+$D$11),1,0)</f>
        <v>1</v>
      </c>
      <c r="BJ45" s="39" t="n">
        <f aca="false">IF(AND(BJ$4&gt;=$D$10,BJ$4&lt;$D$10+$D$11),1,0)</f>
        <v>1</v>
      </c>
      <c r="BK45" s="39" t="n">
        <f aca="false">IF(AND(BK$4&gt;=$D$10,BK$4&lt;$D$10+$D$11),1,0)</f>
        <v>1</v>
      </c>
      <c r="BL45" s="39" t="n">
        <f aca="false">IF(AND(BL$4&gt;=$D$10,BL$4&lt;$D$10+$D$11),1,0)</f>
        <v>1</v>
      </c>
      <c r="BM45" s="39" t="n">
        <f aca="false">IF(AND(BM$4&gt;=$D$10,BM$4&lt;$D$10+$D$11),1,0)</f>
        <v>1</v>
      </c>
      <c r="BN45" s="39" t="n">
        <f aca="false">IF(AND(BN$4&gt;=$D$10,BN$4&lt;$D$10+$D$11),1,0)</f>
        <v>1</v>
      </c>
      <c r="BO45" s="39" t="n">
        <f aca="false">IF(AND(BO$4&gt;=$D$10,BO$4&lt;$D$10+$D$11),1,0)</f>
        <v>1</v>
      </c>
      <c r="BP45" s="39" t="n">
        <f aca="false">IF(AND(BP$4&gt;=$D$10,BP$4&lt;$D$10+$D$11),1,0)</f>
        <v>1</v>
      </c>
      <c r="BQ45" s="39" t="n">
        <f aca="false">IF(AND(BQ$4&gt;=$D$10,BQ$4&lt;$D$10+$D$11),1,0)</f>
        <v>1</v>
      </c>
      <c r="BR45" s="39" t="n">
        <f aca="false">IF(AND(BR$4&gt;=$D$10,BR$4&lt;$D$10+$D$11),1,0)</f>
        <v>1</v>
      </c>
      <c r="BS45" s="39" t="n">
        <f aca="false">IF(AND(BS$4&gt;=$D$10,BS$4&lt;$D$10+$D$11),1,0)</f>
        <v>1</v>
      </c>
      <c r="BT45" s="39" t="n">
        <f aca="false">IF(AND(BT$4&gt;=$D$10,BT$4&lt;$D$10+$D$11),1,0)</f>
        <v>1</v>
      </c>
      <c r="BU45" s="39" t="n">
        <f aca="false">IF(AND(BU$4&gt;=$D$10,BU$4&lt;$D$10+$D$11),1,0)</f>
        <v>1</v>
      </c>
      <c r="BV45" s="39" t="n">
        <f aca="false">IF(AND(BV$4&gt;=$D$10,BV$4&lt;$D$10+$D$11),1,0)</f>
        <v>1</v>
      </c>
      <c r="BW45" s="39" t="n">
        <f aca="false">IF(AND(BW$4&gt;=$D$10,BW$4&lt;$D$10+$D$11),1,0)</f>
        <v>0</v>
      </c>
      <c r="BX45" s="39" t="n">
        <f aca="false">IF(AND(BX$4&gt;=$D$10,BX$4&lt;$D$10+$D$11),1,0)</f>
        <v>0</v>
      </c>
    </row>
    <row r="46" customFormat="false" ht="15" hidden="false" customHeight="false" outlineLevel="0" collapsed="false">
      <c r="A46" s="1"/>
      <c r="B46" s="8" t="s">
        <v>310</v>
      </c>
      <c r="C46" s="8" t="s">
        <v>46</v>
      </c>
      <c r="D46" s="1"/>
      <c r="E46" s="1"/>
      <c r="F46" s="1"/>
      <c r="G46" s="39" t="n">
        <f aca="false">IF(G45=1,G$4-$D$10+1,0)</f>
        <v>0</v>
      </c>
      <c r="H46" s="39" t="n">
        <f aca="false">IF(H45=1,H$4-$D$10+1,0)</f>
        <v>0</v>
      </c>
      <c r="I46" s="39" t="n">
        <f aca="false">IF(I45=1,I$4-$D$10+1,0)</f>
        <v>0</v>
      </c>
      <c r="J46" s="39" t="n">
        <f aca="false">IF(J45=1,J$4-$D$10+1,0)</f>
        <v>0</v>
      </c>
      <c r="K46" s="39" t="n">
        <f aca="false">IF(K45=1,K$4-$D$10+1,0)</f>
        <v>0</v>
      </c>
      <c r="L46" s="39" t="n">
        <f aca="false">IF(L45=1,L$4-$D$10+1,0)</f>
        <v>0</v>
      </c>
      <c r="M46" s="39" t="n">
        <f aca="false">IF(M45=1,M$4-$D$10+1,0)</f>
        <v>0</v>
      </c>
      <c r="N46" s="39" t="n">
        <f aca="false">IF(N45=1,N$4-$D$10+1,0)</f>
        <v>0</v>
      </c>
      <c r="O46" s="39" t="n">
        <f aca="false">IF(O45=1,O$4-$D$10+1,0)</f>
        <v>1</v>
      </c>
      <c r="P46" s="39" t="n">
        <f aca="false">IF(P45=1,P$4-$D$10+1,0)</f>
        <v>2</v>
      </c>
      <c r="Q46" s="39" t="n">
        <f aca="false">IF(Q45=1,Q$4-$D$10+1,0)</f>
        <v>3</v>
      </c>
      <c r="R46" s="39" t="n">
        <f aca="false">IF(R45=1,R$4-$D$10+1,0)</f>
        <v>4</v>
      </c>
      <c r="S46" s="39" t="n">
        <f aca="false">IF(S45=1,S$4-$D$10+1,0)</f>
        <v>5</v>
      </c>
      <c r="T46" s="39" t="n">
        <f aca="false">IF(T45=1,T$4-$D$10+1,0)</f>
        <v>6</v>
      </c>
      <c r="U46" s="39" t="n">
        <f aca="false">IF(U45=1,U$4-$D$10+1,0)</f>
        <v>7</v>
      </c>
      <c r="V46" s="39" t="n">
        <f aca="false">IF(V45=1,V$4-$D$10+1,0)</f>
        <v>8</v>
      </c>
      <c r="W46" s="39" t="n">
        <f aca="false">IF(W45=1,W$4-$D$10+1,0)</f>
        <v>9</v>
      </c>
      <c r="X46" s="39" t="n">
        <f aca="false">IF(X45=1,X$4-$D$10+1,0)</f>
        <v>10</v>
      </c>
      <c r="Y46" s="39" t="n">
        <f aca="false">IF(Y45=1,Y$4-$D$10+1,0)</f>
        <v>11</v>
      </c>
      <c r="Z46" s="39" t="n">
        <f aca="false">IF(Z45=1,Z$4-$D$10+1,0)</f>
        <v>12</v>
      </c>
      <c r="AA46" s="39" t="n">
        <f aca="false">IF(AA45=1,AA$4-$D$10+1,0)</f>
        <v>13</v>
      </c>
      <c r="AB46" s="39" t="n">
        <f aca="false">IF(AB45=1,AB$4-$D$10+1,0)</f>
        <v>14</v>
      </c>
      <c r="AC46" s="39" t="n">
        <f aca="false">IF(AC45=1,AC$4-$D$10+1,0)</f>
        <v>15</v>
      </c>
      <c r="AD46" s="39" t="n">
        <f aca="false">IF(AD45=1,AD$4-$D$10+1,0)</f>
        <v>16</v>
      </c>
      <c r="AE46" s="39" t="n">
        <f aca="false">IF(AE45=1,AE$4-$D$10+1,0)</f>
        <v>17</v>
      </c>
      <c r="AF46" s="39" t="n">
        <f aca="false">IF(AF45=1,AF$4-$D$10+1,0)</f>
        <v>18</v>
      </c>
      <c r="AG46" s="39" t="n">
        <f aca="false">IF(AG45=1,AG$4-$D$10+1,0)</f>
        <v>19</v>
      </c>
      <c r="AH46" s="39" t="n">
        <f aca="false">IF(AH45=1,AH$4-$D$10+1,0)</f>
        <v>20</v>
      </c>
      <c r="AI46" s="39" t="n">
        <f aca="false">IF(AI45=1,AI$4-$D$10+1,0)</f>
        <v>21</v>
      </c>
      <c r="AJ46" s="39" t="n">
        <f aca="false">IF(AJ45=1,AJ$4-$D$10+1,0)</f>
        <v>22</v>
      </c>
      <c r="AK46" s="39" t="n">
        <f aca="false">IF(AK45=1,AK$4-$D$10+1,0)</f>
        <v>23</v>
      </c>
      <c r="AL46" s="39" t="n">
        <f aca="false">IF(AL45=1,AL$4-$D$10+1,0)</f>
        <v>24</v>
      </c>
      <c r="AM46" s="39" t="n">
        <f aca="false">IF(AM45=1,AM$4-$D$10+1,0)</f>
        <v>25</v>
      </c>
      <c r="AN46" s="39" t="n">
        <f aca="false">IF(AN45=1,AN$4-$D$10+1,0)</f>
        <v>26</v>
      </c>
      <c r="AO46" s="39" t="n">
        <f aca="false">IF(AO45=1,AO$4-$D$10+1,0)</f>
        <v>27</v>
      </c>
      <c r="AP46" s="39" t="n">
        <f aca="false">IF(AP45=1,AP$4-$D$10+1,0)</f>
        <v>28</v>
      </c>
      <c r="AQ46" s="39" t="n">
        <f aca="false">IF(AQ45=1,AQ$4-$D$10+1,0)</f>
        <v>29</v>
      </c>
      <c r="AR46" s="39" t="n">
        <f aca="false">IF(AR45=1,AR$4-$D$10+1,0)</f>
        <v>30</v>
      </c>
      <c r="AS46" s="39" t="n">
        <f aca="false">IF(AS45=1,AS$4-$D$10+1,0)</f>
        <v>31</v>
      </c>
      <c r="AT46" s="39" t="n">
        <f aca="false">IF(AT45=1,AT$4-$D$10+1,0)</f>
        <v>32</v>
      </c>
      <c r="AU46" s="39" t="n">
        <f aca="false">IF(AU45=1,AU$4-$D$10+1,0)</f>
        <v>33</v>
      </c>
      <c r="AV46" s="39" t="n">
        <f aca="false">IF(AV45=1,AV$4-$D$10+1,0)</f>
        <v>34</v>
      </c>
      <c r="AW46" s="39" t="n">
        <f aca="false">IF(AW45=1,AW$4-$D$10+1,0)</f>
        <v>35</v>
      </c>
      <c r="AX46" s="39" t="n">
        <f aca="false">IF(AX45=1,AX$4-$D$10+1,0)</f>
        <v>36</v>
      </c>
      <c r="AY46" s="39" t="n">
        <f aca="false">IF(AY45=1,AY$4-$D$10+1,0)</f>
        <v>37</v>
      </c>
      <c r="AZ46" s="39" t="n">
        <f aca="false">IF(AZ45=1,AZ$4-$D$10+1,0)</f>
        <v>38</v>
      </c>
      <c r="BA46" s="39" t="n">
        <f aca="false">IF(BA45=1,BA$4-$D$10+1,0)</f>
        <v>39</v>
      </c>
      <c r="BB46" s="39" t="n">
        <f aca="false">IF(BB45=1,BB$4-$D$10+1,0)</f>
        <v>40</v>
      </c>
      <c r="BC46" s="39" t="n">
        <f aca="false">IF(BC45=1,BC$4-$D$10+1,0)</f>
        <v>41</v>
      </c>
      <c r="BD46" s="39" t="n">
        <f aca="false">IF(BD45=1,BD$4-$D$10+1,0)</f>
        <v>42</v>
      </c>
      <c r="BE46" s="39" t="n">
        <f aca="false">IF(BE45=1,BE$4-$D$10+1,0)</f>
        <v>43</v>
      </c>
      <c r="BF46" s="39" t="n">
        <f aca="false">IF(BF45=1,BF$4-$D$10+1,0)</f>
        <v>44</v>
      </c>
      <c r="BG46" s="39" t="n">
        <f aca="false">IF(BG45=1,BG$4-$D$10+1,0)</f>
        <v>45</v>
      </c>
      <c r="BH46" s="39" t="n">
        <f aca="false">IF(BH45=1,BH$4-$D$10+1,0)</f>
        <v>46</v>
      </c>
      <c r="BI46" s="39" t="n">
        <f aca="false">IF(BI45=1,BI$4-$D$10+1,0)</f>
        <v>47</v>
      </c>
      <c r="BJ46" s="39" t="n">
        <f aca="false">IF(BJ45=1,BJ$4-$D$10+1,0)</f>
        <v>48</v>
      </c>
      <c r="BK46" s="39" t="n">
        <f aca="false">IF(BK45=1,BK$4-$D$10+1,0)</f>
        <v>49</v>
      </c>
      <c r="BL46" s="39" t="n">
        <f aca="false">IF(BL45=1,BL$4-$D$10+1,0)</f>
        <v>50</v>
      </c>
      <c r="BM46" s="39" t="n">
        <f aca="false">IF(BM45=1,BM$4-$D$10+1,0)</f>
        <v>51</v>
      </c>
      <c r="BN46" s="39" t="n">
        <f aca="false">IF(BN45=1,BN$4-$D$10+1,0)</f>
        <v>52</v>
      </c>
      <c r="BO46" s="39" t="n">
        <f aca="false">IF(BO45=1,BO$4-$D$10+1,0)</f>
        <v>53</v>
      </c>
      <c r="BP46" s="39" t="n">
        <f aca="false">IF(BP45=1,BP$4-$D$10+1,0)</f>
        <v>54</v>
      </c>
      <c r="BQ46" s="39" t="n">
        <f aca="false">IF(BQ45=1,BQ$4-$D$10+1,0)</f>
        <v>55</v>
      </c>
      <c r="BR46" s="39" t="n">
        <f aca="false">IF(BR45=1,BR$4-$D$10+1,0)</f>
        <v>56</v>
      </c>
      <c r="BS46" s="39" t="n">
        <f aca="false">IF(BS45=1,BS$4-$D$10+1,0)</f>
        <v>57</v>
      </c>
      <c r="BT46" s="39" t="n">
        <f aca="false">IF(BT45=1,BT$4-$D$10+1,0)</f>
        <v>58</v>
      </c>
      <c r="BU46" s="39" t="n">
        <f aca="false">IF(BU45=1,BU$4-$D$10+1,0)</f>
        <v>59</v>
      </c>
      <c r="BV46" s="39" t="n">
        <f aca="false">IF(BV45=1,BV$4-$D$10+1,0)</f>
        <v>60</v>
      </c>
      <c r="BW46" s="39" t="n">
        <f aca="false">IF(BW45=1,BW$4-$D$10+1,0)</f>
        <v>0</v>
      </c>
      <c r="BX46" s="39" t="n">
        <f aca="false">IF(BX45=1,BX$4-$D$10+1,0)</f>
        <v>0</v>
      </c>
    </row>
    <row r="47" customFormat="false" ht="15" hidden="false" customHeight="false" outlineLevel="0" collapsed="false">
      <c r="A47" s="1"/>
      <c r="B47" s="8" t="s">
        <v>311</v>
      </c>
      <c r="C47" s="8" t="s">
        <v>46</v>
      </c>
      <c r="D47" s="1"/>
      <c r="E47" s="1"/>
      <c r="F47" s="1"/>
      <c r="G47" s="39" t="n">
        <f aca="false">G$4-$D$12</f>
        <v>-3</v>
      </c>
      <c r="H47" s="39" t="n">
        <f aca="false">H$4-$D$12</f>
        <v>-2</v>
      </c>
      <c r="I47" s="39" t="n">
        <f aca="false">I$4-$D$12</f>
        <v>-1</v>
      </c>
      <c r="J47" s="39" t="n">
        <f aca="false">J$4-$D$12</f>
        <v>0</v>
      </c>
      <c r="K47" s="39" t="n">
        <f aca="false">K$4-$D$12</f>
        <v>1</v>
      </c>
      <c r="L47" s="39" t="n">
        <f aca="false">L$4-$D$12</f>
        <v>2</v>
      </c>
      <c r="M47" s="39" t="n">
        <f aca="false">M$4-$D$12</f>
        <v>3</v>
      </c>
      <c r="N47" s="39" t="n">
        <f aca="false">N$4-$D$12</f>
        <v>4</v>
      </c>
      <c r="O47" s="39" t="n">
        <f aca="false">O$4-$D$12</f>
        <v>5</v>
      </c>
      <c r="P47" s="39" t="n">
        <f aca="false">P$4-$D$12</f>
        <v>6</v>
      </c>
      <c r="Q47" s="39" t="n">
        <f aca="false">Q$4-$D$12</f>
        <v>7</v>
      </c>
      <c r="R47" s="39" t="n">
        <f aca="false">R$4-$D$12</f>
        <v>8</v>
      </c>
      <c r="S47" s="39" t="n">
        <f aca="false">S$4-$D$12</f>
        <v>9</v>
      </c>
      <c r="T47" s="39" t="n">
        <f aca="false">T$4-$D$12</f>
        <v>10</v>
      </c>
      <c r="U47" s="39" t="n">
        <f aca="false">U$4-$D$12</f>
        <v>11</v>
      </c>
      <c r="V47" s="39" t="n">
        <f aca="false">V$4-$D$12</f>
        <v>12</v>
      </c>
      <c r="W47" s="39" t="n">
        <f aca="false">W$4-$D$12</f>
        <v>13</v>
      </c>
      <c r="X47" s="39" t="n">
        <f aca="false">X$4-$D$12</f>
        <v>14</v>
      </c>
      <c r="Y47" s="39" t="n">
        <f aca="false">Y$4-$D$12</f>
        <v>15</v>
      </c>
      <c r="Z47" s="39" t="n">
        <f aca="false">Z$4-$D$12</f>
        <v>16</v>
      </c>
      <c r="AA47" s="39" t="n">
        <f aca="false">AA$4-$D$12</f>
        <v>17</v>
      </c>
      <c r="AB47" s="39" t="n">
        <f aca="false">AB$4-$D$12</f>
        <v>18</v>
      </c>
      <c r="AC47" s="39" t="n">
        <f aca="false">AC$4-$D$12</f>
        <v>19</v>
      </c>
      <c r="AD47" s="39" t="n">
        <f aca="false">AD$4-$D$12</f>
        <v>20</v>
      </c>
      <c r="AE47" s="39" t="n">
        <f aca="false">AE$4-$D$12</f>
        <v>21</v>
      </c>
      <c r="AF47" s="39" t="n">
        <f aca="false">AF$4-$D$12</f>
        <v>22</v>
      </c>
      <c r="AG47" s="39" t="n">
        <f aca="false">AG$4-$D$12</f>
        <v>23</v>
      </c>
      <c r="AH47" s="39" t="n">
        <f aca="false">AH$4-$D$12</f>
        <v>24</v>
      </c>
      <c r="AI47" s="39" t="n">
        <f aca="false">AI$4-$D$12</f>
        <v>25</v>
      </c>
      <c r="AJ47" s="39" t="n">
        <f aca="false">AJ$4-$D$12</f>
        <v>26</v>
      </c>
      <c r="AK47" s="39" t="n">
        <f aca="false">AK$4-$D$12</f>
        <v>27</v>
      </c>
      <c r="AL47" s="39" t="n">
        <f aca="false">AL$4-$D$12</f>
        <v>28</v>
      </c>
      <c r="AM47" s="39" t="n">
        <f aca="false">AM$4-$D$12</f>
        <v>29</v>
      </c>
      <c r="AN47" s="39" t="n">
        <f aca="false">AN$4-$D$12</f>
        <v>30</v>
      </c>
      <c r="AO47" s="39" t="n">
        <f aca="false">AO$4-$D$12</f>
        <v>31</v>
      </c>
      <c r="AP47" s="39" t="n">
        <f aca="false">AP$4-$D$12</f>
        <v>32</v>
      </c>
      <c r="AQ47" s="39" t="n">
        <f aca="false">AQ$4-$D$12</f>
        <v>33</v>
      </c>
      <c r="AR47" s="39" t="n">
        <f aca="false">AR$4-$D$12</f>
        <v>34</v>
      </c>
      <c r="AS47" s="39" t="n">
        <f aca="false">AS$4-$D$12</f>
        <v>35</v>
      </c>
      <c r="AT47" s="39" t="n">
        <f aca="false">AT$4-$D$12</f>
        <v>36</v>
      </c>
      <c r="AU47" s="39" t="n">
        <f aca="false">AU$4-$D$12</f>
        <v>37</v>
      </c>
      <c r="AV47" s="39" t="n">
        <f aca="false">AV$4-$D$12</f>
        <v>38</v>
      </c>
      <c r="AW47" s="39" t="n">
        <f aca="false">AW$4-$D$12</f>
        <v>39</v>
      </c>
      <c r="AX47" s="39" t="n">
        <f aca="false">AX$4-$D$12</f>
        <v>40</v>
      </c>
      <c r="AY47" s="39" t="n">
        <f aca="false">AY$4-$D$12</f>
        <v>41</v>
      </c>
      <c r="AZ47" s="39" t="n">
        <f aca="false">AZ$4-$D$12</f>
        <v>42</v>
      </c>
      <c r="BA47" s="39" t="n">
        <f aca="false">BA$4-$D$12</f>
        <v>43</v>
      </c>
      <c r="BB47" s="39" t="n">
        <f aca="false">BB$4-$D$12</f>
        <v>44</v>
      </c>
      <c r="BC47" s="39" t="n">
        <f aca="false">BC$4-$D$12</f>
        <v>45</v>
      </c>
      <c r="BD47" s="39" t="n">
        <f aca="false">BD$4-$D$12</f>
        <v>46</v>
      </c>
      <c r="BE47" s="39" t="n">
        <f aca="false">BE$4-$D$12</f>
        <v>47</v>
      </c>
      <c r="BF47" s="39" t="n">
        <f aca="false">BF$4-$D$12</f>
        <v>48</v>
      </c>
      <c r="BG47" s="39" t="n">
        <f aca="false">BG$4-$D$12</f>
        <v>49</v>
      </c>
      <c r="BH47" s="39" t="n">
        <f aca="false">BH$4-$D$12</f>
        <v>50</v>
      </c>
      <c r="BI47" s="39" t="n">
        <f aca="false">BI$4-$D$12</f>
        <v>51</v>
      </c>
      <c r="BJ47" s="39" t="n">
        <f aca="false">BJ$4-$D$12</f>
        <v>52</v>
      </c>
      <c r="BK47" s="39" t="n">
        <f aca="false">BK$4-$D$12</f>
        <v>53</v>
      </c>
      <c r="BL47" s="39" t="n">
        <f aca="false">BL$4-$D$12</f>
        <v>54</v>
      </c>
      <c r="BM47" s="39" t="n">
        <f aca="false">BM$4-$D$12</f>
        <v>55</v>
      </c>
      <c r="BN47" s="39" t="n">
        <f aca="false">BN$4-$D$12</f>
        <v>56</v>
      </c>
      <c r="BO47" s="39" t="n">
        <f aca="false">BO$4-$D$12</f>
        <v>57</v>
      </c>
      <c r="BP47" s="39" t="n">
        <f aca="false">BP$4-$D$12</f>
        <v>58</v>
      </c>
      <c r="BQ47" s="39" t="n">
        <f aca="false">BQ$4-$D$12</f>
        <v>59</v>
      </c>
      <c r="BR47" s="39" t="n">
        <f aca="false">BR$4-$D$12</f>
        <v>60</v>
      </c>
      <c r="BS47" s="39" t="n">
        <f aca="false">BS$4-$D$12</f>
        <v>61</v>
      </c>
      <c r="BT47" s="39" t="n">
        <f aca="false">BT$4-$D$12</f>
        <v>62</v>
      </c>
      <c r="BU47" s="39" t="n">
        <f aca="false">BU$4-$D$12</f>
        <v>63</v>
      </c>
      <c r="BV47" s="39" t="n">
        <f aca="false">BV$4-$D$12</f>
        <v>64</v>
      </c>
      <c r="BW47" s="39" t="n">
        <f aca="false">BW$4-$D$12</f>
        <v>65</v>
      </c>
      <c r="BX47" s="39" t="n">
        <f aca="false">BX$4-$D$12</f>
        <v>66</v>
      </c>
    </row>
    <row r="48" customFormat="false" ht="15" hidden="false" customHeight="false" outlineLevel="0" collapsed="false">
      <c r="A48" s="1"/>
      <c r="B48" s="8" t="s">
        <v>312</v>
      </c>
      <c r="C48" s="8" t="s">
        <v>46</v>
      </c>
      <c r="D48" s="1"/>
      <c r="E48" s="1"/>
      <c r="F48" s="1"/>
      <c r="G48" s="47" t="n">
        <f aca="false">IF(G$4&gt;=$D$12,1/(1+$D$13)^G47,0)</f>
        <v>0</v>
      </c>
      <c r="H48" s="47" t="n">
        <f aca="false">IF(H$4&gt;=$D$12,1/(1+$D$13)^H47,0)</f>
        <v>0</v>
      </c>
      <c r="I48" s="47" t="n">
        <f aca="false">IF(I$4&gt;=$D$12,1/(1+$D$13)^I47,0)</f>
        <v>0</v>
      </c>
      <c r="J48" s="47" t="n">
        <f aca="false">IF(J$4&gt;=$D$12,1/(1+$D$13)^J47,0)</f>
        <v>1</v>
      </c>
      <c r="K48" s="47" t="n">
        <f aca="false">IF(K$4&gt;=$D$12,1/(1+$D$13)^K47,0)</f>
        <v>0.952380952380952</v>
      </c>
      <c r="L48" s="47" t="n">
        <f aca="false">IF(L$4&gt;=$D$12,1/(1+$D$13)^L47,0)</f>
        <v>0.90702947845805</v>
      </c>
      <c r="M48" s="47" t="n">
        <f aca="false">IF(M$4&gt;=$D$12,1/(1+$D$13)^M47,0)</f>
        <v>0.863837598531476</v>
      </c>
      <c r="N48" s="47" t="n">
        <f aca="false">IF(N$4&gt;=$D$12,1/(1+$D$13)^N47,0)</f>
        <v>0.822702474791882</v>
      </c>
      <c r="O48" s="47" t="n">
        <f aca="false">IF(O$4&gt;=$D$12,1/(1+$D$13)^O47,0)</f>
        <v>0.783526166468459</v>
      </c>
      <c r="P48" s="47" t="n">
        <f aca="false">IF(P$4&gt;=$D$12,1/(1+$D$13)^P47,0)</f>
        <v>0.746215396636627</v>
      </c>
      <c r="Q48" s="47" t="n">
        <f aca="false">IF(Q$4&gt;=$D$12,1/(1+$D$13)^Q47,0)</f>
        <v>0.710681330130121</v>
      </c>
      <c r="R48" s="47" t="n">
        <f aca="false">IF(R$4&gt;=$D$12,1/(1+$D$13)^R47,0)</f>
        <v>0.676839362028687</v>
      </c>
      <c r="S48" s="47" t="n">
        <f aca="false">IF(S$4&gt;=$D$12,1/(1+$D$13)^S47,0)</f>
        <v>0.644608916217797</v>
      </c>
      <c r="T48" s="47" t="n">
        <f aca="false">IF(T$4&gt;=$D$12,1/(1+$D$13)^T47,0)</f>
        <v>0.613913253540759</v>
      </c>
      <c r="U48" s="47" t="n">
        <f aca="false">IF(U$4&gt;=$D$12,1/(1+$D$13)^U47,0)</f>
        <v>0.584679289086437</v>
      </c>
      <c r="V48" s="47" t="n">
        <f aca="false">IF(V$4&gt;=$D$12,1/(1+$D$13)^V47,0)</f>
        <v>0.556837418177559</v>
      </c>
      <c r="W48" s="47" t="n">
        <f aca="false">IF(W$4&gt;=$D$12,1/(1+$D$13)^W47,0)</f>
        <v>0.530321350645295</v>
      </c>
      <c r="X48" s="47" t="n">
        <f aca="false">IF(X$4&gt;=$D$12,1/(1+$D$13)^X47,0)</f>
        <v>0.505067952995519</v>
      </c>
      <c r="Y48" s="47" t="n">
        <f aca="false">IF(Y$4&gt;=$D$12,1/(1+$D$13)^Y47,0)</f>
        <v>0.48101709809097</v>
      </c>
      <c r="Z48" s="47" t="n">
        <f aca="false">IF(Z$4&gt;=$D$12,1/(1+$D$13)^Z47,0)</f>
        <v>0.4581115219914</v>
      </c>
      <c r="AA48" s="47" t="n">
        <f aca="false">IF(AA$4&gt;=$D$12,1/(1+$D$13)^AA47,0)</f>
        <v>0.436296687610857</v>
      </c>
      <c r="AB48" s="47" t="n">
        <f aca="false">IF(AB$4&gt;=$D$12,1/(1+$D$13)^AB47,0)</f>
        <v>0.415520654867483</v>
      </c>
      <c r="AC48" s="47" t="n">
        <f aca="false">IF(AC$4&gt;=$D$12,1/(1+$D$13)^AC47,0)</f>
        <v>0.39573395701665</v>
      </c>
      <c r="AD48" s="47" t="n">
        <f aca="false">IF(AD$4&gt;=$D$12,1/(1+$D$13)^AD47,0)</f>
        <v>0.376889482873</v>
      </c>
      <c r="AE48" s="47" t="n">
        <f aca="false">IF(AE$4&gt;=$D$12,1/(1+$D$13)^AE47,0)</f>
        <v>0.358942364640953</v>
      </c>
      <c r="AF48" s="47" t="n">
        <f aca="false">IF(AF$4&gt;=$D$12,1/(1+$D$13)^AF47,0)</f>
        <v>0.341849871086622</v>
      </c>
      <c r="AG48" s="47" t="n">
        <f aca="false">IF(AG$4&gt;=$D$12,1/(1+$D$13)^AG47,0)</f>
        <v>0.325571305796783</v>
      </c>
      <c r="AH48" s="47" t="n">
        <f aca="false">IF(AH$4&gt;=$D$12,1/(1+$D$13)^AH47,0)</f>
        <v>0.31006791028265</v>
      </c>
      <c r="AI48" s="47" t="n">
        <f aca="false">IF(AI$4&gt;=$D$12,1/(1+$D$13)^AI47,0)</f>
        <v>0.295302771697762</v>
      </c>
      <c r="AJ48" s="47" t="n">
        <f aca="false">IF(AJ$4&gt;=$D$12,1/(1+$D$13)^AJ47,0)</f>
        <v>0.281240734950249</v>
      </c>
      <c r="AK48" s="47" t="n">
        <f aca="false">IF(AK$4&gt;=$D$12,1/(1+$D$13)^AK47,0)</f>
        <v>0.267848319000238</v>
      </c>
      <c r="AL48" s="47" t="n">
        <f aca="false">IF(AL$4&gt;=$D$12,1/(1+$D$13)^AL47,0)</f>
        <v>0.255093637143083</v>
      </c>
      <c r="AM48" s="47" t="n">
        <f aca="false">IF(AM$4&gt;=$D$12,1/(1+$D$13)^AM47,0)</f>
        <v>0.242946321088651</v>
      </c>
      <c r="AN48" s="47" t="n">
        <f aca="false">IF(AN$4&gt;=$D$12,1/(1+$D$13)^AN47,0)</f>
        <v>0.231377448655858</v>
      </c>
      <c r="AO48" s="47" t="n">
        <f aca="false">IF(AO$4&gt;=$D$12,1/(1+$D$13)^AO47,0)</f>
        <v>0.220359474910341</v>
      </c>
      <c r="AP48" s="47" t="n">
        <f aca="false">IF(AP$4&gt;=$D$12,1/(1+$D$13)^AP47,0)</f>
        <v>0.209866166581277</v>
      </c>
      <c r="AQ48" s="47" t="n">
        <f aca="false">IF(AQ$4&gt;=$D$12,1/(1+$D$13)^AQ47,0)</f>
        <v>0.199872539601216</v>
      </c>
      <c r="AR48" s="47" t="n">
        <f aca="false">IF(AR$4&gt;=$D$12,1/(1+$D$13)^AR47,0)</f>
        <v>0.190354799620206</v>
      </c>
      <c r="AS48" s="47" t="n">
        <f aca="false">IF(AS$4&gt;=$D$12,1/(1+$D$13)^AS47,0)</f>
        <v>0.181290285352577</v>
      </c>
      <c r="AT48" s="47" t="n">
        <f aca="false">IF(AT$4&gt;=$D$12,1/(1+$D$13)^AT47,0)</f>
        <v>0.172657414621502</v>
      </c>
      <c r="AU48" s="47" t="n">
        <f aca="false">IF(AU$4&gt;=$D$12,1/(1+$D$13)^AU47,0)</f>
        <v>0.164435632972859</v>
      </c>
      <c r="AV48" s="47" t="n">
        <f aca="false">IF(AV$4&gt;=$D$12,1/(1+$D$13)^AV47,0)</f>
        <v>0.156605364736056</v>
      </c>
      <c r="AW48" s="47" t="n">
        <f aca="false">IF(AW$4&gt;=$D$12,1/(1+$D$13)^AW47,0)</f>
        <v>0.149147966415292</v>
      </c>
      <c r="AX48" s="47" t="n">
        <f aca="false">IF(AX$4&gt;=$D$12,1/(1+$D$13)^AX47,0)</f>
        <v>0.142045682300278</v>
      </c>
      <c r="AY48" s="47" t="n">
        <f aca="false">IF(AY$4&gt;=$D$12,1/(1+$D$13)^AY47,0)</f>
        <v>0.135281602190741</v>
      </c>
      <c r="AZ48" s="47" t="n">
        <f aca="false">IF(AZ$4&gt;=$D$12,1/(1+$D$13)^AZ47,0)</f>
        <v>0.128839621134039</v>
      </c>
      <c r="BA48" s="47" t="n">
        <f aca="false">IF(BA$4&gt;=$D$12,1/(1+$D$13)^BA47,0)</f>
        <v>0.122704401080037</v>
      </c>
      <c r="BB48" s="47" t="n">
        <f aca="false">IF(BB$4&gt;=$D$12,1/(1+$D$13)^BB47,0)</f>
        <v>0.11686133436194</v>
      </c>
      <c r="BC48" s="47" t="n">
        <f aca="false">IF(BC$4&gt;=$D$12,1/(1+$D$13)^BC47,0)</f>
        <v>0.111296508916133</v>
      </c>
      <c r="BD48" s="47" t="n">
        <f aca="false">IF(BD$4&gt;=$D$12,1/(1+$D$13)^BD47,0)</f>
        <v>0.105996675158222</v>
      </c>
      <c r="BE48" s="47" t="n">
        <f aca="false">IF(BE$4&gt;=$D$12,1/(1+$D$13)^BE47,0)</f>
        <v>0.100949214436402</v>
      </c>
      <c r="BF48" s="47" t="n">
        <f aca="false">IF(BF$4&gt;=$D$12,1/(1+$D$13)^BF47,0)</f>
        <v>0.0961421089870495</v>
      </c>
      <c r="BG48" s="47" t="n">
        <f aca="false">IF(BG$4&gt;=$D$12,1/(1+$D$13)^BG47,0)</f>
        <v>0.0915639133209995</v>
      </c>
      <c r="BH48" s="47" t="n">
        <f aca="false">IF(BH$4&gt;=$D$12,1/(1+$D$13)^BH47,0)</f>
        <v>0.0872037269723805</v>
      </c>
      <c r="BI48" s="47" t="n">
        <f aca="false">IF(BI$4&gt;=$D$12,1/(1+$D$13)^BI47,0)</f>
        <v>0.0830511685451243</v>
      </c>
      <c r="BJ48" s="47" t="n">
        <f aca="false">IF(BJ$4&gt;=$D$12,1/(1+$D$13)^BJ47,0)</f>
        <v>0.0790963509953564</v>
      </c>
      <c r="BK48" s="47" t="n">
        <f aca="false">IF(BK$4&gt;=$D$12,1/(1+$D$13)^BK47,0)</f>
        <v>0.0753298580908157</v>
      </c>
      <c r="BL48" s="47" t="n">
        <f aca="false">IF(BL$4&gt;=$D$12,1/(1+$D$13)^BL47,0)</f>
        <v>0.071742721991253</v>
      </c>
      <c r="BM48" s="47" t="n">
        <f aca="false">IF(BM$4&gt;=$D$12,1/(1+$D$13)^BM47,0)</f>
        <v>0.0683264018964314</v>
      </c>
      <c r="BN48" s="47" t="n">
        <f aca="false">IF(BN$4&gt;=$D$12,1/(1+$D$13)^BN47,0)</f>
        <v>0.0650727637108871</v>
      </c>
      <c r="BO48" s="47" t="n">
        <f aca="false">IF(BO$4&gt;=$D$12,1/(1+$D$13)^BO47,0)</f>
        <v>0.0619740606770353</v>
      </c>
      <c r="BP48" s="47" t="n">
        <f aca="false">IF(BP$4&gt;=$D$12,1/(1+$D$13)^BP47,0)</f>
        <v>0.0590229149305098</v>
      </c>
      <c r="BQ48" s="47" t="n">
        <f aca="false">IF(BQ$4&gt;=$D$12,1/(1+$D$13)^BQ47,0)</f>
        <v>0.0562122999338189</v>
      </c>
      <c r="BR48" s="47" t="n">
        <f aca="false">IF(BR$4&gt;=$D$12,1/(1+$D$13)^BR47,0)</f>
        <v>0.0535355237464941</v>
      </c>
      <c r="BS48" s="47" t="n">
        <f aca="false">IF(BS$4&gt;=$D$12,1/(1+$D$13)^BS47,0)</f>
        <v>0.0509862130918992</v>
      </c>
      <c r="BT48" s="47" t="n">
        <f aca="false">IF(BT$4&gt;=$D$12,1/(1+$D$13)^BT47,0)</f>
        <v>0.0485582981827611</v>
      </c>
      <c r="BU48" s="47" t="n">
        <f aca="false">IF(BU$4&gt;=$D$12,1/(1+$D$13)^BU47,0)</f>
        <v>0.0462459982692963</v>
      </c>
      <c r="BV48" s="47" t="n">
        <f aca="false">IF(BV$4&gt;=$D$12,1/(1+$D$13)^BV47,0)</f>
        <v>0.0440438078755203</v>
      </c>
      <c r="BW48" s="47" t="n">
        <f aca="false">IF(BW$4&gt;=$D$12,1/(1+$D$13)^BW47,0)</f>
        <v>0.0419464836909717</v>
      </c>
      <c r="BX48" s="47" t="n">
        <f aca="false">IF(BX$4&gt;=$D$12,1/(1+$D$13)^BX47,0)</f>
        <v>0.0399490320866397</v>
      </c>
    </row>
    <row r="49" customFormat="false" ht="15" hidden="false" customHeight="false" outlineLevel="0" collapsed="false">
      <c r="A49" s="1"/>
      <c r="B49" s="8" t="s">
        <v>313</v>
      </c>
      <c r="C49" s="8" t="s">
        <v>66</v>
      </c>
      <c r="D49" s="1"/>
      <c r="E49" s="1"/>
      <c r="F49" s="1"/>
      <c r="G49" s="43" t="n">
        <f aca="false">IF(G44=1,1+1.7*SIN(PI()*((G$4-$D$12+0.5)/$D$9))^2,0)</f>
        <v>0</v>
      </c>
      <c r="H49" s="43" t="n">
        <f aca="false">IF(H44=1,1+1.7*SIN(PI()*((H$4-$D$12+0.5)/$D$9))^2,0)</f>
        <v>0</v>
      </c>
      <c r="I49" s="43" t="n">
        <f aca="false">IF(I44=1,1+1.7*SIN(PI()*((I$4-$D$12+0.5)/$D$9))^2,0)</f>
        <v>0</v>
      </c>
      <c r="J49" s="43" t="n">
        <f aca="false">IF(J44=1,1+1.7*SIN(PI()*((J$4-$D$12+0.5)/$D$9))^2,0)</f>
        <v>1.16233555478129</v>
      </c>
      <c r="K49" s="43" t="n">
        <f aca="false">IF(K44=1,1+1.7*SIN(PI()*((K$4-$D$12+0.5)/$D$9))^2,0)</f>
        <v>2.11266444521871</v>
      </c>
      <c r="L49" s="43" t="n">
        <f aca="false">IF(L44=1,1+1.7*SIN(PI()*((L$4-$D$12+0.5)/$D$9))^2,0)</f>
        <v>2.7</v>
      </c>
      <c r="M49" s="43" t="n">
        <f aca="false">IF(M44=1,1+1.7*SIN(PI()*((M$4-$D$12+0.5)/$D$9))^2,0)</f>
        <v>2.11266444521871</v>
      </c>
      <c r="N49" s="43" t="n">
        <f aca="false">IF(N44=1,1+1.7*SIN(PI()*((N$4-$D$12+0.5)/$D$9))^2,0)</f>
        <v>1.16233555478129</v>
      </c>
      <c r="O49" s="43" t="n">
        <f aca="false">IF(O44=1,1+1.7*SIN(PI()*((O$4-$D$12+0.5)/$D$9))^2,0)</f>
        <v>0</v>
      </c>
      <c r="P49" s="43" t="n">
        <f aca="false">IF(P44=1,1+1.7*SIN(PI()*((P$4-$D$12+0.5)/$D$9))^2,0)</f>
        <v>0</v>
      </c>
      <c r="Q49" s="43" t="n">
        <f aca="false">IF(Q44=1,1+1.7*SIN(PI()*((Q$4-$D$12+0.5)/$D$9))^2,0)</f>
        <v>0</v>
      </c>
      <c r="R49" s="43" t="n">
        <f aca="false">IF(R44=1,1+1.7*SIN(PI()*((R$4-$D$12+0.5)/$D$9))^2,0)</f>
        <v>0</v>
      </c>
      <c r="S49" s="43" t="n">
        <f aca="false">IF(S44=1,1+1.7*SIN(PI()*((S$4-$D$12+0.5)/$D$9))^2,0)</f>
        <v>0</v>
      </c>
      <c r="T49" s="43" t="n">
        <f aca="false">IF(T44=1,1+1.7*SIN(PI()*((T$4-$D$12+0.5)/$D$9))^2,0)</f>
        <v>0</v>
      </c>
      <c r="U49" s="43" t="n">
        <f aca="false">IF(U44=1,1+1.7*SIN(PI()*((U$4-$D$12+0.5)/$D$9))^2,0)</f>
        <v>0</v>
      </c>
      <c r="V49" s="43" t="n">
        <f aca="false">IF(V44=1,1+1.7*SIN(PI()*((V$4-$D$12+0.5)/$D$9))^2,0)</f>
        <v>0</v>
      </c>
      <c r="W49" s="43" t="n">
        <f aca="false">IF(W44=1,1+1.7*SIN(PI()*((W$4-$D$12+0.5)/$D$9))^2,0)</f>
        <v>0</v>
      </c>
      <c r="X49" s="43" t="n">
        <f aca="false">IF(X44=1,1+1.7*SIN(PI()*((X$4-$D$12+0.5)/$D$9))^2,0)</f>
        <v>0</v>
      </c>
      <c r="Y49" s="43" t="n">
        <f aca="false">IF(Y44=1,1+1.7*SIN(PI()*((Y$4-$D$12+0.5)/$D$9))^2,0)</f>
        <v>0</v>
      </c>
      <c r="Z49" s="43" t="n">
        <f aca="false">IF(Z44=1,1+1.7*SIN(PI()*((Z$4-$D$12+0.5)/$D$9))^2,0)</f>
        <v>0</v>
      </c>
      <c r="AA49" s="43" t="n">
        <f aca="false">IF(AA44=1,1+1.7*SIN(PI()*((AA$4-$D$12+0.5)/$D$9))^2,0)</f>
        <v>0</v>
      </c>
      <c r="AB49" s="43" t="n">
        <f aca="false">IF(AB44=1,1+1.7*SIN(PI()*((AB$4-$D$12+0.5)/$D$9))^2,0)</f>
        <v>0</v>
      </c>
      <c r="AC49" s="43" t="n">
        <f aca="false">IF(AC44=1,1+1.7*SIN(PI()*((AC$4-$D$12+0.5)/$D$9))^2,0)</f>
        <v>0</v>
      </c>
      <c r="AD49" s="43" t="n">
        <f aca="false">IF(AD44=1,1+1.7*SIN(PI()*((AD$4-$D$12+0.5)/$D$9))^2,0)</f>
        <v>0</v>
      </c>
      <c r="AE49" s="43" t="n">
        <f aca="false">IF(AE44=1,1+1.7*SIN(PI()*((AE$4-$D$12+0.5)/$D$9))^2,0)</f>
        <v>0</v>
      </c>
      <c r="AF49" s="43" t="n">
        <f aca="false">IF(AF44=1,1+1.7*SIN(PI()*((AF$4-$D$12+0.5)/$D$9))^2,0)</f>
        <v>0</v>
      </c>
      <c r="AG49" s="43" t="n">
        <f aca="false">IF(AG44=1,1+1.7*SIN(PI()*((AG$4-$D$12+0.5)/$D$9))^2,0)</f>
        <v>0</v>
      </c>
      <c r="AH49" s="43" t="n">
        <f aca="false">IF(AH44=1,1+1.7*SIN(PI()*((AH$4-$D$12+0.5)/$D$9))^2,0)</f>
        <v>0</v>
      </c>
      <c r="AI49" s="43" t="n">
        <f aca="false">IF(AI44=1,1+1.7*SIN(PI()*((AI$4-$D$12+0.5)/$D$9))^2,0)</f>
        <v>0</v>
      </c>
      <c r="AJ49" s="43" t="n">
        <f aca="false">IF(AJ44=1,1+1.7*SIN(PI()*((AJ$4-$D$12+0.5)/$D$9))^2,0)</f>
        <v>0</v>
      </c>
      <c r="AK49" s="43" t="n">
        <f aca="false">IF(AK44=1,1+1.7*SIN(PI()*((AK$4-$D$12+0.5)/$D$9))^2,0)</f>
        <v>0</v>
      </c>
      <c r="AL49" s="43" t="n">
        <f aca="false">IF(AL44=1,1+1.7*SIN(PI()*((AL$4-$D$12+0.5)/$D$9))^2,0)</f>
        <v>0</v>
      </c>
      <c r="AM49" s="43" t="n">
        <f aca="false">IF(AM44=1,1+1.7*SIN(PI()*((AM$4-$D$12+0.5)/$D$9))^2,0)</f>
        <v>0</v>
      </c>
      <c r="AN49" s="43" t="n">
        <f aca="false">IF(AN44=1,1+1.7*SIN(PI()*((AN$4-$D$12+0.5)/$D$9))^2,0)</f>
        <v>0</v>
      </c>
      <c r="AO49" s="43" t="n">
        <f aca="false">IF(AO44=1,1+1.7*SIN(PI()*((AO$4-$D$12+0.5)/$D$9))^2,0)</f>
        <v>0</v>
      </c>
      <c r="AP49" s="43" t="n">
        <f aca="false">IF(AP44=1,1+1.7*SIN(PI()*((AP$4-$D$12+0.5)/$D$9))^2,0)</f>
        <v>0</v>
      </c>
      <c r="AQ49" s="43" t="n">
        <f aca="false">IF(AQ44=1,1+1.7*SIN(PI()*((AQ$4-$D$12+0.5)/$D$9))^2,0)</f>
        <v>0</v>
      </c>
      <c r="AR49" s="43" t="n">
        <f aca="false">IF(AR44=1,1+1.7*SIN(PI()*((AR$4-$D$12+0.5)/$D$9))^2,0)</f>
        <v>0</v>
      </c>
      <c r="AS49" s="43" t="n">
        <f aca="false">IF(AS44=1,1+1.7*SIN(PI()*((AS$4-$D$12+0.5)/$D$9))^2,0)</f>
        <v>0</v>
      </c>
      <c r="AT49" s="43" t="n">
        <f aca="false">IF(AT44=1,1+1.7*SIN(PI()*((AT$4-$D$12+0.5)/$D$9))^2,0)</f>
        <v>0</v>
      </c>
      <c r="AU49" s="43" t="n">
        <f aca="false">IF(AU44=1,1+1.7*SIN(PI()*((AU$4-$D$12+0.5)/$D$9))^2,0)</f>
        <v>0</v>
      </c>
      <c r="AV49" s="43" t="n">
        <f aca="false">IF(AV44=1,1+1.7*SIN(PI()*((AV$4-$D$12+0.5)/$D$9))^2,0)</f>
        <v>0</v>
      </c>
      <c r="AW49" s="43" t="n">
        <f aca="false">IF(AW44=1,1+1.7*SIN(PI()*((AW$4-$D$12+0.5)/$D$9))^2,0)</f>
        <v>0</v>
      </c>
      <c r="AX49" s="43" t="n">
        <f aca="false">IF(AX44=1,1+1.7*SIN(PI()*((AX$4-$D$12+0.5)/$D$9))^2,0)</f>
        <v>0</v>
      </c>
      <c r="AY49" s="43" t="n">
        <f aca="false">IF(AY44=1,1+1.7*SIN(PI()*((AY$4-$D$12+0.5)/$D$9))^2,0)</f>
        <v>0</v>
      </c>
      <c r="AZ49" s="43" t="n">
        <f aca="false">IF(AZ44=1,1+1.7*SIN(PI()*((AZ$4-$D$12+0.5)/$D$9))^2,0)</f>
        <v>0</v>
      </c>
      <c r="BA49" s="43" t="n">
        <f aca="false">IF(BA44=1,1+1.7*SIN(PI()*((BA$4-$D$12+0.5)/$D$9))^2,0)</f>
        <v>0</v>
      </c>
      <c r="BB49" s="43" t="n">
        <f aca="false">IF(BB44=1,1+1.7*SIN(PI()*((BB$4-$D$12+0.5)/$D$9))^2,0)</f>
        <v>0</v>
      </c>
      <c r="BC49" s="43" t="n">
        <f aca="false">IF(BC44=1,1+1.7*SIN(PI()*((BC$4-$D$12+0.5)/$D$9))^2,0)</f>
        <v>0</v>
      </c>
      <c r="BD49" s="43" t="n">
        <f aca="false">IF(BD44=1,1+1.7*SIN(PI()*((BD$4-$D$12+0.5)/$D$9))^2,0)</f>
        <v>0</v>
      </c>
      <c r="BE49" s="43" t="n">
        <f aca="false">IF(BE44=1,1+1.7*SIN(PI()*((BE$4-$D$12+0.5)/$D$9))^2,0)</f>
        <v>0</v>
      </c>
      <c r="BF49" s="43" t="n">
        <f aca="false">IF(BF44=1,1+1.7*SIN(PI()*((BF$4-$D$12+0.5)/$D$9))^2,0)</f>
        <v>0</v>
      </c>
      <c r="BG49" s="43" t="n">
        <f aca="false">IF(BG44=1,1+1.7*SIN(PI()*((BG$4-$D$12+0.5)/$D$9))^2,0)</f>
        <v>0</v>
      </c>
      <c r="BH49" s="43" t="n">
        <f aca="false">IF(BH44=1,1+1.7*SIN(PI()*((BH$4-$D$12+0.5)/$D$9))^2,0)</f>
        <v>0</v>
      </c>
      <c r="BI49" s="43" t="n">
        <f aca="false">IF(BI44=1,1+1.7*SIN(PI()*((BI$4-$D$12+0.5)/$D$9))^2,0)</f>
        <v>0</v>
      </c>
      <c r="BJ49" s="43" t="n">
        <f aca="false">IF(BJ44=1,1+1.7*SIN(PI()*((BJ$4-$D$12+0.5)/$D$9))^2,0)</f>
        <v>0</v>
      </c>
      <c r="BK49" s="43" t="n">
        <f aca="false">IF(BK44=1,1+1.7*SIN(PI()*((BK$4-$D$12+0.5)/$D$9))^2,0)</f>
        <v>0</v>
      </c>
      <c r="BL49" s="43" t="n">
        <f aca="false">IF(BL44=1,1+1.7*SIN(PI()*((BL$4-$D$12+0.5)/$D$9))^2,0)</f>
        <v>0</v>
      </c>
      <c r="BM49" s="43" t="n">
        <f aca="false">IF(BM44=1,1+1.7*SIN(PI()*((BM$4-$D$12+0.5)/$D$9))^2,0)</f>
        <v>0</v>
      </c>
      <c r="BN49" s="43" t="n">
        <f aca="false">IF(BN44=1,1+1.7*SIN(PI()*((BN$4-$D$12+0.5)/$D$9))^2,0)</f>
        <v>0</v>
      </c>
      <c r="BO49" s="43" t="n">
        <f aca="false">IF(BO44=1,1+1.7*SIN(PI()*((BO$4-$D$12+0.5)/$D$9))^2,0)</f>
        <v>0</v>
      </c>
      <c r="BP49" s="43" t="n">
        <f aca="false">IF(BP44=1,1+1.7*SIN(PI()*((BP$4-$D$12+0.5)/$D$9))^2,0)</f>
        <v>0</v>
      </c>
      <c r="BQ49" s="43" t="n">
        <f aca="false">IF(BQ44=1,1+1.7*SIN(PI()*((BQ$4-$D$12+0.5)/$D$9))^2,0)</f>
        <v>0</v>
      </c>
      <c r="BR49" s="43" t="n">
        <f aca="false">IF(BR44=1,1+1.7*SIN(PI()*((BR$4-$D$12+0.5)/$D$9))^2,0)</f>
        <v>0</v>
      </c>
      <c r="BS49" s="43" t="n">
        <f aca="false">IF(BS44=1,1+1.7*SIN(PI()*((BS$4-$D$12+0.5)/$D$9))^2,0)</f>
        <v>0</v>
      </c>
      <c r="BT49" s="43" t="n">
        <f aca="false">IF(BT44=1,1+1.7*SIN(PI()*((BT$4-$D$12+0.5)/$D$9))^2,0)</f>
        <v>0</v>
      </c>
      <c r="BU49" s="43" t="n">
        <f aca="false">IF(BU44=1,1+1.7*SIN(PI()*((BU$4-$D$12+0.5)/$D$9))^2,0)</f>
        <v>0</v>
      </c>
      <c r="BV49" s="43" t="n">
        <f aca="false">IF(BV44=1,1+1.7*SIN(PI()*((BV$4-$D$12+0.5)/$D$9))^2,0)</f>
        <v>0</v>
      </c>
      <c r="BW49" s="43" t="n">
        <f aca="false">IF(BW44=1,1+1.7*SIN(PI()*((BW$4-$D$12+0.5)/$D$9))^2,0)</f>
        <v>0</v>
      </c>
      <c r="BX49" s="43" t="n">
        <f aca="false">IF(BX44=1,1+1.7*SIN(PI()*((BX$4-$D$12+0.5)/$D$9))^2,0)</f>
        <v>0</v>
      </c>
    </row>
    <row r="50" customFormat="false" ht="15" hidden="false" customHeight="false" outlineLevel="0" collapsed="false">
      <c r="A50" s="1"/>
      <c r="B50" s="8" t="s">
        <v>314</v>
      </c>
      <c r="C50" s="8" t="s">
        <v>66</v>
      </c>
      <c r="D50" s="1"/>
      <c r="E50" s="1"/>
      <c r="F50" s="1"/>
      <c r="G50" s="43" t="n">
        <f aca="false">IF(SUM($G49:$BX49)&gt;0,G49/SUM($G49:$BX49),0)</f>
        <v>0</v>
      </c>
      <c r="H50" s="43" t="n">
        <f aca="false">IF(SUM($G49:$BX49)&gt;0,H49/SUM($G49:$BX49),0)</f>
        <v>0</v>
      </c>
      <c r="I50" s="43" t="n">
        <f aca="false">IF(SUM($G49:$BX49)&gt;0,I49/SUM($G49:$BX49),0)</f>
        <v>0</v>
      </c>
      <c r="J50" s="43" t="n">
        <f aca="false">IF(SUM($G49:$BX49)&gt;0,J49/SUM($G49:$BX49),0)</f>
        <v>0.125657897814194</v>
      </c>
      <c r="K50" s="43" t="n">
        <f aca="false">IF(SUM($G49:$BX49)&gt;0,K49/SUM($G49:$BX49),0)</f>
        <v>0.22839615623986</v>
      </c>
      <c r="L50" s="43" t="n">
        <f aca="false">IF(SUM($G49:$BX49)&gt;0,L49/SUM($G49:$BX49),0)</f>
        <v>0.291891891891892</v>
      </c>
      <c r="M50" s="43" t="n">
        <f aca="false">IF(SUM($G49:$BX49)&gt;0,M49/SUM($G49:$BX49),0)</f>
        <v>0.22839615623986</v>
      </c>
      <c r="N50" s="43" t="n">
        <f aca="false">IF(SUM($G49:$BX49)&gt;0,N49/SUM($G49:$BX49),0)</f>
        <v>0.125657897814194</v>
      </c>
      <c r="O50" s="43" t="n">
        <f aca="false">IF(SUM($G49:$BX49)&gt;0,O49/SUM($G49:$BX49),0)</f>
        <v>0</v>
      </c>
      <c r="P50" s="43" t="n">
        <f aca="false">IF(SUM($G49:$BX49)&gt;0,P49/SUM($G49:$BX49),0)</f>
        <v>0</v>
      </c>
      <c r="Q50" s="43" t="n">
        <f aca="false">IF(SUM($G49:$BX49)&gt;0,Q49/SUM($G49:$BX49),0)</f>
        <v>0</v>
      </c>
      <c r="R50" s="43" t="n">
        <f aca="false">IF(SUM($G49:$BX49)&gt;0,R49/SUM($G49:$BX49),0)</f>
        <v>0</v>
      </c>
      <c r="S50" s="43" t="n">
        <f aca="false">IF(SUM($G49:$BX49)&gt;0,S49/SUM($G49:$BX49),0)</f>
        <v>0</v>
      </c>
      <c r="T50" s="43" t="n">
        <f aca="false">IF(SUM($G49:$BX49)&gt;0,T49/SUM($G49:$BX49),0)</f>
        <v>0</v>
      </c>
      <c r="U50" s="43" t="n">
        <f aca="false">IF(SUM($G49:$BX49)&gt;0,U49/SUM($G49:$BX49),0)</f>
        <v>0</v>
      </c>
      <c r="V50" s="43" t="n">
        <f aca="false">IF(SUM($G49:$BX49)&gt;0,V49/SUM($G49:$BX49),0)</f>
        <v>0</v>
      </c>
      <c r="W50" s="43" t="n">
        <f aca="false">IF(SUM($G49:$BX49)&gt;0,W49/SUM($G49:$BX49),0)</f>
        <v>0</v>
      </c>
      <c r="X50" s="43" t="n">
        <f aca="false">IF(SUM($G49:$BX49)&gt;0,X49/SUM($G49:$BX49),0)</f>
        <v>0</v>
      </c>
      <c r="Y50" s="43" t="n">
        <f aca="false">IF(SUM($G49:$BX49)&gt;0,Y49/SUM($G49:$BX49),0)</f>
        <v>0</v>
      </c>
      <c r="Z50" s="43" t="n">
        <f aca="false">IF(SUM($G49:$BX49)&gt;0,Z49/SUM($G49:$BX49),0)</f>
        <v>0</v>
      </c>
      <c r="AA50" s="43" t="n">
        <f aca="false">IF(SUM($G49:$BX49)&gt;0,AA49/SUM($G49:$BX49),0)</f>
        <v>0</v>
      </c>
      <c r="AB50" s="43" t="n">
        <f aca="false">IF(SUM($G49:$BX49)&gt;0,AB49/SUM($G49:$BX49),0)</f>
        <v>0</v>
      </c>
      <c r="AC50" s="43" t="n">
        <f aca="false">IF(SUM($G49:$BX49)&gt;0,AC49/SUM($G49:$BX49),0)</f>
        <v>0</v>
      </c>
      <c r="AD50" s="43" t="n">
        <f aca="false">IF(SUM($G49:$BX49)&gt;0,AD49/SUM($G49:$BX49),0)</f>
        <v>0</v>
      </c>
      <c r="AE50" s="43" t="n">
        <f aca="false">IF(SUM($G49:$BX49)&gt;0,AE49/SUM($G49:$BX49),0)</f>
        <v>0</v>
      </c>
      <c r="AF50" s="43" t="n">
        <f aca="false">IF(SUM($G49:$BX49)&gt;0,AF49/SUM($G49:$BX49),0)</f>
        <v>0</v>
      </c>
      <c r="AG50" s="43" t="n">
        <f aca="false">IF(SUM($G49:$BX49)&gt;0,AG49/SUM($G49:$BX49),0)</f>
        <v>0</v>
      </c>
      <c r="AH50" s="43" t="n">
        <f aca="false">IF(SUM($G49:$BX49)&gt;0,AH49/SUM($G49:$BX49),0)</f>
        <v>0</v>
      </c>
      <c r="AI50" s="43" t="n">
        <f aca="false">IF(SUM($G49:$BX49)&gt;0,AI49/SUM($G49:$BX49),0)</f>
        <v>0</v>
      </c>
      <c r="AJ50" s="43" t="n">
        <f aca="false">IF(SUM($G49:$BX49)&gt;0,AJ49/SUM($G49:$BX49),0)</f>
        <v>0</v>
      </c>
      <c r="AK50" s="43" t="n">
        <f aca="false">IF(SUM($G49:$BX49)&gt;0,AK49/SUM($G49:$BX49),0)</f>
        <v>0</v>
      </c>
      <c r="AL50" s="43" t="n">
        <f aca="false">IF(SUM($G49:$BX49)&gt;0,AL49/SUM($G49:$BX49),0)</f>
        <v>0</v>
      </c>
      <c r="AM50" s="43" t="n">
        <f aca="false">IF(SUM($G49:$BX49)&gt;0,AM49/SUM($G49:$BX49),0)</f>
        <v>0</v>
      </c>
      <c r="AN50" s="43" t="n">
        <f aca="false">IF(SUM($G49:$BX49)&gt;0,AN49/SUM($G49:$BX49),0)</f>
        <v>0</v>
      </c>
      <c r="AO50" s="43" t="n">
        <f aca="false">IF(SUM($G49:$BX49)&gt;0,AO49/SUM($G49:$BX49),0)</f>
        <v>0</v>
      </c>
      <c r="AP50" s="43" t="n">
        <f aca="false">IF(SUM($G49:$BX49)&gt;0,AP49/SUM($G49:$BX49),0)</f>
        <v>0</v>
      </c>
      <c r="AQ50" s="43" t="n">
        <f aca="false">IF(SUM($G49:$BX49)&gt;0,AQ49/SUM($G49:$BX49),0)</f>
        <v>0</v>
      </c>
      <c r="AR50" s="43" t="n">
        <f aca="false">IF(SUM($G49:$BX49)&gt;0,AR49/SUM($G49:$BX49),0)</f>
        <v>0</v>
      </c>
      <c r="AS50" s="43" t="n">
        <f aca="false">IF(SUM($G49:$BX49)&gt;0,AS49/SUM($G49:$BX49),0)</f>
        <v>0</v>
      </c>
      <c r="AT50" s="43" t="n">
        <f aca="false">IF(SUM($G49:$BX49)&gt;0,AT49/SUM($G49:$BX49),0)</f>
        <v>0</v>
      </c>
      <c r="AU50" s="43" t="n">
        <f aca="false">IF(SUM($G49:$BX49)&gt;0,AU49/SUM($G49:$BX49),0)</f>
        <v>0</v>
      </c>
      <c r="AV50" s="43" t="n">
        <f aca="false">IF(SUM($G49:$BX49)&gt;0,AV49/SUM($G49:$BX49),0)</f>
        <v>0</v>
      </c>
      <c r="AW50" s="43" t="n">
        <f aca="false">IF(SUM($G49:$BX49)&gt;0,AW49/SUM($G49:$BX49),0)</f>
        <v>0</v>
      </c>
      <c r="AX50" s="43" t="n">
        <f aca="false">IF(SUM($G49:$BX49)&gt;0,AX49/SUM($G49:$BX49),0)</f>
        <v>0</v>
      </c>
      <c r="AY50" s="43" t="n">
        <f aca="false">IF(SUM($G49:$BX49)&gt;0,AY49/SUM($G49:$BX49),0)</f>
        <v>0</v>
      </c>
      <c r="AZ50" s="43" t="n">
        <f aca="false">IF(SUM($G49:$BX49)&gt;0,AZ49/SUM($G49:$BX49),0)</f>
        <v>0</v>
      </c>
      <c r="BA50" s="43" t="n">
        <f aca="false">IF(SUM($G49:$BX49)&gt;0,BA49/SUM($G49:$BX49),0)</f>
        <v>0</v>
      </c>
      <c r="BB50" s="43" t="n">
        <f aca="false">IF(SUM($G49:$BX49)&gt;0,BB49/SUM($G49:$BX49),0)</f>
        <v>0</v>
      </c>
      <c r="BC50" s="43" t="n">
        <f aca="false">IF(SUM($G49:$BX49)&gt;0,BC49/SUM($G49:$BX49),0)</f>
        <v>0</v>
      </c>
      <c r="BD50" s="43" t="n">
        <f aca="false">IF(SUM($G49:$BX49)&gt;0,BD49/SUM($G49:$BX49),0)</f>
        <v>0</v>
      </c>
      <c r="BE50" s="43" t="n">
        <f aca="false">IF(SUM($G49:$BX49)&gt;0,BE49/SUM($G49:$BX49),0)</f>
        <v>0</v>
      </c>
      <c r="BF50" s="43" t="n">
        <f aca="false">IF(SUM($G49:$BX49)&gt;0,BF49/SUM($G49:$BX49),0)</f>
        <v>0</v>
      </c>
      <c r="BG50" s="43" t="n">
        <f aca="false">IF(SUM($G49:$BX49)&gt;0,BG49/SUM($G49:$BX49),0)</f>
        <v>0</v>
      </c>
      <c r="BH50" s="43" t="n">
        <f aca="false">IF(SUM($G49:$BX49)&gt;0,BH49/SUM($G49:$BX49),0)</f>
        <v>0</v>
      </c>
      <c r="BI50" s="43" t="n">
        <f aca="false">IF(SUM($G49:$BX49)&gt;0,BI49/SUM($G49:$BX49),0)</f>
        <v>0</v>
      </c>
      <c r="BJ50" s="43" t="n">
        <f aca="false">IF(SUM($G49:$BX49)&gt;0,BJ49/SUM($G49:$BX49),0)</f>
        <v>0</v>
      </c>
      <c r="BK50" s="43" t="n">
        <f aca="false">IF(SUM($G49:$BX49)&gt;0,BK49/SUM($G49:$BX49),0)</f>
        <v>0</v>
      </c>
      <c r="BL50" s="43" t="n">
        <f aca="false">IF(SUM($G49:$BX49)&gt;0,BL49/SUM($G49:$BX49),0)</f>
        <v>0</v>
      </c>
      <c r="BM50" s="43" t="n">
        <f aca="false">IF(SUM($G49:$BX49)&gt;0,BM49/SUM($G49:$BX49),0)</f>
        <v>0</v>
      </c>
      <c r="BN50" s="43" t="n">
        <f aca="false">IF(SUM($G49:$BX49)&gt;0,BN49/SUM($G49:$BX49),0)</f>
        <v>0</v>
      </c>
      <c r="BO50" s="43" t="n">
        <f aca="false">IF(SUM($G49:$BX49)&gt;0,BO49/SUM($G49:$BX49),0)</f>
        <v>0</v>
      </c>
      <c r="BP50" s="43" t="n">
        <f aca="false">IF(SUM($G49:$BX49)&gt;0,BP49/SUM($G49:$BX49),0)</f>
        <v>0</v>
      </c>
      <c r="BQ50" s="43" t="n">
        <f aca="false">IF(SUM($G49:$BX49)&gt;0,BQ49/SUM($G49:$BX49),0)</f>
        <v>0</v>
      </c>
      <c r="BR50" s="43" t="n">
        <f aca="false">IF(SUM($G49:$BX49)&gt;0,BR49/SUM($G49:$BX49),0)</f>
        <v>0</v>
      </c>
      <c r="BS50" s="43" t="n">
        <f aca="false">IF(SUM($G49:$BX49)&gt;0,BS49/SUM($G49:$BX49),0)</f>
        <v>0</v>
      </c>
      <c r="BT50" s="43" t="n">
        <f aca="false">IF(SUM($G49:$BX49)&gt;0,BT49/SUM($G49:$BX49),0)</f>
        <v>0</v>
      </c>
      <c r="BU50" s="43" t="n">
        <f aca="false">IF(SUM($G49:$BX49)&gt;0,BU49/SUM($G49:$BX49),0)</f>
        <v>0</v>
      </c>
      <c r="BV50" s="43" t="n">
        <f aca="false">IF(SUM($G49:$BX49)&gt;0,BV49/SUM($G49:$BX49),0)</f>
        <v>0</v>
      </c>
      <c r="BW50" s="43" t="n">
        <f aca="false">IF(SUM($G49:$BX49)&gt;0,BW49/SUM($G49:$BX49),0)</f>
        <v>0</v>
      </c>
      <c r="BX50" s="43" t="n">
        <f aca="false">IF(SUM($G49:$BX49)&gt;0,BX49/SUM($G49:$BX49),0)</f>
        <v>0</v>
      </c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</row>
    <row r="52" customFormat="false" ht="15" hidden="false" customHeight="false" outlineLevel="0" collapsed="false">
      <c r="A52" s="1"/>
      <c r="B52" s="13" t="s">
        <v>315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</row>
    <row r="53" customFormat="false" ht="15" hidden="false" customHeight="false" outlineLevel="0" collapsed="false">
      <c r="A53" s="1"/>
      <c r="B53" s="8" t="s">
        <v>316</v>
      </c>
      <c r="C53" s="8" t="s">
        <v>126</v>
      </c>
      <c r="D53" s="44" t="n">
        <f aca="false">SUM(G53:BX53)</f>
        <v>11400</v>
      </c>
      <c r="E53" s="1"/>
      <c r="F53" s="1"/>
      <c r="G53" s="48" t="n">
        <f aca="false">$D$24*G50</f>
        <v>0</v>
      </c>
      <c r="H53" s="48" t="n">
        <f aca="false">$D$24*H50</f>
        <v>0</v>
      </c>
      <c r="I53" s="48" t="n">
        <f aca="false">$D$24*I50</f>
        <v>0</v>
      </c>
      <c r="J53" s="48" t="n">
        <f aca="false">$D$24*J50</f>
        <v>1432.50003508181</v>
      </c>
      <c r="K53" s="48" t="n">
        <f aca="false">$D$24*K50</f>
        <v>2603.7161811344</v>
      </c>
      <c r="L53" s="48" t="n">
        <f aca="false">$D$24*L50</f>
        <v>3327.56756756757</v>
      </c>
      <c r="M53" s="48" t="n">
        <f aca="false">$D$24*M50</f>
        <v>2603.7161811344</v>
      </c>
      <c r="N53" s="48" t="n">
        <f aca="false">$D$24*N50</f>
        <v>1432.50003508181</v>
      </c>
      <c r="O53" s="48" t="n">
        <f aca="false">$D$24*O50</f>
        <v>0</v>
      </c>
      <c r="P53" s="48" t="n">
        <f aca="false">$D$24*P50</f>
        <v>0</v>
      </c>
      <c r="Q53" s="48" t="n">
        <f aca="false">$D$24*Q50</f>
        <v>0</v>
      </c>
      <c r="R53" s="48" t="n">
        <f aca="false">$D$24*R50</f>
        <v>0</v>
      </c>
      <c r="S53" s="48" t="n">
        <f aca="false">$D$24*S50</f>
        <v>0</v>
      </c>
      <c r="T53" s="48" t="n">
        <f aca="false">$D$24*T50</f>
        <v>0</v>
      </c>
      <c r="U53" s="48" t="n">
        <f aca="false">$D$24*U50</f>
        <v>0</v>
      </c>
      <c r="V53" s="48" t="n">
        <f aca="false">$D$24*V50</f>
        <v>0</v>
      </c>
      <c r="W53" s="48" t="n">
        <f aca="false">$D$24*W50</f>
        <v>0</v>
      </c>
      <c r="X53" s="48" t="n">
        <f aca="false">$D$24*X50</f>
        <v>0</v>
      </c>
      <c r="Y53" s="48" t="n">
        <f aca="false">$D$24*Y50</f>
        <v>0</v>
      </c>
      <c r="Z53" s="48" t="n">
        <f aca="false">$D$24*Z50</f>
        <v>0</v>
      </c>
      <c r="AA53" s="48" t="n">
        <f aca="false">$D$24*AA50</f>
        <v>0</v>
      </c>
      <c r="AB53" s="48" t="n">
        <f aca="false">$D$24*AB50</f>
        <v>0</v>
      </c>
      <c r="AC53" s="48" t="n">
        <f aca="false">$D$24*AC50</f>
        <v>0</v>
      </c>
      <c r="AD53" s="48" t="n">
        <f aca="false">$D$24*AD50</f>
        <v>0</v>
      </c>
      <c r="AE53" s="48" t="n">
        <f aca="false">$D$24*AE50</f>
        <v>0</v>
      </c>
      <c r="AF53" s="48" t="n">
        <f aca="false">$D$24*AF50</f>
        <v>0</v>
      </c>
      <c r="AG53" s="48" t="n">
        <f aca="false">$D$24*AG50</f>
        <v>0</v>
      </c>
      <c r="AH53" s="48" t="n">
        <f aca="false">$D$24*AH50</f>
        <v>0</v>
      </c>
      <c r="AI53" s="48" t="n">
        <f aca="false">$D$24*AI50</f>
        <v>0</v>
      </c>
      <c r="AJ53" s="48" t="n">
        <f aca="false">$D$24*AJ50</f>
        <v>0</v>
      </c>
      <c r="AK53" s="48" t="n">
        <f aca="false">$D$24*AK50</f>
        <v>0</v>
      </c>
      <c r="AL53" s="48" t="n">
        <f aca="false">$D$24*AL50</f>
        <v>0</v>
      </c>
      <c r="AM53" s="48" t="n">
        <f aca="false">$D$24*AM50</f>
        <v>0</v>
      </c>
      <c r="AN53" s="48" t="n">
        <f aca="false">$D$24*AN50</f>
        <v>0</v>
      </c>
      <c r="AO53" s="48" t="n">
        <f aca="false">$D$24*AO50</f>
        <v>0</v>
      </c>
      <c r="AP53" s="48" t="n">
        <f aca="false">$D$24*AP50</f>
        <v>0</v>
      </c>
      <c r="AQ53" s="48" t="n">
        <f aca="false">$D$24*AQ50</f>
        <v>0</v>
      </c>
      <c r="AR53" s="48" t="n">
        <f aca="false">$D$24*AR50</f>
        <v>0</v>
      </c>
      <c r="AS53" s="48" t="n">
        <f aca="false">$D$24*AS50</f>
        <v>0</v>
      </c>
      <c r="AT53" s="48" t="n">
        <f aca="false">$D$24*AT50</f>
        <v>0</v>
      </c>
      <c r="AU53" s="48" t="n">
        <f aca="false">$D$24*AU50</f>
        <v>0</v>
      </c>
      <c r="AV53" s="48" t="n">
        <f aca="false">$D$24*AV50</f>
        <v>0</v>
      </c>
      <c r="AW53" s="48" t="n">
        <f aca="false">$D$24*AW50</f>
        <v>0</v>
      </c>
      <c r="AX53" s="48" t="n">
        <f aca="false">$D$24*AX50</f>
        <v>0</v>
      </c>
      <c r="AY53" s="48" t="n">
        <f aca="false">$D$24*AY50</f>
        <v>0</v>
      </c>
      <c r="AZ53" s="48" t="n">
        <f aca="false">$D$24*AZ50</f>
        <v>0</v>
      </c>
      <c r="BA53" s="48" t="n">
        <f aca="false">$D$24*BA50</f>
        <v>0</v>
      </c>
      <c r="BB53" s="48" t="n">
        <f aca="false">$D$24*BB50</f>
        <v>0</v>
      </c>
      <c r="BC53" s="48" t="n">
        <f aca="false">$D$24*BC50</f>
        <v>0</v>
      </c>
      <c r="BD53" s="48" t="n">
        <f aca="false">$D$24*BD50</f>
        <v>0</v>
      </c>
      <c r="BE53" s="48" t="n">
        <f aca="false">$D$24*BE50</f>
        <v>0</v>
      </c>
      <c r="BF53" s="48" t="n">
        <f aca="false">$D$24*BF50</f>
        <v>0</v>
      </c>
      <c r="BG53" s="48" t="n">
        <f aca="false">$D$24*BG50</f>
        <v>0</v>
      </c>
      <c r="BH53" s="48" t="n">
        <f aca="false">$D$24*BH50</f>
        <v>0</v>
      </c>
      <c r="BI53" s="48" t="n">
        <f aca="false">$D$24*BI50</f>
        <v>0</v>
      </c>
      <c r="BJ53" s="48" t="n">
        <f aca="false">$D$24*BJ50</f>
        <v>0</v>
      </c>
      <c r="BK53" s="48" t="n">
        <f aca="false">$D$24*BK50</f>
        <v>0</v>
      </c>
      <c r="BL53" s="48" t="n">
        <f aca="false">$D$24*BL50</f>
        <v>0</v>
      </c>
      <c r="BM53" s="48" t="n">
        <f aca="false">$D$24*BM50</f>
        <v>0</v>
      </c>
      <c r="BN53" s="48" t="n">
        <f aca="false">$D$24*BN50</f>
        <v>0</v>
      </c>
      <c r="BO53" s="48" t="n">
        <f aca="false">$D$24*BO50</f>
        <v>0</v>
      </c>
      <c r="BP53" s="48" t="n">
        <f aca="false">$D$24*BP50</f>
        <v>0</v>
      </c>
      <c r="BQ53" s="48" t="n">
        <f aca="false">$D$24*BQ50</f>
        <v>0</v>
      </c>
      <c r="BR53" s="48" t="n">
        <f aca="false">$D$24*BR50</f>
        <v>0</v>
      </c>
      <c r="BS53" s="48" t="n">
        <f aca="false">$D$24*BS50</f>
        <v>0</v>
      </c>
      <c r="BT53" s="48" t="n">
        <f aca="false">$D$24*BT50</f>
        <v>0</v>
      </c>
      <c r="BU53" s="48" t="n">
        <f aca="false">$D$24*BU50</f>
        <v>0</v>
      </c>
      <c r="BV53" s="48" t="n">
        <f aca="false">$D$24*BV50</f>
        <v>0</v>
      </c>
      <c r="BW53" s="48" t="n">
        <f aca="false">$D$24*BW50</f>
        <v>0</v>
      </c>
      <c r="BX53" s="48" t="n">
        <f aca="false">$D$24*BX50</f>
        <v>0</v>
      </c>
    </row>
    <row r="54" customFormat="false" ht="15" hidden="false" customHeight="false" outlineLevel="0" collapsed="false">
      <c r="A54" s="1"/>
      <c r="B54" s="8" t="s">
        <v>317</v>
      </c>
      <c r="C54" s="8" t="s">
        <v>126</v>
      </c>
      <c r="D54" s="44" t="n">
        <f aca="false">SUM(G54:BX54)</f>
        <v>1175</v>
      </c>
      <c r="E54" s="1"/>
      <c r="F54" s="1"/>
      <c r="G54" s="48" t="n">
        <f aca="false">IF(G$4=$D$12,$D$28,0)+IF(G$4=$D$10-1,$D$29,0)+$D$30*G50</f>
        <v>0</v>
      </c>
      <c r="H54" s="48" t="n">
        <f aca="false">IF(H$4=$D$12,$D$28,0)+IF(H$4=$D$10-1,$D$29,0)+$D$30*H50</f>
        <v>0</v>
      </c>
      <c r="I54" s="48" t="n">
        <f aca="false">IF(I$4=$D$12,$D$28,0)+IF(I$4=$D$10-1,$D$29,0)+$D$30*I50</f>
        <v>0</v>
      </c>
      <c r="J54" s="48" t="n">
        <f aca="false">IF(J$4=$D$12,$D$28,0)+IF(J$4=$D$10-1,$D$29,0)+$D$30*J50</f>
        <v>515.707237226774</v>
      </c>
      <c r="K54" s="48" t="n">
        <f aca="false">IF(K$4=$D$12,$D$28,0)+IF(K$4=$D$10-1,$D$29,0)+$D$30*K50</f>
        <v>28.5495195299825</v>
      </c>
      <c r="L54" s="48" t="n">
        <f aca="false">IF(L$4=$D$12,$D$28,0)+IF(L$4=$D$10-1,$D$29,0)+$D$30*L50</f>
        <v>36.4864864864865</v>
      </c>
      <c r="M54" s="48" t="n">
        <f aca="false">IF(M$4=$D$12,$D$28,0)+IF(M$4=$D$10-1,$D$29,0)+$D$30*M50</f>
        <v>28.5495195299825</v>
      </c>
      <c r="N54" s="48" t="n">
        <f aca="false">IF(N$4=$D$12,$D$28,0)+IF(N$4=$D$10-1,$D$29,0)+$D$30*N50</f>
        <v>565.707237226774</v>
      </c>
      <c r="O54" s="48" t="n">
        <f aca="false">IF(O$4=$D$12,$D$28,0)+IF(O$4=$D$10-1,$D$29,0)+$D$30*O50</f>
        <v>0</v>
      </c>
      <c r="P54" s="48" t="n">
        <f aca="false">IF(P$4=$D$12,$D$28,0)+IF(P$4=$D$10-1,$D$29,0)+$D$30*P50</f>
        <v>0</v>
      </c>
      <c r="Q54" s="48" t="n">
        <f aca="false">IF(Q$4=$D$12,$D$28,0)+IF(Q$4=$D$10-1,$D$29,0)+$D$30*Q50</f>
        <v>0</v>
      </c>
      <c r="R54" s="48" t="n">
        <f aca="false">IF(R$4=$D$12,$D$28,0)+IF(R$4=$D$10-1,$D$29,0)+$D$30*R50</f>
        <v>0</v>
      </c>
      <c r="S54" s="48" t="n">
        <f aca="false">IF(S$4=$D$12,$D$28,0)+IF(S$4=$D$10-1,$D$29,0)+$D$30*S50</f>
        <v>0</v>
      </c>
      <c r="T54" s="48" t="n">
        <f aca="false">IF(T$4=$D$12,$D$28,0)+IF(T$4=$D$10-1,$D$29,0)+$D$30*T50</f>
        <v>0</v>
      </c>
      <c r="U54" s="48" t="n">
        <f aca="false">IF(U$4=$D$12,$D$28,0)+IF(U$4=$D$10-1,$D$29,0)+$D$30*U50</f>
        <v>0</v>
      </c>
      <c r="V54" s="48" t="n">
        <f aca="false">IF(V$4=$D$12,$D$28,0)+IF(V$4=$D$10-1,$D$29,0)+$D$30*V50</f>
        <v>0</v>
      </c>
      <c r="W54" s="48" t="n">
        <f aca="false">IF(W$4=$D$12,$D$28,0)+IF(W$4=$D$10-1,$D$29,0)+$D$30*W50</f>
        <v>0</v>
      </c>
      <c r="X54" s="48" t="n">
        <f aca="false">IF(X$4=$D$12,$D$28,0)+IF(X$4=$D$10-1,$D$29,0)+$D$30*X50</f>
        <v>0</v>
      </c>
      <c r="Y54" s="48" t="n">
        <f aca="false">IF(Y$4=$D$12,$D$28,0)+IF(Y$4=$D$10-1,$D$29,0)+$D$30*Y50</f>
        <v>0</v>
      </c>
      <c r="Z54" s="48" t="n">
        <f aca="false">IF(Z$4=$D$12,$D$28,0)+IF(Z$4=$D$10-1,$D$29,0)+$D$30*Z50</f>
        <v>0</v>
      </c>
      <c r="AA54" s="48" t="n">
        <f aca="false">IF(AA$4=$D$12,$D$28,0)+IF(AA$4=$D$10-1,$D$29,0)+$D$30*AA50</f>
        <v>0</v>
      </c>
      <c r="AB54" s="48" t="n">
        <f aca="false">IF(AB$4=$D$12,$D$28,0)+IF(AB$4=$D$10-1,$D$29,0)+$D$30*AB50</f>
        <v>0</v>
      </c>
      <c r="AC54" s="48" t="n">
        <f aca="false">IF(AC$4=$D$12,$D$28,0)+IF(AC$4=$D$10-1,$D$29,0)+$D$30*AC50</f>
        <v>0</v>
      </c>
      <c r="AD54" s="48" t="n">
        <f aca="false">IF(AD$4=$D$12,$D$28,0)+IF(AD$4=$D$10-1,$D$29,0)+$D$30*AD50</f>
        <v>0</v>
      </c>
      <c r="AE54" s="48" t="n">
        <f aca="false">IF(AE$4=$D$12,$D$28,0)+IF(AE$4=$D$10-1,$D$29,0)+$D$30*AE50</f>
        <v>0</v>
      </c>
      <c r="AF54" s="48" t="n">
        <f aca="false">IF(AF$4=$D$12,$D$28,0)+IF(AF$4=$D$10-1,$D$29,0)+$D$30*AF50</f>
        <v>0</v>
      </c>
      <c r="AG54" s="48" t="n">
        <f aca="false">IF(AG$4=$D$12,$D$28,0)+IF(AG$4=$D$10-1,$D$29,0)+$D$30*AG50</f>
        <v>0</v>
      </c>
      <c r="AH54" s="48" t="n">
        <f aca="false">IF(AH$4=$D$12,$D$28,0)+IF(AH$4=$D$10-1,$D$29,0)+$D$30*AH50</f>
        <v>0</v>
      </c>
      <c r="AI54" s="48" t="n">
        <f aca="false">IF(AI$4=$D$12,$D$28,0)+IF(AI$4=$D$10-1,$D$29,0)+$D$30*AI50</f>
        <v>0</v>
      </c>
      <c r="AJ54" s="48" t="n">
        <f aca="false">IF(AJ$4=$D$12,$D$28,0)+IF(AJ$4=$D$10-1,$D$29,0)+$D$30*AJ50</f>
        <v>0</v>
      </c>
      <c r="AK54" s="48" t="n">
        <f aca="false">IF(AK$4=$D$12,$D$28,0)+IF(AK$4=$D$10-1,$D$29,0)+$D$30*AK50</f>
        <v>0</v>
      </c>
      <c r="AL54" s="48" t="n">
        <f aca="false">IF(AL$4=$D$12,$D$28,0)+IF(AL$4=$D$10-1,$D$29,0)+$D$30*AL50</f>
        <v>0</v>
      </c>
      <c r="AM54" s="48" t="n">
        <f aca="false">IF(AM$4=$D$12,$D$28,0)+IF(AM$4=$D$10-1,$D$29,0)+$D$30*AM50</f>
        <v>0</v>
      </c>
      <c r="AN54" s="48" t="n">
        <f aca="false">IF(AN$4=$D$12,$D$28,0)+IF(AN$4=$D$10-1,$D$29,0)+$D$30*AN50</f>
        <v>0</v>
      </c>
      <c r="AO54" s="48" t="n">
        <f aca="false">IF(AO$4=$D$12,$D$28,0)+IF(AO$4=$D$10-1,$D$29,0)+$D$30*AO50</f>
        <v>0</v>
      </c>
      <c r="AP54" s="48" t="n">
        <f aca="false">IF(AP$4=$D$12,$D$28,0)+IF(AP$4=$D$10-1,$D$29,0)+$D$30*AP50</f>
        <v>0</v>
      </c>
      <c r="AQ54" s="48" t="n">
        <f aca="false">IF(AQ$4=$D$12,$D$28,0)+IF(AQ$4=$D$10-1,$D$29,0)+$D$30*AQ50</f>
        <v>0</v>
      </c>
      <c r="AR54" s="48" t="n">
        <f aca="false">IF(AR$4=$D$12,$D$28,0)+IF(AR$4=$D$10-1,$D$29,0)+$D$30*AR50</f>
        <v>0</v>
      </c>
      <c r="AS54" s="48" t="n">
        <f aca="false">IF(AS$4=$D$12,$D$28,0)+IF(AS$4=$D$10-1,$D$29,0)+$D$30*AS50</f>
        <v>0</v>
      </c>
      <c r="AT54" s="48" t="n">
        <f aca="false">IF(AT$4=$D$12,$D$28,0)+IF(AT$4=$D$10-1,$D$29,0)+$D$30*AT50</f>
        <v>0</v>
      </c>
      <c r="AU54" s="48" t="n">
        <f aca="false">IF(AU$4=$D$12,$D$28,0)+IF(AU$4=$D$10-1,$D$29,0)+$D$30*AU50</f>
        <v>0</v>
      </c>
      <c r="AV54" s="48" t="n">
        <f aca="false">IF(AV$4=$D$12,$D$28,0)+IF(AV$4=$D$10-1,$D$29,0)+$D$30*AV50</f>
        <v>0</v>
      </c>
      <c r="AW54" s="48" t="n">
        <f aca="false">IF(AW$4=$D$12,$D$28,0)+IF(AW$4=$D$10-1,$D$29,0)+$D$30*AW50</f>
        <v>0</v>
      </c>
      <c r="AX54" s="48" t="n">
        <f aca="false">IF(AX$4=$D$12,$D$28,0)+IF(AX$4=$D$10-1,$D$29,0)+$D$30*AX50</f>
        <v>0</v>
      </c>
      <c r="AY54" s="48" t="n">
        <f aca="false">IF(AY$4=$D$12,$D$28,0)+IF(AY$4=$D$10-1,$D$29,0)+$D$30*AY50</f>
        <v>0</v>
      </c>
      <c r="AZ54" s="48" t="n">
        <f aca="false">IF(AZ$4=$D$12,$D$28,0)+IF(AZ$4=$D$10-1,$D$29,0)+$D$30*AZ50</f>
        <v>0</v>
      </c>
      <c r="BA54" s="48" t="n">
        <f aca="false">IF(BA$4=$D$12,$D$28,0)+IF(BA$4=$D$10-1,$D$29,0)+$D$30*BA50</f>
        <v>0</v>
      </c>
      <c r="BB54" s="48" t="n">
        <f aca="false">IF(BB$4=$D$12,$D$28,0)+IF(BB$4=$D$10-1,$D$29,0)+$D$30*BB50</f>
        <v>0</v>
      </c>
      <c r="BC54" s="48" t="n">
        <f aca="false">IF(BC$4=$D$12,$D$28,0)+IF(BC$4=$D$10-1,$D$29,0)+$D$30*BC50</f>
        <v>0</v>
      </c>
      <c r="BD54" s="48" t="n">
        <f aca="false">IF(BD$4=$D$12,$D$28,0)+IF(BD$4=$D$10-1,$D$29,0)+$D$30*BD50</f>
        <v>0</v>
      </c>
      <c r="BE54" s="48" t="n">
        <f aca="false">IF(BE$4=$D$12,$D$28,0)+IF(BE$4=$D$10-1,$D$29,0)+$D$30*BE50</f>
        <v>0</v>
      </c>
      <c r="BF54" s="48" t="n">
        <f aca="false">IF(BF$4=$D$12,$D$28,0)+IF(BF$4=$D$10-1,$D$29,0)+$D$30*BF50</f>
        <v>0</v>
      </c>
      <c r="BG54" s="48" t="n">
        <f aca="false">IF(BG$4=$D$12,$D$28,0)+IF(BG$4=$D$10-1,$D$29,0)+$D$30*BG50</f>
        <v>0</v>
      </c>
      <c r="BH54" s="48" t="n">
        <f aca="false">IF(BH$4=$D$12,$D$28,0)+IF(BH$4=$D$10-1,$D$29,0)+$D$30*BH50</f>
        <v>0</v>
      </c>
      <c r="BI54" s="48" t="n">
        <f aca="false">IF(BI$4=$D$12,$D$28,0)+IF(BI$4=$D$10-1,$D$29,0)+$D$30*BI50</f>
        <v>0</v>
      </c>
      <c r="BJ54" s="48" t="n">
        <f aca="false">IF(BJ$4=$D$12,$D$28,0)+IF(BJ$4=$D$10-1,$D$29,0)+$D$30*BJ50</f>
        <v>0</v>
      </c>
      <c r="BK54" s="48" t="n">
        <f aca="false">IF(BK$4=$D$12,$D$28,0)+IF(BK$4=$D$10-1,$D$29,0)+$D$30*BK50</f>
        <v>0</v>
      </c>
      <c r="BL54" s="48" t="n">
        <f aca="false">IF(BL$4=$D$12,$D$28,0)+IF(BL$4=$D$10-1,$D$29,0)+$D$30*BL50</f>
        <v>0</v>
      </c>
      <c r="BM54" s="48" t="n">
        <f aca="false">IF(BM$4=$D$12,$D$28,0)+IF(BM$4=$D$10-1,$D$29,0)+$D$30*BM50</f>
        <v>0</v>
      </c>
      <c r="BN54" s="48" t="n">
        <f aca="false">IF(BN$4=$D$12,$D$28,0)+IF(BN$4=$D$10-1,$D$29,0)+$D$30*BN50</f>
        <v>0</v>
      </c>
      <c r="BO54" s="48" t="n">
        <f aca="false">IF(BO$4=$D$12,$D$28,0)+IF(BO$4=$D$10-1,$D$29,0)+$D$30*BO50</f>
        <v>0</v>
      </c>
      <c r="BP54" s="48" t="n">
        <f aca="false">IF(BP$4=$D$12,$D$28,0)+IF(BP$4=$D$10-1,$D$29,0)+$D$30*BP50</f>
        <v>0</v>
      </c>
      <c r="BQ54" s="48" t="n">
        <f aca="false">IF(BQ$4=$D$12,$D$28,0)+IF(BQ$4=$D$10-1,$D$29,0)+$D$30*BQ50</f>
        <v>0</v>
      </c>
      <c r="BR54" s="48" t="n">
        <f aca="false">IF(BR$4=$D$12,$D$28,0)+IF(BR$4=$D$10-1,$D$29,0)+$D$30*BR50</f>
        <v>0</v>
      </c>
      <c r="BS54" s="48" t="n">
        <f aca="false">IF(BS$4=$D$12,$D$28,0)+IF(BS$4=$D$10-1,$D$29,0)+$D$30*BS50</f>
        <v>0</v>
      </c>
      <c r="BT54" s="48" t="n">
        <f aca="false">IF(BT$4=$D$12,$D$28,0)+IF(BT$4=$D$10-1,$D$29,0)+$D$30*BT50</f>
        <v>0</v>
      </c>
      <c r="BU54" s="48" t="n">
        <f aca="false">IF(BU$4=$D$12,$D$28,0)+IF(BU$4=$D$10-1,$D$29,0)+$D$30*BU50</f>
        <v>0</v>
      </c>
      <c r="BV54" s="48" t="n">
        <f aca="false">IF(BV$4=$D$12,$D$28,0)+IF(BV$4=$D$10-1,$D$29,0)+$D$30*BV50</f>
        <v>0</v>
      </c>
      <c r="BW54" s="48" t="n">
        <f aca="false">IF(BW$4=$D$12,$D$28,0)+IF(BW$4=$D$10-1,$D$29,0)+$D$30*BW50</f>
        <v>0</v>
      </c>
      <c r="BX54" s="48" t="n">
        <f aca="false">IF(BX$4=$D$12,$D$28,0)+IF(BX$4=$D$10-1,$D$29,0)+$D$30*BX50</f>
        <v>0</v>
      </c>
    </row>
    <row r="55" customFormat="false" ht="15" hidden="false" customHeight="false" outlineLevel="0" collapsed="false">
      <c r="A55" s="1"/>
      <c r="B55" s="4" t="s">
        <v>318</v>
      </c>
      <c r="C55" s="8" t="s">
        <v>126</v>
      </c>
      <c r="D55" s="44" t="n">
        <f aca="false">SUM(G55:BX55)</f>
        <v>12575</v>
      </c>
      <c r="E55" s="1"/>
      <c r="F55" s="1"/>
      <c r="G55" s="44" t="n">
        <f aca="false">G53+G54</f>
        <v>0</v>
      </c>
      <c r="H55" s="44" t="n">
        <f aca="false">H53+H54</f>
        <v>0</v>
      </c>
      <c r="I55" s="44" t="n">
        <f aca="false">I53+I54</f>
        <v>0</v>
      </c>
      <c r="J55" s="44" t="n">
        <f aca="false">J53+J54</f>
        <v>1948.20727230859</v>
      </c>
      <c r="K55" s="44" t="n">
        <f aca="false">K53+K54</f>
        <v>2632.26570066439</v>
      </c>
      <c r="L55" s="44" t="n">
        <f aca="false">L53+L54</f>
        <v>3364.05405405405</v>
      </c>
      <c r="M55" s="44" t="n">
        <f aca="false">M53+M54</f>
        <v>2632.26570066439</v>
      </c>
      <c r="N55" s="44" t="n">
        <f aca="false">N53+N54</f>
        <v>1998.20727230859</v>
      </c>
      <c r="O55" s="44" t="n">
        <f aca="false">O53+O54</f>
        <v>0</v>
      </c>
      <c r="P55" s="44" t="n">
        <f aca="false">P53+P54</f>
        <v>0</v>
      </c>
      <c r="Q55" s="44" t="n">
        <f aca="false">Q53+Q54</f>
        <v>0</v>
      </c>
      <c r="R55" s="44" t="n">
        <f aca="false">R53+R54</f>
        <v>0</v>
      </c>
      <c r="S55" s="44" t="n">
        <f aca="false">S53+S54</f>
        <v>0</v>
      </c>
      <c r="T55" s="44" t="n">
        <f aca="false">T53+T54</f>
        <v>0</v>
      </c>
      <c r="U55" s="44" t="n">
        <f aca="false">U53+U54</f>
        <v>0</v>
      </c>
      <c r="V55" s="44" t="n">
        <f aca="false">V53+V54</f>
        <v>0</v>
      </c>
      <c r="W55" s="44" t="n">
        <f aca="false">W53+W54</f>
        <v>0</v>
      </c>
      <c r="X55" s="44" t="n">
        <f aca="false">X53+X54</f>
        <v>0</v>
      </c>
      <c r="Y55" s="44" t="n">
        <f aca="false">Y53+Y54</f>
        <v>0</v>
      </c>
      <c r="Z55" s="44" t="n">
        <f aca="false">Z53+Z54</f>
        <v>0</v>
      </c>
      <c r="AA55" s="44" t="n">
        <f aca="false">AA53+AA54</f>
        <v>0</v>
      </c>
      <c r="AB55" s="44" t="n">
        <f aca="false">AB53+AB54</f>
        <v>0</v>
      </c>
      <c r="AC55" s="44" t="n">
        <f aca="false">AC53+AC54</f>
        <v>0</v>
      </c>
      <c r="AD55" s="44" t="n">
        <f aca="false">AD53+AD54</f>
        <v>0</v>
      </c>
      <c r="AE55" s="44" t="n">
        <f aca="false">AE53+AE54</f>
        <v>0</v>
      </c>
      <c r="AF55" s="44" t="n">
        <f aca="false">AF53+AF54</f>
        <v>0</v>
      </c>
      <c r="AG55" s="44" t="n">
        <f aca="false">AG53+AG54</f>
        <v>0</v>
      </c>
      <c r="AH55" s="44" t="n">
        <f aca="false">AH53+AH54</f>
        <v>0</v>
      </c>
      <c r="AI55" s="44" t="n">
        <f aca="false">AI53+AI54</f>
        <v>0</v>
      </c>
      <c r="AJ55" s="44" t="n">
        <f aca="false">AJ53+AJ54</f>
        <v>0</v>
      </c>
      <c r="AK55" s="44" t="n">
        <f aca="false">AK53+AK54</f>
        <v>0</v>
      </c>
      <c r="AL55" s="44" t="n">
        <f aca="false">AL53+AL54</f>
        <v>0</v>
      </c>
      <c r="AM55" s="44" t="n">
        <f aca="false">AM53+AM54</f>
        <v>0</v>
      </c>
      <c r="AN55" s="44" t="n">
        <f aca="false">AN53+AN54</f>
        <v>0</v>
      </c>
      <c r="AO55" s="44" t="n">
        <f aca="false">AO53+AO54</f>
        <v>0</v>
      </c>
      <c r="AP55" s="44" t="n">
        <f aca="false">AP53+AP54</f>
        <v>0</v>
      </c>
      <c r="AQ55" s="44" t="n">
        <f aca="false">AQ53+AQ54</f>
        <v>0</v>
      </c>
      <c r="AR55" s="44" t="n">
        <f aca="false">AR53+AR54</f>
        <v>0</v>
      </c>
      <c r="AS55" s="44" t="n">
        <f aca="false">AS53+AS54</f>
        <v>0</v>
      </c>
      <c r="AT55" s="44" t="n">
        <f aca="false">AT53+AT54</f>
        <v>0</v>
      </c>
      <c r="AU55" s="44" t="n">
        <f aca="false">AU53+AU54</f>
        <v>0</v>
      </c>
      <c r="AV55" s="44" t="n">
        <f aca="false">AV53+AV54</f>
        <v>0</v>
      </c>
      <c r="AW55" s="44" t="n">
        <f aca="false">AW53+AW54</f>
        <v>0</v>
      </c>
      <c r="AX55" s="44" t="n">
        <f aca="false">AX53+AX54</f>
        <v>0</v>
      </c>
      <c r="AY55" s="44" t="n">
        <f aca="false">AY53+AY54</f>
        <v>0</v>
      </c>
      <c r="AZ55" s="44" t="n">
        <f aca="false">AZ53+AZ54</f>
        <v>0</v>
      </c>
      <c r="BA55" s="44" t="n">
        <f aca="false">BA53+BA54</f>
        <v>0</v>
      </c>
      <c r="BB55" s="44" t="n">
        <f aca="false">BB53+BB54</f>
        <v>0</v>
      </c>
      <c r="BC55" s="44" t="n">
        <f aca="false">BC53+BC54</f>
        <v>0</v>
      </c>
      <c r="BD55" s="44" t="n">
        <f aca="false">BD53+BD54</f>
        <v>0</v>
      </c>
      <c r="BE55" s="44" t="n">
        <f aca="false">BE53+BE54</f>
        <v>0</v>
      </c>
      <c r="BF55" s="44" t="n">
        <f aca="false">BF53+BF54</f>
        <v>0</v>
      </c>
      <c r="BG55" s="44" t="n">
        <f aca="false">BG53+BG54</f>
        <v>0</v>
      </c>
      <c r="BH55" s="44" t="n">
        <f aca="false">BH53+BH54</f>
        <v>0</v>
      </c>
      <c r="BI55" s="44" t="n">
        <f aca="false">BI53+BI54</f>
        <v>0</v>
      </c>
      <c r="BJ55" s="44" t="n">
        <f aca="false">BJ53+BJ54</f>
        <v>0</v>
      </c>
      <c r="BK55" s="44" t="n">
        <f aca="false">BK53+BK54</f>
        <v>0</v>
      </c>
      <c r="BL55" s="44" t="n">
        <f aca="false">BL53+BL54</f>
        <v>0</v>
      </c>
      <c r="BM55" s="44" t="n">
        <f aca="false">BM53+BM54</f>
        <v>0</v>
      </c>
      <c r="BN55" s="44" t="n">
        <f aca="false">BN53+BN54</f>
        <v>0</v>
      </c>
      <c r="BO55" s="44" t="n">
        <f aca="false">BO53+BO54</f>
        <v>0</v>
      </c>
      <c r="BP55" s="44" t="n">
        <f aca="false">BP53+BP54</f>
        <v>0</v>
      </c>
      <c r="BQ55" s="44" t="n">
        <f aca="false">BQ53+BQ54</f>
        <v>0</v>
      </c>
      <c r="BR55" s="44" t="n">
        <f aca="false">BR53+BR54</f>
        <v>0</v>
      </c>
      <c r="BS55" s="44" t="n">
        <f aca="false">BS53+BS54</f>
        <v>0</v>
      </c>
      <c r="BT55" s="44" t="n">
        <f aca="false">BT53+BT54</f>
        <v>0</v>
      </c>
      <c r="BU55" s="44" t="n">
        <f aca="false">BU53+BU54</f>
        <v>0</v>
      </c>
      <c r="BV55" s="44" t="n">
        <f aca="false">BV53+BV54</f>
        <v>0</v>
      </c>
      <c r="BW55" s="44" t="n">
        <f aca="false">BW53+BW54</f>
        <v>0</v>
      </c>
      <c r="BX55" s="44" t="n">
        <f aca="false">BX53+BX54</f>
        <v>0</v>
      </c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</row>
    <row r="57" customFormat="false" ht="15" hidden="false" customHeight="false" outlineLevel="0" collapsed="false">
      <c r="A57" s="1"/>
      <c r="B57" s="13" t="s">
        <v>319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</row>
    <row r="58" customFormat="false" ht="15" hidden="false" customHeight="false" outlineLevel="0" collapsed="false">
      <c r="A58" s="1"/>
      <c r="B58" s="8" t="s">
        <v>320</v>
      </c>
      <c r="C58" s="8" t="s">
        <v>76</v>
      </c>
      <c r="D58" s="1"/>
      <c r="E58" s="1"/>
      <c r="F58" s="1"/>
      <c r="G58" s="49" t="n">
        <f aca="false">Input!J36</f>
        <v>496</v>
      </c>
      <c r="H58" s="49" t="n">
        <f aca="false">Input!K36</f>
        <v>445</v>
      </c>
      <c r="I58" s="49" t="n">
        <f aca="false">Input!L36</f>
        <v>420</v>
      </c>
      <c r="J58" s="49" t="n">
        <f aca="false">Input!M36</f>
        <v>410</v>
      </c>
      <c r="K58" s="49" t="n">
        <f aca="false">Input!N36</f>
        <v>408</v>
      </c>
      <c r="L58" s="49" t="n">
        <f aca="false">Input!O36</f>
        <v>406</v>
      </c>
      <c r="M58" s="49" t="n">
        <f aca="false">Input!P36</f>
        <v>404</v>
      </c>
      <c r="N58" s="49" t="n">
        <f aca="false">Input!Q36</f>
        <v>402</v>
      </c>
      <c r="O58" s="49" t="n">
        <f aca="false">Input!R36</f>
        <v>400</v>
      </c>
      <c r="P58" s="49" t="n">
        <f aca="false">Input!S36</f>
        <v>398</v>
      </c>
      <c r="Q58" s="49" t="n">
        <f aca="false">Input!T36</f>
        <v>396</v>
      </c>
      <c r="R58" s="49" t="n">
        <f aca="false">Input!U36</f>
        <v>394</v>
      </c>
      <c r="S58" s="49" t="n">
        <f aca="false">Input!V36</f>
        <v>392</v>
      </c>
      <c r="T58" s="49" t="n">
        <f aca="false">Input!W36</f>
        <v>390</v>
      </c>
      <c r="U58" s="49" t="n">
        <f aca="false">Input!X36</f>
        <v>389</v>
      </c>
      <c r="V58" s="49" t="n">
        <f aca="false">Input!Y36</f>
        <v>388</v>
      </c>
      <c r="W58" s="49" t="n">
        <f aca="false">Input!Z36</f>
        <v>387</v>
      </c>
      <c r="X58" s="49" t="n">
        <f aca="false">Input!AA36</f>
        <v>386</v>
      </c>
      <c r="Y58" s="49" t="n">
        <f aca="false">Input!AB36</f>
        <v>385</v>
      </c>
      <c r="Z58" s="49" t="n">
        <f aca="false">Input!AC36</f>
        <v>384</v>
      </c>
      <c r="AA58" s="49" t="n">
        <f aca="false">Input!AD36</f>
        <v>383</v>
      </c>
      <c r="AB58" s="49" t="n">
        <f aca="false">Input!AE36</f>
        <v>382</v>
      </c>
      <c r="AC58" s="49" t="n">
        <f aca="false">Input!AF36</f>
        <v>381</v>
      </c>
      <c r="AD58" s="49" t="n">
        <f aca="false">Input!AG36</f>
        <v>380</v>
      </c>
      <c r="AE58" s="49" t="n">
        <f aca="false">Input!AH36</f>
        <v>380</v>
      </c>
      <c r="AF58" s="49" t="n">
        <f aca="false">Input!AI36</f>
        <v>380</v>
      </c>
      <c r="AG58" s="49" t="n">
        <f aca="false">Input!AJ36</f>
        <v>380</v>
      </c>
      <c r="AH58" s="49" t="n">
        <f aca="false">Input!AK36</f>
        <v>380</v>
      </c>
      <c r="AI58" s="49" t="n">
        <f aca="false">Input!AL36</f>
        <v>380</v>
      </c>
      <c r="AJ58" s="49" t="n">
        <f aca="false">Input!AM36</f>
        <v>380</v>
      </c>
      <c r="AK58" s="49" t="n">
        <f aca="false">Input!AN36</f>
        <v>380</v>
      </c>
      <c r="AL58" s="49" t="n">
        <f aca="false">Input!AO36</f>
        <v>380</v>
      </c>
      <c r="AM58" s="49" t="n">
        <f aca="false">Input!AP36</f>
        <v>380</v>
      </c>
      <c r="AN58" s="49" t="n">
        <f aca="false">Input!AQ36</f>
        <v>380</v>
      </c>
      <c r="AO58" s="49" t="n">
        <f aca="false">Input!AR36</f>
        <v>380</v>
      </c>
      <c r="AP58" s="49" t="n">
        <f aca="false">Input!AS36</f>
        <v>380</v>
      </c>
      <c r="AQ58" s="49" t="n">
        <f aca="false">Input!AT36</f>
        <v>380</v>
      </c>
      <c r="AR58" s="49" t="n">
        <f aca="false">Input!AU36</f>
        <v>380</v>
      </c>
      <c r="AS58" s="49" t="n">
        <f aca="false">Input!AV36</f>
        <v>380</v>
      </c>
      <c r="AT58" s="49" t="n">
        <f aca="false">Input!AW36</f>
        <v>380</v>
      </c>
      <c r="AU58" s="49" t="n">
        <f aca="false">Input!AX36</f>
        <v>380</v>
      </c>
      <c r="AV58" s="49" t="n">
        <f aca="false">Input!AY36</f>
        <v>380</v>
      </c>
      <c r="AW58" s="49" t="n">
        <f aca="false">Input!AZ36</f>
        <v>380</v>
      </c>
      <c r="AX58" s="49" t="n">
        <f aca="false">Input!BA36</f>
        <v>380</v>
      </c>
      <c r="AY58" s="49" t="n">
        <f aca="false">Input!BB36</f>
        <v>380</v>
      </c>
      <c r="AZ58" s="49" t="n">
        <f aca="false">Input!BC36</f>
        <v>380</v>
      </c>
      <c r="BA58" s="49" t="n">
        <f aca="false">Input!BD36</f>
        <v>380</v>
      </c>
      <c r="BB58" s="49" t="n">
        <f aca="false">Input!BE36</f>
        <v>380</v>
      </c>
      <c r="BC58" s="49" t="n">
        <f aca="false">Input!BF36</f>
        <v>380</v>
      </c>
      <c r="BD58" s="49" t="n">
        <f aca="false">Input!BG36</f>
        <v>380</v>
      </c>
      <c r="BE58" s="49" t="n">
        <f aca="false">Input!BH36</f>
        <v>380</v>
      </c>
      <c r="BF58" s="49" t="n">
        <f aca="false">Input!BI36</f>
        <v>380</v>
      </c>
      <c r="BG58" s="49" t="n">
        <f aca="false">Input!BJ36</f>
        <v>380</v>
      </c>
      <c r="BH58" s="49" t="n">
        <f aca="false">Input!BK36</f>
        <v>380</v>
      </c>
      <c r="BI58" s="49" t="n">
        <f aca="false">Input!BL36</f>
        <v>380</v>
      </c>
      <c r="BJ58" s="49" t="n">
        <f aca="false">Input!BM36</f>
        <v>380</v>
      </c>
      <c r="BK58" s="49" t="n">
        <f aca="false">Input!BN36</f>
        <v>380</v>
      </c>
      <c r="BL58" s="49" t="n">
        <f aca="false">Input!BO36</f>
        <v>380</v>
      </c>
      <c r="BM58" s="49" t="n">
        <f aca="false">Input!BP36</f>
        <v>380</v>
      </c>
      <c r="BN58" s="49" t="n">
        <f aca="false">Input!BQ36</f>
        <v>380</v>
      </c>
      <c r="BO58" s="49" t="n">
        <f aca="false">Input!BR36</f>
        <v>380</v>
      </c>
      <c r="BP58" s="49" t="n">
        <f aca="false">Input!BS36</f>
        <v>380</v>
      </c>
      <c r="BQ58" s="49" t="n">
        <f aca="false">Input!BT36</f>
        <v>380</v>
      </c>
      <c r="BR58" s="49" t="n">
        <f aca="false">Input!BU36</f>
        <v>380</v>
      </c>
      <c r="BS58" s="49" t="n">
        <f aca="false">Input!BV36</f>
        <v>380</v>
      </c>
      <c r="BT58" s="49" t="n">
        <f aca="false">Input!BW36</f>
        <v>380</v>
      </c>
      <c r="BU58" s="49" t="n">
        <f aca="false">Input!BX36</f>
        <v>380</v>
      </c>
      <c r="BV58" s="49" t="n">
        <f aca="false">Input!BY36</f>
        <v>380</v>
      </c>
      <c r="BW58" s="49" t="n">
        <f aca="false">Input!BZ36</f>
        <v>380</v>
      </c>
      <c r="BX58" s="49" t="n">
        <f aca="false">Input!CA36</f>
        <v>380</v>
      </c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</row>
    <row r="60" customFormat="false" ht="15" hidden="false" customHeight="false" outlineLevel="0" collapsed="false">
      <c r="A60" s="1"/>
      <c r="B60" s="13" t="s">
        <v>321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</row>
    <row r="61" customFormat="false" ht="15" hidden="false" customHeight="false" outlineLevel="0" collapsed="false">
      <c r="A61" s="1"/>
      <c r="B61" s="8" t="s">
        <v>322</v>
      </c>
      <c r="C61" s="8" t="s">
        <v>66</v>
      </c>
      <c r="D61" s="1"/>
      <c r="E61" s="1"/>
      <c r="F61" s="1"/>
      <c r="G61" s="43" t="n">
        <f aca="false">IF(G45=1,IFERROR(INDEX(Twin!$G$9:$BN$9,1,G46),0),0)</f>
        <v>0</v>
      </c>
      <c r="H61" s="43" t="n">
        <f aca="false">IF(H45=1,IFERROR(INDEX(Twin!$G$9:$BN$9,1,H46),0),0)</f>
        <v>0</v>
      </c>
      <c r="I61" s="43" t="n">
        <f aca="false">IF(I45=1,IFERROR(INDEX(Twin!$G$9:$BN$9,1,I46),0),0)</f>
        <v>0</v>
      </c>
      <c r="J61" s="43" t="n">
        <f aca="false">IF(J45=1,IFERROR(INDEX(Twin!$G$9:$BN$9,1,J46),0),0)</f>
        <v>0</v>
      </c>
      <c r="K61" s="43" t="n">
        <f aca="false">IF(K45=1,IFERROR(INDEX(Twin!$G$9:$BN$9,1,K46),0),0)</f>
        <v>0</v>
      </c>
      <c r="L61" s="43" t="n">
        <f aca="false">IF(L45=1,IFERROR(INDEX(Twin!$G$9:$BN$9,1,L46),0),0)</f>
        <v>0</v>
      </c>
      <c r="M61" s="43" t="n">
        <f aca="false">IF(M45=1,IFERROR(INDEX(Twin!$G$9:$BN$9,1,M46),0),0)</f>
        <v>0</v>
      </c>
      <c r="N61" s="43" t="n">
        <f aca="false">IF(N45=1,IFERROR(INDEX(Twin!$G$9:$BN$9,1,N46),0),0)</f>
        <v>0</v>
      </c>
      <c r="O61" s="43" t="n">
        <f aca="false">IF(O45=1,IFERROR(INDEX(Twin!$G$9:$BN$9,1,O46),0),0)</f>
        <v>0.925928561643836</v>
      </c>
      <c r="P61" s="43" t="n">
        <f aca="false">IF(P45=1,IFERROR(INDEX(Twin!$G$9:$BN$9,1,P46),0),0)</f>
        <v>0.887789054794521</v>
      </c>
      <c r="Q61" s="43" t="n">
        <f aca="false">IF(Q45=1,IFERROR(INDEX(Twin!$G$9:$BN$9,1,Q46),0),0)</f>
        <v>0.887789054794521</v>
      </c>
      <c r="R61" s="43" t="n">
        <f aca="false">IF(R45=1,IFERROR(INDEX(Twin!$G$9:$BN$9,1,R46),0),0)</f>
        <v>0.955592246575343</v>
      </c>
      <c r="S61" s="43" t="n">
        <f aca="false">IF(S45=1,IFERROR(INDEX(Twin!$G$9:$BN$9,1,S46),0),0)</f>
        <v>0.916231837899543</v>
      </c>
      <c r="T61" s="43" t="n">
        <f aca="false">IF(T45=1,IFERROR(INDEX(Twin!$G$9:$BN$9,1,T46),0),0)</f>
        <v>0.916247063926941</v>
      </c>
      <c r="U61" s="43" t="n">
        <f aca="false">IF(U45=1,IFERROR(INDEX(Twin!$G$9:$BN$9,1,U46),0),0)</f>
        <v>0.955631721461187</v>
      </c>
      <c r="V61" s="43" t="n">
        <f aca="false">IF(V45=1,IFERROR(INDEX(Twin!$G$9:$BN$9,1,V46),0),0)</f>
        <v>0.916231837899543</v>
      </c>
      <c r="W61" s="43" t="n">
        <f aca="false">IF(W45=1,IFERROR(INDEX(Twin!$G$9:$BN$9,1,W46),0),0)</f>
        <v>0.916256086757991</v>
      </c>
      <c r="X61" s="43" t="n">
        <f aca="false">IF(X45=1,IFERROR(INDEX(Twin!$G$9:$BN$9,1,X46),0),0)</f>
        <v>0.889999648401826</v>
      </c>
      <c r="Y61" s="43" t="n">
        <f aca="false">IF(Y45=1,IFERROR(INDEX(Twin!$G$9:$BN$9,1,Y46),0),0)</f>
        <v>0.916280335616438</v>
      </c>
      <c r="Z61" s="43" t="n">
        <f aca="false">IF(Z45=1,IFERROR(INDEX(Twin!$G$9:$BN$9,1,Z46),0),0)</f>
        <v>0.916280335616438</v>
      </c>
      <c r="AA61" s="43" t="n">
        <f aca="false">IF(AA45=1,IFERROR(INDEX(Twin!$G$9:$BN$9,1,AA46),0),0)</f>
        <v>0.955640744292238</v>
      </c>
      <c r="AB61" s="43" t="n">
        <f aca="false">IF(AB45=1,IFERROR(INDEX(Twin!$G$9:$BN$9,1,AB46),0),0)</f>
        <v>0.916295561643836</v>
      </c>
      <c r="AC61" s="43" t="n">
        <f aca="false">IF(AC45=1,IFERROR(INDEX(Twin!$G$9:$BN$9,1,AC46),0),0)</f>
        <v>0.916350262557078</v>
      </c>
      <c r="AD61" s="43" t="n">
        <f aca="false">IF(AD45=1,IFERROR(INDEX(Twin!$G$9:$BN$9,1,AD46),0),0)</f>
        <v>0.95570446803653</v>
      </c>
      <c r="AE61" s="43" t="n">
        <f aca="false">IF(AE45=1,IFERROR(INDEX(Twin!$G$9:$BN$9,1,AE46),0),0)</f>
        <v>0.916265109589041</v>
      </c>
      <c r="AF61" s="43" t="n">
        <f aca="false">IF(AF45=1,IFERROR(INDEX(Twin!$G$9:$BN$9,1,AF46),0),0)</f>
        <v>0.916265109589041</v>
      </c>
      <c r="AG61" s="43" t="n">
        <f aca="false">IF(AG45=1,IFERROR(INDEX(Twin!$G$9:$BN$9,1,AG46),0),0)</f>
        <v>0.95562551826484</v>
      </c>
      <c r="AH61" s="43" t="n">
        <f aca="false">IF(AH45=1,IFERROR(INDEX(Twin!$G$9:$BN$9,1,AH46),0),0)</f>
        <v>0.876856203196347</v>
      </c>
      <c r="AI61" s="43" t="n">
        <f aca="false">IF(AI45=1,IFERROR(INDEX(Twin!$G$9:$BN$9,1,AI46),0),0)</f>
        <v>0.916265109589041</v>
      </c>
      <c r="AJ61" s="43" t="n">
        <f aca="false">IF(AJ45=1,IFERROR(INDEX(Twin!$G$9:$BN$9,1,AJ46),0),0)</f>
        <v>0.955610292237443</v>
      </c>
      <c r="AK61" s="43" t="n">
        <f aca="false">IF(AK45=1,IFERROR(INDEX(Twin!$G$9:$BN$9,1,AK46),0),0)</f>
        <v>0.916225634703196</v>
      </c>
      <c r="AL61" s="43" t="n">
        <f aca="false">IF(AL45=1,IFERROR(INDEX(Twin!$G$9:$BN$9,1,AL46),0),0)</f>
        <v>0.916201385844749</v>
      </c>
      <c r="AM61" s="43" t="n">
        <f aca="false">IF(AM45=1,IFERROR(INDEX(Twin!$G$9:$BN$9,1,AM46),0),0)</f>
        <v>0.955586043378995</v>
      </c>
      <c r="AN61" s="43" t="n">
        <f aca="false">IF(AN45=1,IFERROR(INDEX(Twin!$G$9:$BN$9,1,AN46),0),0)</f>
        <v>0.916201385844749</v>
      </c>
      <c r="AO61" s="43" t="n">
        <f aca="false">IF(AO45=1,IFERROR(INDEX(Twin!$G$9:$BN$9,1,AO46),0),0)</f>
        <v>0.916201385844749</v>
      </c>
      <c r="AP61" s="43" t="n">
        <f aca="false">IF(AP45=1,IFERROR(INDEX(Twin!$G$9:$BN$9,1,AP46),0),0)</f>
        <v>0.955586043378995</v>
      </c>
      <c r="AQ61" s="43" t="n">
        <f aca="false">IF(AQ45=1,IFERROR(INDEX(Twin!$G$9:$BN$9,1,AQ46),0),0)</f>
        <v>0.916201385844749</v>
      </c>
      <c r="AR61" s="43" t="n">
        <f aca="false">IF(AR45=1,IFERROR(INDEX(Twin!$G$9:$BN$9,1,AR46),0),0)</f>
        <v>0.876816728310502</v>
      </c>
      <c r="AS61" s="43" t="n">
        <f aca="false">IF(AS45=1,IFERROR(INDEX(Twin!$G$9:$BN$9,1,AS46),0),0)</f>
        <v>0.955586043378995</v>
      </c>
      <c r="AT61" s="43" t="n">
        <f aca="false">IF(AT45=1,IFERROR(INDEX(Twin!$G$9:$BN$9,1,AT46),0),0)</f>
        <v>0.916201385844749</v>
      </c>
      <c r="AU61" s="43" t="n">
        <f aca="false">IF(AU45=1,IFERROR(INDEX(Twin!$G$9:$BN$9,1,AU46),0),0)</f>
        <v>0.916201385844749</v>
      </c>
      <c r="AV61" s="43" t="n">
        <f aca="false">IF(AV45=1,IFERROR(INDEX(Twin!$G$9:$BN$9,1,AV46),0),0)</f>
        <v>0.955586043378995</v>
      </c>
      <c r="AW61" s="43" t="n">
        <f aca="false">IF(AW45=1,IFERROR(INDEX(Twin!$G$9:$BN$9,1,AW46),0),0)</f>
        <v>0.916201385844749</v>
      </c>
      <c r="AX61" s="43" t="n">
        <f aca="false">IF(AX45=1,IFERROR(INDEX(Twin!$G$9:$BN$9,1,AX46),0),0)</f>
        <v>0.916201385844749</v>
      </c>
      <c r="AY61" s="43" t="n">
        <f aca="false">IF(AY45=1,IFERROR(INDEX(Twin!$G$9:$BN$9,1,AY46),0),0)</f>
        <v>0.955586043378995</v>
      </c>
      <c r="AZ61" s="43" t="n">
        <f aca="false">IF(AZ45=1,IFERROR(INDEX(Twin!$G$9:$BN$9,1,AZ46),0),0)</f>
        <v>0.916201385844749</v>
      </c>
      <c r="BA61" s="43" t="n">
        <f aca="false">IF(BA45=1,IFERROR(INDEX(Twin!$G$9:$BN$9,1,BA46),0),0)</f>
        <v>0.916201385844749</v>
      </c>
      <c r="BB61" s="43" t="n">
        <f aca="false">IF(BB45=1,IFERROR(INDEX(Twin!$G$9:$BN$9,1,BB46),0),0)</f>
        <v>0.889944947488585</v>
      </c>
      <c r="BC61" s="43" t="n">
        <f aca="false">IF(BC45=1,IFERROR(INDEX(Twin!$G$9:$BN$9,1,BC46),0),0)</f>
        <v>0.882262006849315</v>
      </c>
      <c r="BD61" s="43" t="n">
        <f aca="false">IF(BD45=1,IFERROR(INDEX(Twin!$G$9:$BN$9,1,BD46),0),0)</f>
        <v>0.882262006849315</v>
      </c>
      <c r="BE61" s="43" t="n">
        <f aca="false">IF(BE45=1,IFERROR(INDEX(Twin!$G$9:$BN$9,1,BE46),0),0)</f>
        <v>0.921646664383562</v>
      </c>
      <c r="BF61" s="43" t="n">
        <f aca="false">IF(BF45=1,IFERROR(INDEX(Twin!$G$9:$BN$9,1,BF46),0),0)</f>
        <v>0.882262006849315</v>
      </c>
      <c r="BG61" s="43" t="n">
        <f aca="false">IF(BG45=1,IFERROR(INDEX(Twin!$G$9:$BN$9,1,BG46),0),0)</f>
        <v>0.882262006849315</v>
      </c>
      <c r="BH61" s="43" t="n">
        <f aca="false">IF(BH45=1,IFERROR(INDEX(Twin!$G$9:$BN$9,1,BH46),0),0)</f>
        <v>0.921646664383562</v>
      </c>
      <c r="BI61" s="43" t="n">
        <f aca="false">IF(BI45=1,IFERROR(INDEX(Twin!$G$9:$BN$9,1,BI46),0),0)</f>
        <v>0.882262006849315</v>
      </c>
      <c r="BJ61" s="43" t="n">
        <f aca="false">IF(BJ45=1,IFERROR(INDEX(Twin!$G$9:$BN$9,1,BJ46),0),0)</f>
        <v>0.882262006849315</v>
      </c>
      <c r="BK61" s="43" t="n">
        <f aca="false">IF(BK45=1,IFERROR(INDEX(Twin!$G$9:$BN$9,1,BK46),0),0)</f>
        <v>0.921646664383562</v>
      </c>
      <c r="BL61" s="43" t="n">
        <f aca="false">IF(BL45=1,IFERROR(INDEX(Twin!$G$9:$BN$9,1,BL46),0),0)</f>
        <v>0.842877349315069</v>
      </c>
      <c r="BM61" s="43" t="n">
        <f aca="false">IF(BM45=1,IFERROR(INDEX(Twin!$G$9:$BN$9,1,BM46),0),0)</f>
        <v>0.882262006849315</v>
      </c>
      <c r="BN61" s="43" t="n">
        <f aca="false">IF(BN45=1,IFERROR(INDEX(Twin!$G$9:$BN$9,1,BN46),0),0)</f>
        <v>0.921646664383562</v>
      </c>
      <c r="BO61" s="43" t="n">
        <f aca="false">IF(BO45=1,IFERROR(INDEX(Twin!$G$9:$BN$9,1,BO46),0),0)</f>
        <v>0.882262006849315</v>
      </c>
      <c r="BP61" s="43" t="n">
        <f aca="false">IF(BP45=1,IFERROR(INDEX(Twin!$G$9:$BN$9,1,BP46),0),0)</f>
        <v>0.882262006849315</v>
      </c>
      <c r="BQ61" s="43" t="n">
        <f aca="false">IF(BQ45=1,IFERROR(INDEX(Twin!$G$9:$BN$9,1,BQ46),0),0)</f>
        <v>0.921646664383562</v>
      </c>
      <c r="BR61" s="43" t="n">
        <f aca="false">IF(BR45=1,IFERROR(INDEX(Twin!$G$9:$BN$9,1,BR46),0),0)</f>
        <v>0.882262006849315</v>
      </c>
      <c r="BS61" s="43" t="n">
        <f aca="false">IF(BS45=1,IFERROR(INDEX(Twin!$G$9:$BN$9,1,BS46),0),0)</f>
        <v>0.882262006849315</v>
      </c>
      <c r="BT61" s="43" t="n">
        <f aca="false">IF(BT45=1,IFERROR(INDEX(Twin!$G$9:$BN$9,1,BT46),0),0)</f>
        <v>0.921646664383562</v>
      </c>
      <c r="BU61" s="43" t="n">
        <f aca="false">IF(BU45=1,IFERROR(INDEX(Twin!$G$9:$BN$9,1,BU46),0),0)</f>
        <v>0.882262006849315</v>
      </c>
      <c r="BV61" s="43" t="n">
        <f aca="false">IF(BV45=1,IFERROR(INDEX(Twin!$G$9:$BN$9,1,BV46),0),0)</f>
        <v>0.842877349315069</v>
      </c>
      <c r="BW61" s="43" t="n">
        <f aca="false">IF(BW45=1,IFERROR(INDEX(Twin!$G$9:$BN$9,1,BW46),0),0)</f>
        <v>0</v>
      </c>
      <c r="BX61" s="43" t="n">
        <f aca="false">IF(BX45=1,IFERROR(INDEX(Twin!$G$9:$BN$9,1,BX46),0),0)</f>
        <v>0</v>
      </c>
    </row>
    <row r="62" customFormat="false" ht="15" hidden="false" customHeight="false" outlineLevel="0" collapsed="false">
      <c r="A62" s="1"/>
      <c r="B62" s="8" t="s">
        <v>323</v>
      </c>
      <c r="C62" s="8" t="s">
        <v>324</v>
      </c>
      <c r="D62" s="44" t="n">
        <f aca="false">SUM(G62:BX62)</f>
        <v>143769592.122</v>
      </c>
      <c r="E62" s="1"/>
      <c r="F62" s="1"/>
      <c r="G62" s="48" t="n">
        <f aca="false">G61*$D$7*8760</f>
        <v>0</v>
      </c>
      <c r="H62" s="48" t="n">
        <f aca="false">H61*$D$7*8760</f>
        <v>0</v>
      </c>
      <c r="I62" s="48" t="n">
        <f aca="false">I61*$D$7*8760</f>
        <v>0</v>
      </c>
      <c r="J62" s="48" t="n">
        <f aca="false">J61*$D$7*8760</f>
        <v>0</v>
      </c>
      <c r="K62" s="48" t="n">
        <f aca="false">K61*$D$7*8760</f>
        <v>0</v>
      </c>
      <c r="L62" s="48" t="n">
        <f aca="false">L61*$D$7*8760</f>
        <v>0</v>
      </c>
      <c r="M62" s="48" t="n">
        <f aca="false">M61*$D$7*8760</f>
        <v>0</v>
      </c>
      <c r="N62" s="48" t="n">
        <f aca="false">N61*$D$7*8760</f>
        <v>0</v>
      </c>
      <c r="O62" s="48" t="n">
        <f aca="false">O61*$D$7*8760</f>
        <v>2433340.26</v>
      </c>
      <c r="P62" s="48" t="n">
        <f aca="false">P61*$D$7*8760</f>
        <v>2333109.636</v>
      </c>
      <c r="Q62" s="48" t="n">
        <f aca="false">Q61*$D$7*8760</f>
        <v>2333109.636</v>
      </c>
      <c r="R62" s="48" t="n">
        <f aca="false">R61*$D$7*8760</f>
        <v>2511296.424</v>
      </c>
      <c r="S62" s="48" t="n">
        <f aca="false">S61*$D$7*8760</f>
        <v>2407857.27</v>
      </c>
      <c r="T62" s="48" t="n">
        <f aca="false">T61*$D$7*8760</f>
        <v>2407897.284</v>
      </c>
      <c r="U62" s="48" t="n">
        <f aca="false">U61*$D$7*8760</f>
        <v>2511400.164</v>
      </c>
      <c r="V62" s="48" t="n">
        <f aca="false">V61*$D$7*8760</f>
        <v>2407857.27</v>
      </c>
      <c r="W62" s="48" t="n">
        <f aca="false">W61*$D$7*8760</f>
        <v>2407920.996</v>
      </c>
      <c r="X62" s="48" t="n">
        <f aca="false">X61*$D$7*8760</f>
        <v>2338919.076</v>
      </c>
      <c r="Y62" s="48" t="n">
        <f aca="false">Y61*$D$7*8760</f>
        <v>2407984.722</v>
      </c>
      <c r="Z62" s="48" t="n">
        <f aca="false">Z61*$D$7*8760</f>
        <v>2407984.722</v>
      </c>
      <c r="AA62" s="48" t="n">
        <f aca="false">AA61*$D$7*8760</f>
        <v>2511423.876</v>
      </c>
      <c r="AB62" s="48" t="n">
        <f aca="false">AB61*$D$7*8760</f>
        <v>2408024.736</v>
      </c>
      <c r="AC62" s="48" t="n">
        <f aca="false">AC61*$D$7*8760</f>
        <v>2408168.49</v>
      </c>
      <c r="AD62" s="48" t="n">
        <f aca="false">AD61*$D$7*8760</f>
        <v>2511591.342</v>
      </c>
      <c r="AE62" s="48" t="n">
        <f aca="false">AE61*$D$7*8760</f>
        <v>2407944.708</v>
      </c>
      <c r="AF62" s="48" t="n">
        <f aca="false">AF61*$D$7*8760</f>
        <v>2407944.708</v>
      </c>
      <c r="AG62" s="48" t="n">
        <f aca="false">AG61*$D$7*8760</f>
        <v>2511383.862</v>
      </c>
      <c r="AH62" s="48" t="n">
        <f aca="false">AH61*$D$7*8760</f>
        <v>2304378.102</v>
      </c>
      <c r="AI62" s="48" t="n">
        <f aca="false">AI61*$D$7*8760</f>
        <v>2407944.708</v>
      </c>
      <c r="AJ62" s="48" t="n">
        <f aca="false">AJ61*$D$7*8760</f>
        <v>2511343.848</v>
      </c>
      <c r="AK62" s="48" t="n">
        <f aca="false">AK61*$D$7*8760</f>
        <v>2407840.968</v>
      </c>
      <c r="AL62" s="48" t="n">
        <f aca="false">AL61*$D$7*8760</f>
        <v>2407777.242</v>
      </c>
      <c r="AM62" s="48" t="n">
        <f aca="false">AM61*$D$7*8760</f>
        <v>2511280.122</v>
      </c>
      <c r="AN62" s="48" t="n">
        <f aca="false">AN61*$D$7*8760</f>
        <v>2407777.242</v>
      </c>
      <c r="AO62" s="48" t="n">
        <f aca="false">AO61*$D$7*8760</f>
        <v>2407777.242</v>
      </c>
      <c r="AP62" s="48" t="n">
        <f aca="false">AP61*$D$7*8760</f>
        <v>2511280.122</v>
      </c>
      <c r="AQ62" s="48" t="n">
        <f aca="false">AQ61*$D$7*8760</f>
        <v>2407777.242</v>
      </c>
      <c r="AR62" s="48" t="n">
        <f aca="false">AR61*$D$7*8760</f>
        <v>2304274.362</v>
      </c>
      <c r="AS62" s="48" t="n">
        <f aca="false">AS61*$D$7*8760</f>
        <v>2511280.122</v>
      </c>
      <c r="AT62" s="48" t="n">
        <f aca="false">AT61*$D$7*8760</f>
        <v>2407777.242</v>
      </c>
      <c r="AU62" s="48" t="n">
        <f aca="false">AU61*$D$7*8760</f>
        <v>2407777.242</v>
      </c>
      <c r="AV62" s="48" t="n">
        <f aca="false">AV61*$D$7*8760</f>
        <v>2511280.122</v>
      </c>
      <c r="AW62" s="48" t="n">
        <f aca="false">AW61*$D$7*8760</f>
        <v>2407777.242</v>
      </c>
      <c r="AX62" s="48" t="n">
        <f aca="false">AX61*$D$7*8760</f>
        <v>2407777.242</v>
      </c>
      <c r="AY62" s="48" t="n">
        <f aca="false">AY61*$D$7*8760</f>
        <v>2511280.122</v>
      </c>
      <c r="AZ62" s="48" t="n">
        <f aca="false">AZ61*$D$7*8760</f>
        <v>2407777.242</v>
      </c>
      <c r="BA62" s="48" t="n">
        <f aca="false">BA61*$D$7*8760</f>
        <v>2407777.242</v>
      </c>
      <c r="BB62" s="48" t="n">
        <f aca="false">BB61*$D$7*8760</f>
        <v>2338775.322</v>
      </c>
      <c r="BC62" s="48" t="n">
        <f aca="false">BC61*$D$7*8760</f>
        <v>2318584.554</v>
      </c>
      <c r="BD62" s="48" t="n">
        <f aca="false">BD61*$D$7*8760</f>
        <v>2318584.554</v>
      </c>
      <c r="BE62" s="48" t="n">
        <f aca="false">BE61*$D$7*8760</f>
        <v>2422087.434</v>
      </c>
      <c r="BF62" s="48" t="n">
        <f aca="false">BF61*$D$7*8760</f>
        <v>2318584.554</v>
      </c>
      <c r="BG62" s="48" t="n">
        <f aca="false">BG61*$D$7*8760</f>
        <v>2318584.554</v>
      </c>
      <c r="BH62" s="48" t="n">
        <f aca="false">BH61*$D$7*8760</f>
        <v>2422087.434</v>
      </c>
      <c r="BI62" s="48" t="n">
        <f aca="false">BI61*$D$7*8760</f>
        <v>2318584.554</v>
      </c>
      <c r="BJ62" s="48" t="n">
        <f aca="false">BJ61*$D$7*8760</f>
        <v>2318584.554</v>
      </c>
      <c r="BK62" s="48" t="n">
        <f aca="false">BK61*$D$7*8760</f>
        <v>2422087.434</v>
      </c>
      <c r="BL62" s="48" t="n">
        <f aca="false">BL61*$D$7*8760</f>
        <v>2215081.674</v>
      </c>
      <c r="BM62" s="48" t="n">
        <f aca="false">BM61*$D$7*8760</f>
        <v>2318584.554</v>
      </c>
      <c r="BN62" s="48" t="n">
        <f aca="false">BN61*$D$7*8760</f>
        <v>2422087.434</v>
      </c>
      <c r="BO62" s="48" t="n">
        <f aca="false">BO61*$D$7*8760</f>
        <v>2318584.554</v>
      </c>
      <c r="BP62" s="48" t="n">
        <f aca="false">BP61*$D$7*8760</f>
        <v>2318584.554</v>
      </c>
      <c r="BQ62" s="48" t="n">
        <f aca="false">BQ61*$D$7*8760</f>
        <v>2422087.434</v>
      </c>
      <c r="BR62" s="48" t="n">
        <f aca="false">BR61*$D$7*8760</f>
        <v>2318584.554</v>
      </c>
      <c r="BS62" s="48" t="n">
        <f aca="false">BS61*$D$7*8760</f>
        <v>2318584.554</v>
      </c>
      <c r="BT62" s="48" t="n">
        <f aca="false">BT61*$D$7*8760</f>
        <v>2422087.434</v>
      </c>
      <c r="BU62" s="48" t="n">
        <f aca="false">BU61*$D$7*8760</f>
        <v>2318584.554</v>
      </c>
      <c r="BV62" s="48" t="n">
        <f aca="false">BV61*$D$7*8760</f>
        <v>2215081.674</v>
      </c>
      <c r="BW62" s="48" t="n">
        <f aca="false">BW61*$D$7*8760</f>
        <v>0</v>
      </c>
      <c r="BX62" s="48" t="n">
        <f aca="false">BX61*$D$7*8760</f>
        <v>0</v>
      </c>
    </row>
    <row r="63" customFormat="false" ht="15" hidden="false" customHeight="false" outlineLevel="0" collapsed="false">
      <c r="A63" s="1"/>
      <c r="B63" s="8" t="s">
        <v>325</v>
      </c>
      <c r="C63" s="8" t="s">
        <v>76</v>
      </c>
      <c r="D63" s="1"/>
      <c r="E63" s="1"/>
      <c r="F63" s="1"/>
      <c r="G63" s="49" t="n">
        <f aca="false">IF(G45=1,G58*IFERROR(INDEX(Twin!$G$13:$BN$13,1,G46),0),0)</f>
        <v>0</v>
      </c>
      <c r="H63" s="49" t="n">
        <f aca="false">IF(H45=1,H58*IFERROR(INDEX(Twin!$G$13:$BN$13,1,H46),0),0)</f>
        <v>0</v>
      </c>
      <c r="I63" s="49" t="n">
        <f aca="false">IF(I45=1,I58*IFERROR(INDEX(Twin!$G$13:$BN$13,1,I46),0),0)</f>
        <v>0</v>
      </c>
      <c r="J63" s="49" t="n">
        <f aca="false">IF(J45=1,J58*IFERROR(INDEX(Twin!$G$13:$BN$13,1,J46),0),0)</f>
        <v>0</v>
      </c>
      <c r="K63" s="49" t="n">
        <f aca="false">IF(K45=1,K58*IFERROR(INDEX(Twin!$G$13:$BN$13,1,K46),0),0)</f>
        <v>0</v>
      </c>
      <c r="L63" s="49" t="n">
        <f aca="false">IF(L45=1,L58*IFERROR(INDEX(Twin!$G$13:$BN$13,1,L46),0),0)</f>
        <v>0</v>
      </c>
      <c r="M63" s="49" t="n">
        <f aca="false">IF(M45=1,M58*IFERROR(INDEX(Twin!$G$13:$BN$13,1,M46),0),0)</f>
        <v>0</v>
      </c>
      <c r="N63" s="49" t="n">
        <f aca="false">IF(N45=1,N58*IFERROR(INDEX(Twin!$G$13:$BN$13,1,N46),0),0)</f>
        <v>0</v>
      </c>
      <c r="O63" s="49" t="n">
        <f aca="false">IF(O45=1,O58*IFERROR(INDEX(Twin!$G$13:$BN$13,1,O46),0),0)</f>
        <v>401.731216299276</v>
      </c>
      <c r="P63" s="49" t="n">
        <f aca="false">IF(P45=1,P58*IFERROR(INDEX(Twin!$G$13:$BN$13,1,P46),0),0)</f>
        <v>397.664249440872</v>
      </c>
      <c r="Q63" s="49" t="n">
        <f aca="false">IF(Q45=1,Q58*IFERROR(INDEX(Twin!$G$13:$BN$13,1,Q46),0),0)</f>
        <v>395.657015200439</v>
      </c>
      <c r="R63" s="49" t="n">
        <f aca="false">IF(R45=1,R58*IFERROR(INDEX(Twin!$G$13:$BN$13,1,R46),0),0)</f>
        <v>395.696293262962</v>
      </c>
      <c r="S63" s="49" t="n">
        <f aca="false">IF(S45=1,S58*IFERROR(INDEX(Twin!$G$13:$BN$13,1,S46),0),0)</f>
        <v>391.624073588141</v>
      </c>
      <c r="T63" s="49" t="n">
        <f aca="false">IF(T45=1,T58*IFERROR(INDEX(Twin!$G$13:$BN$13,1,T46),0),0)</f>
        <v>389.607418103687</v>
      </c>
      <c r="U63" s="49" t="n">
        <f aca="false">IF(U45=1,U58*IFERROR(INDEX(Twin!$G$13:$BN$13,1,U46),0),0)</f>
        <v>390.675759275536</v>
      </c>
      <c r="V63" s="49" t="n">
        <f aca="false">IF(V45=1,V58*IFERROR(INDEX(Twin!$G$13:$BN$13,1,V46),0),0)</f>
        <v>387.601682787086</v>
      </c>
      <c r="W63" s="49" t="n">
        <f aca="false">IF(W45=1,W58*IFERROR(INDEX(Twin!$G$13:$BN$13,1,W46),0),0)</f>
        <v>386.58701049322</v>
      </c>
      <c r="X63" s="49" t="n">
        <f aca="false">IF(X45=1,X58*IFERROR(INDEX(Twin!$G$13:$BN$13,1,X46),0),0)</f>
        <v>385.392378303661</v>
      </c>
      <c r="Y63" s="49" t="n">
        <f aca="false">IF(Y45=1,Y58*IFERROR(INDEX(Twin!$G$13:$BN$13,1,Y46),0),0)</f>
        <v>384.571787121714</v>
      </c>
      <c r="Z63" s="49" t="n">
        <f aca="false">IF(Z45=1,Z58*IFERROR(INDEX(Twin!$G$13:$BN$13,1,Z46),0),0)</f>
        <v>383.564227247263</v>
      </c>
      <c r="AA63" s="49" t="n">
        <f aca="false">IF(AA45=1,AA58*IFERROR(INDEX(Twin!$G$13:$BN$13,1,AA46),0),0)</f>
        <v>384.710343928814</v>
      </c>
      <c r="AB63" s="49" t="n">
        <f aca="false">IF(AB45=1,AB58*IFERROR(INDEX(Twin!$G$13:$BN$13,1,AB46),0),0)</f>
        <v>381.572012145322</v>
      </c>
      <c r="AC63" s="49" t="n">
        <f aca="false">IF(AC45=1,AC58*IFERROR(INDEX(Twin!$G$13:$BN$13,1,AC46),0),0)</f>
        <v>380.522761141944</v>
      </c>
      <c r="AD63" s="49" t="n">
        <f aca="false">IF(AD45=1,AD58*IFERROR(INDEX(Twin!$G$13:$BN$13,1,AD46),0),0)</f>
        <v>381.702104746268</v>
      </c>
      <c r="AE63" s="49" t="n">
        <f aca="false">IF(AE45=1,AE58*IFERROR(INDEX(Twin!$G$13:$BN$13,1,AE46),0),0)</f>
        <v>379.572441923934</v>
      </c>
      <c r="AF63" s="49" t="n">
        <f aca="false">IF(AF45=1,AF58*IFERROR(INDEX(Twin!$G$13:$BN$13,1,AF46),0),0)</f>
        <v>379.583146899776</v>
      </c>
      <c r="AG63" s="49" t="n">
        <f aca="false">IF(AG45=1,AG58*IFERROR(INDEX(Twin!$G$13:$BN$13,1,AG46),0),0)</f>
        <v>381.785955248367</v>
      </c>
      <c r="AH63" s="49" t="n">
        <f aca="false">IF(AH45=1,AH58*IFERROR(INDEX(Twin!$G$13:$BN$13,1,AH46),0),0)</f>
        <v>380.014282235001</v>
      </c>
      <c r="AI63" s="49" t="n">
        <f aca="false">IF(AI45=1,AI58*IFERROR(INDEX(Twin!$G$13:$BN$13,1,AI46),0),0)</f>
        <v>379.571240589168</v>
      </c>
      <c r="AJ63" s="49" t="n">
        <f aca="false">IF(AJ45=1,AJ58*IFERROR(INDEX(Twin!$G$13:$BN$13,1,AJ46),0),0)</f>
        <v>381.83056785091</v>
      </c>
      <c r="AK63" s="49" t="n">
        <f aca="false">IF(AK45=1,AK58*IFERROR(INDEX(Twin!$G$13:$BN$13,1,AK46),0),0)</f>
        <v>379.581922372646</v>
      </c>
      <c r="AL63" s="49" t="n">
        <f aca="false">IF(AL45=1,AL58*IFERROR(INDEX(Twin!$G$13:$BN$13,1,AL46),0),0)</f>
        <v>379.59516221658</v>
      </c>
      <c r="AM63" s="49" t="n">
        <f aca="false">IF(AM45=1,AM58*IFERROR(INDEX(Twin!$G$13:$BN$13,1,AM46),0),0)</f>
        <v>381.870060184972</v>
      </c>
      <c r="AN63" s="49" t="n">
        <f aca="false">IF(AN45=1,AN58*IFERROR(INDEX(Twin!$G$13:$BN$13,1,AN46),0),0)</f>
        <v>379.578990348048</v>
      </c>
      <c r="AO63" s="49" t="n">
        <f aca="false">IF(AO45=1,AO58*IFERROR(INDEX(Twin!$G$13:$BN$13,1,AO46),0),0)</f>
        <v>379.570904413782</v>
      </c>
      <c r="AP63" s="49" t="n">
        <f aca="false">IF(AP45=1,AP58*IFERROR(INDEX(Twin!$G$13:$BN$13,1,AP46),0),0)</f>
        <v>381.882765361465</v>
      </c>
      <c r="AQ63" s="49" t="n">
        <f aca="false">IF(AQ45=1,AQ58*IFERROR(INDEX(Twin!$G$13:$BN$13,1,AQ46),0),0)</f>
        <v>379.570904413782</v>
      </c>
      <c r="AR63" s="49" t="n">
        <f aca="false">IF(AR45=1,AR58*IFERROR(INDEX(Twin!$G$13:$BN$13,1,AR46),0),0)</f>
        <v>379.884728327069</v>
      </c>
      <c r="AS63" s="49" t="n">
        <f aca="false">IF(AS45=1,AS58*IFERROR(INDEX(Twin!$G$13:$BN$13,1,AS46),0),0)</f>
        <v>381.882765361465</v>
      </c>
      <c r="AT63" s="49" t="n">
        <f aca="false">IF(AT45=1,AT58*IFERROR(INDEX(Twin!$G$13:$BN$13,1,AT46),0),0)</f>
        <v>379.570904413782</v>
      </c>
      <c r="AU63" s="49" t="n">
        <f aca="false">IF(AU45=1,AU58*IFERROR(INDEX(Twin!$G$13:$BN$13,1,AU46),0),0)</f>
        <v>379.570904413782</v>
      </c>
      <c r="AV63" s="49" t="n">
        <f aca="false">IF(AV45=1,AV58*IFERROR(INDEX(Twin!$G$13:$BN$13,1,AV46),0),0)</f>
        <v>381.882765361465</v>
      </c>
      <c r="AW63" s="49" t="n">
        <f aca="false">IF(AW45=1,AW58*IFERROR(INDEX(Twin!$G$13:$BN$13,1,AW46),0),0)</f>
        <v>379.570904413782</v>
      </c>
      <c r="AX63" s="49" t="n">
        <f aca="false">IF(AX45=1,AX58*IFERROR(INDEX(Twin!$G$13:$BN$13,1,AX46),0),0)</f>
        <v>379.570904413782</v>
      </c>
      <c r="AY63" s="49" t="n">
        <f aca="false">IF(AY45=1,AY58*IFERROR(INDEX(Twin!$G$13:$BN$13,1,AY46),0),0)</f>
        <v>381.882765361465</v>
      </c>
      <c r="AZ63" s="49" t="n">
        <f aca="false">IF(AZ45=1,AZ58*IFERROR(INDEX(Twin!$G$13:$BN$13,1,AZ46),0),0)</f>
        <v>379.570904413782</v>
      </c>
      <c r="BA63" s="49" t="n">
        <f aca="false">IF(BA45=1,BA58*IFERROR(INDEX(Twin!$G$13:$BN$13,1,BA46),0),0)</f>
        <v>379.570904413782</v>
      </c>
      <c r="BB63" s="49" t="n">
        <f aca="false">IF(BB45=1,BB58*IFERROR(INDEX(Twin!$G$13:$BN$13,1,BB46),0),0)</f>
        <v>379.199149822314</v>
      </c>
      <c r="BC63" s="49" t="n">
        <f aca="false">IF(BC45=1,BC58*IFERROR(INDEX(Twin!$G$13:$BN$13,1,BC46),0),0)</f>
        <v>394.656416737047</v>
      </c>
      <c r="BD63" s="49" t="n">
        <f aca="false">IF(BD45=1,BD58*IFERROR(INDEX(Twin!$G$13:$BN$13,1,BD46),0),0)</f>
        <v>394.656416737047</v>
      </c>
      <c r="BE63" s="49" t="n">
        <f aca="false">IF(BE45=1,BE58*IFERROR(INDEX(Twin!$G$13:$BN$13,1,BE46),0),0)</f>
        <v>396.408763250814</v>
      </c>
      <c r="BF63" s="49" t="n">
        <f aca="false">IF(BF45=1,BF58*IFERROR(INDEX(Twin!$G$13:$BN$13,1,BF46),0),0)</f>
        <v>394.656416737047</v>
      </c>
      <c r="BG63" s="49" t="n">
        <f aca="false">IF(BG45=1,BG58*IFERROR(INDEX(Twin!$G$13:$BN$13,1,BG46),0),0)</f>
        <v>394.656416737047</v>
      </c>
      <c r="BH63" s="49" t="n">
        <f aca="false">IF(BH45=1,BH58*IFERROR(INDEX(Twin!$G$13:$BN$13,1,BH46),0),0)</f>
        <v>396.408763250814</v>
      </c>
      <c r="BI63" s="49" t="n">
        <f aca="false">IF(BI45=1,BI58*IFERROR(INDEX(Twin!$G$13:$BN$13,1,BI46),0),0)</f>
        <v>394.656416737047</v>
      </c>
      <c r="BJ63" s="49" t="n">
        <f aca="false">IF(BJ45=1,BJ58*IFERROR(INDEX(Twin!$G$13:$BN$13,1,BJ46),0),0)</f>
        <v>394.656416737047</v>
      </c>
      <c r="BK63" s="49" t="n">
        <f aca="false">IF(BK45=1,BK58*IFERROR(INDEX(Twin!$G$13:$BN$13,1,BK46),0),0)</f>
        <v>396.408763250814</v>
      </c>
      <c r="BL63" s="49" t="n">
        <f aca="false">IF(BL45=1,BL58*IFERROR(INDEX(Twin!$G$13:$BN$13,1,BL46),0),0)</f>
        <v>395.687769393753</v>
      </c>
      <c r="BM63" s="49" t="n">
        <f aca="false">IF(BM45=1,BM58*IFERROR(INDEX(Twin!$G$13:$BN$13,1,BM46),0),0)</f>
        <v>394.656416737047</v>
      </c>
      <c r="BN63" s="49" t="n">
        <f aca="false">IF(BN45=1,BN58*IFERROR(INDEX(Twin!$G$13:$BN$13,1,BN46),0),0)</f>
        <v>396.408763250814</v>
      </c>
      <c r="BO63" s="49" t="n">
        <f aca="false">IF(BO45=1,BO58*IFERROR(INDEX(Twin!$G$13:$BN$13,1,BO46),0),0)</f>
        <v>394.656416737047</v>
      </c>
      <c r="BP63" s="49" t="n">
        <f aca="false">IF(BP45=1,BP58*IFERROR(INDEX(Twin!$G$13:$BN$13,1,BP46),0),0)</f>
        <v>394.656416737047</v>
      </c>
      <c r="BQ63" s="49" t="n">
        <f aca="false">IF(BQ45=1,BQ58*IFERROR(INDEX(Twin!$G$13:$BN$13,1,BQ46),0),0)</f>
        <v>396.408763250814</v>
      </c>
      <c r="BR63" s="49" t="n">
        <f aca="false">IF(BR45=1,BR58*IFERROR(INDEX(Twin!$G$13:$BN$13,1,BR46),0),0)</f>
        <v>394.656416737047</v>
      </c>
      <c r="BS63" s="49" t="n">
        <f aca="false">IF(BS45=1,BS58*IFERROR(INDEX(Twin!$G$13:$BN$13,1,BS46),0),0)</f>
        <v>394.656416737047</v>
      </c>
      <c r="BT63" s="49" t="n">
        <f aca="false">IF(BT45=1,BT58*IFERROR(INDEX(Twin!$G$13:$BN$13,1,BT46),0),0)</f>
        <v>396.408763250814</v>
      </c>
      <c r="BU63" s="49" t="n">
        <f aca="false">IF(BU45=1,BU58*IFERROR(INDEX(Twin!$G$13:$BN$13,1,BU46),0),0)</f>
        <v>394.656416737047</v>
      </c>
      <c r="BV63" s="49" t="n">
        <f aca="false">IF(BV45=1,BV58*IFERROR(INDEX(Twin!$G$13:$BN$13,1,BV46),0),0)</f>
        <v>395.687769393753</v>
      </c>
      <c r="BW63" s="49" t="n">
        <f aca="false">IF(BW45=1,BW58*IFERROR(INDEX(Twin!$G$13:$BN$13,1,BW46),0),0)</f>
        <v>0</v>
      </c>
      <c r="BX63" s="49" t="n">
        <f aca="false">IF(BX45=1,BX58*IFERROR(INDEX(Twin!$G$13:$BN$13,1,BX46),0),0)</f>
        <v>0</v>
      </c>
    </row>
    <row r="64" customFormat="false" ht="15" hidden="false" customHeight="false" outlineLevel="0" collapsed="false">
      <c r="A64" s="1"/>
      <c r="B64" s="8" t="s">
        <v>326</v>
      </c>
      <c r="C64" s="8" t="s">
        <v>126</v>
      </c>
      <c r="D64" s="44" t="n">
        <f aca="false">SUM(G64:BX64)</f>
        <v>55699.9412497741</v>
      </c>
      <c r="E64" s="1"/>
      <c r="F64" s="1"/>
      <c r="G64" s="48" t="n">
        <f aca="false">G62*G63/1000000</f>
        <v>0</v>
      </c>
      <c r="H64" s="48" t="n">
        <f aca="false">H62*H63/1000000</f>
        <v>0</v>
      </c>
      <c r="I64" s="48" t="n">
        <f aca="false">I62*I63/1000000</f>
        <v>0</v>
      </c>
      <c r="J64" s="48" t="n">
        <f aca="false">J62*J63/1000000</f>
        <v>0</v>
      </c>
      <c r="K64" s="48" t="n">
        <f aca="false">K62*K63/1000000</f>
        <v>0</v>
      </c>
      <c r="L64" s="48" t="n">
        <f aca="false">L62*L63/1000000</f>
        <v>0</v>
      </c>
      <c r="M64" s="48" t="n">
        <f aca="false">M62*M63/1000000</f>
        <v>0</v>
      </c>
      <c r="N64" s="48" t="n">
        <f aca="false">N62*N63/1000000</f>
        <v>0</v>
      </c>
      <c r="O64" s="48" t="n">
        <f aca="false">O62*O63/1000000</f>
        <v>977.548742319797</v>
      </c>
      <c r="P64" s="48" t="n">
        <f aca="false">P62*P63/1000000</f>
        <v>927.794292263205</v>
      </c>
      <c r="Q64" s="48" t="n">
        <f aca="false">Q62*Q63/1000000</f>
        <v>923.111194715142</v>
      </c>
      <c r="R64" s="48" t="n">
        <f aca="false">R62*R63/1000000</f>
        <v>993.710686261331</v>
      </c>
      <c r="S64" s="48" t="n">
        <f aca="false">S62*S63/1000000</f>
        <v>942.97487269622</v>
      </c>
      <c r="T64" s="48" t="n">
        <f aca="false">T62*T63/1000000</f>
        <v>938.13464387812</v>
      </c>
      <c r="U64" s="48" t="n">
        <f aca="false">U62*U63/1000000</f>
        <v>981.143165915404</v>
      </c>
      <c r="V64" s="48" t="n">
        <f aca="false">V62*V63/1000000</f>
        <v>933.28952976312</v>
      </c>
      <c r="W64" s="48" t="n">
        <f aca="false">W62*W63/1000000</f>
        <v>930.870979347496</v>
      </c>
      <c r="X64" s="48" t="n">
        <f aca="false">X62*X63/1000000</f>
        <v>901.401585359441</v>
      </c>
      <c r="Y64" s="48" t="n">
        <f aca="false">Y62*Y63/1000000</f>
        <v>926.042987901323</v>
      </c>
      <c r="Z64" s="48" t="n">
        <f aca="false">Z62*Z63/1000000</f>
        <v>923.616799117145</v>
      </c>
      <c r="AA64" s="48" t="n">
        <f aca="false">AA62*AA63/1000000</f>
        <v>966.170743086995</v>
      </c>
      <c r="AB64" s="48" t="n">
        <f aca="false">AB62*AB63/1000000</f>
        <v>918.834843811227</v>
      </c>
      <c r="AC64" s="48" t="n">
        <f aca="false">AC62*AC63/1000000</f>
        <v>916.362923109826</v>
      </c>
      <c r="AD64" s="48" t="n">
        <f aca="false">AD62*AD63/1000000</f>
        <v>958.679701503904</v>
      </c>
      <c r="AE64" s="48" t="n">
        <f aca="false">AE62*AE63/1000000</f>
        <v>913.989452833374</v>
      </c>
      <c r="AF64" s="48" t="n">
        <f aca="false">AF62*AF63/1000000</f>
        <v>914.015229823302</v>
      </c>
      <c r="AG64" s="48" t="n">
        <f aca="false">AG62*AG63/1000000</f>
        <v>958.811086749003</v>
      </c>
      <c r="AH64" s="48" t="n">
        <f aca="false">AH62*AH63/1000000</f>
        <v>875.696590429585</v>
      </c>
      <c r="AI64" s="48" t="n">
        <f aca="false">AI62*AI63/1000000</f>
        <v>913.986560085682</v>
      </c>
      <c r="AJ64" s="48" t="n">
        <f aca="false">AJ62*AJ63/1000000</f>
        <v>958.907847550728</v>
      </c>
      <c r="AK64" s="48" t="n">
        <f aca="false">AK62*AK63/1000000</f>
        <v>913.972903401054</v>
      </c>
      <c r="AL64" s="48" t="n">
        <f aca="false">AL62*AL63/1000000</f>
        <v>913.98059275838</v>
      </c>
      <c r="AM64" s="48" t="n">
        <f aca="false">AM62*AM63/1000000</f>
        <v>958.982691329464</v>
      </c>
      <c r="AN64" s="48" t="n">
        <f aca="false">AN62*AN63/1000000</f>
        <v>913.941654501368</v>
      </c>
      <c r="AO64" s="48" t="n">
        <f aca="false">AO62*AO63/1000000</f>
        <v>913.922185372862</v>
      </c>
      <c r="AP64" s="48" t="n">
        <f aca="false">AP62*AP63/1000000</f>
        <v>959.014597586637</v>
      </c>
      <c r="AQ64" s="48" t="n">
        <f aca="false">AQ62*AQ63/1000000</f>
        <v>913.922185372862</v>
      </c>
      <c r="AR64" s="48" t="n">
        <f aca="false">AR62*AR63/1000000</f>
        <v>875.358639999401</v>
      </c>
      <c r="AS64" s="48" t="n">
        <f aca="false">AS62*AS63/1000000</f>
        <v>959.014597586637</v>
      </c>
      <c r="AT64" s="48" t="n">
        <f aca="false">AT62*AT63/1000000</f>
        <v>913.922185372862</v>
      </c>
      <c r="AU64" s="48" t="n">
        <f aca="false">AU62*AU63/1000000</f>
        <v>913.922185372862</v>
      </c>
      <c r="AV64" s="48" t="n">
        <f aca="false">AV62*AV63/1000000</f>
        <v>959.014597586637</v>
      </c>
      <c r="AW64" s="48" t="n">
        <f aca="false">AW62*AW63/1000000</f>
        <v>913.922185372862</v>
      </c>
      <c r="AX64" s="48" t="n">
        <f aca="false">AX62*AX63/1000000</f>
        <v>913.922185372862</v>
      </c>
      <c r="AY64" s="48" t="n">
        <f aca="false">AY62*AY63/1000000</f>
        <v>959.014597586637</v>
      </c>
      <c r="AZ64" s="48" t="n">
        <f aca="false">AZ62*AZ63/1000000</f>
        <v>913.922185372862</v>
      </c>
      <c r="BA64" s="48" t="n">
        <f aca="false">BA62*BA63/1000000</f>
        <v>913.922185372862</v>
      </c>
      <c r="BB64" s="48" t="n">
        <f aca="false">BB62*BB63/1000000</f>
        <v>886.861613727808</v>
      </c>
      <c r="BC64" s="48" t="n">
        <f aca="false">BC62*BC63/1000000</f>
        <v>915.044271983503</v>
      </c>
      <c r="BD64" s="48" t="n">
        <f aca="false">BD62*BD63/1000000</f>
        <v>915.044271983503</v>
      </c>
      <c r="BE64" s="48" t="n">
        <f aca="false">BE62*BE63/1000000</f>
        <v>960.136684197278</v>
      </c>
      <c r="BF64" s="48" t="n">
        <f aca="false">BF62*BF63/1000000</f>
        <v>915.044271983503</v>
      </c>
      <c r="BG64" s="48" t="n">
        <f aca="false">BG62*BG63/1000000</f>
        <v>915.044271983503</v>
      </c>
      <c r="BH64" s="48" t="n">
        <f aca="false">BH62*BH63/1000000</f>
        <v>960.136684197278</v>
      </c>
      <c r="BI64" s="48" t="n">
        <f aca="false">BI62*BI63/1000000</f>
        <v>915.044271983503</v>
      </c>
      <c r="BJ64" s="48" t="n">
        <f aca="false">BJ62*BJ63/1000000</f>
        <v>915.044271983503</v>
      </c>
      <c r="BK64" s="48" t="n">
        <f aca="false">BK62*BK63/1000000</f>
        <v>960.136684197278</v>
      </c>
      <c r="BL64" s="48" t="n">
        <f aca="false">BL62*BL63/1000000</f>
        <v>876.480726610041</v>
      </c>
      <c r="BM64" s="48" t="n">
        <f aca="false">BM62*BM63/1000000</f>
        <v>915.044271983503</v>
      </c>
      <c r="BN64" s="48" t="n">
        <f aca="false">BN62*BN63/1000000</f>
        <v>960.136684197278</v>
      </c>
      <c r="BO64" s="48" t="n">
        <f aca="false">BO62*BO63/1000000</f>
        <v>915.044271983503</v>
      </c>
      <c r="BP64" s="48" t="n">
        <f aca="false">BP62*BP63/1000000</f>
        <v>915.044271983503</v>
      </c>
      <c r="BQ64" s="48" t="n">
        <f aca="false">BQ62*BQ63/1000000</f>
        <v>960.136684197278</v>
      </c>
      <c r="BR64" s="48" t="n">
        <f aca="false">BR62*BR63/1000000</f>
        <v>915.044271983503</v>
      </c>
      <c r="BS64" s="48" t="n">
        <f aca="false">BS62*BS63/1000000</f>
        <v>915.044271983503</v>
      </c>
      <c r="BT64" s="48" t="n">
        <f aca="false">BT62*BT63/1000000</f>
        <v>960.136684197278</v>
      </c>
      <c r="BU64" s="48" t="n">
        <f aca="false">BU62*BU63/1000000</f>
        <v>915.044271983503</v>
      </c>
      <c r="BV64" s="48" t="n">
        <f aca="false">BV62*BV63/1000000</f>
        <v>876.480726610041</v>
      </c>
      <c r="BW64" s="48" t="n">
        <f aca="false">BW62*BW63/1000000</f>
        <v>0</v>
      </c>
      <c r="BX64" s="48" t="n">
        <f aca="false">BX62*BX63/1000000</f>
        <v>0</v>
      </c>
    </row>
    <row r="65" customFormat="false" ht="15" hidden="false" customHeight="false" outlineLevel="0" collapsed="false">
      <c r="A65" s="1"/>
      <c r="B65" s="8" t="s">
        <v>327</v>
      </c>
      <c r="C65" s="8" t="s">
        <v>76</v>
      </c>
      <c r="D65" s="1"/>
      <c r="E65" s="1"/>
      <c r="F65" s="1"/>
      <c r="G65" s="49" t="n">
        <f aca="false">IF(AND(G45=1,G46&lt;=$D$39),G58*IFERROR(INDEX(Twin!$G$17:$BN$17,1,G46),0),0)</f>
        <v>0</v>
      </c>
      <c r="H65" s="49" t="n">
        <f aca="false">IF(AND(H45=1,H46&lt;=$D$39),H58*IFERROR(INDEX(Twin!$G$17:$BN$17,1,H46),0),0)</f>
        <v>0</v>
      </c>
      <c r="I65" s="49" t="n">
        <f aca="false">IF(AND(I45=1,I46&lt;=$D$39),I58*IFERROR(INDEX(Twin!$G$17:$BN$17,1,I46),0),0)</f>
        <v>0</v>
      </c>
      <c r="J65" s="49" t="n">
        <f aca="false">IF(AND(J45=1,J46&lt;=$D$39),J58*IFERROR(INDEX(Twin!$G$17:$BN$17,1,J46),0),0)</f>
        <v>0</v>
      </c>
      <c r="K65" s="49" t="n">
        <f aca="false">IF(AND(K45=1,K46&lt;=$D$39),K58*IFERROR(INDEX(Twin!$G$17:$BN$17,1,K46),0),0)</f>
        <v>0</v>
      </c>
      <c r="L65" s="49" t="n">
        <f aca="false">IF(AND(L45=1,L46&lt;=$D$39),L58*IFERROR(INDEX(Twin!$G$17:$BN$17,1,L46),0),0)</f>
        <v>0</v>
      </c>
      <c r="M65" s="49" t="n">
        <f aca="false">IF(AND(M45=1,M46&lt;=$D$39),M58*IFERROR(INDEX(Twin!$G$17:$BN$17,1,M46),0),0)</f>
        <v>0</v>
      </c>
      <c r="N65" s="49" t="n">
        <f aca="false">IF(AND(N45=1,N46&lt;=$D$39),N58*IFERROR(INDEX(Twin!$G$17:$BN$17,1,N46),0),0)</f>
        <v>0</v>
      </c>
      <c r="O65" s="49" t="n">
        <f aca="false">IF(AND(O45=1,O46&lt;=$D$39),O58*IFERROR(INDEX(Twin!$G$17:$BN$17,1,O46),0),0)</f>
        <v>399.762283088792</v>
      </c>
      <c r="P65" s="49" t="n">
        <f aca="false">IF(AND(P45=1,P46&lt;=$D$39),P58*IFERROR(INDEX(Twin!$G$17:$BN$17,1,P46),0),0)</f>
        <v>395.630106431468</v>
      </c>
      <c r="Q65" s="49" t="n">
        <f aca="false">IF(AND(Q45=1,Q46&lt;=$D$39),Q58*IFERROR(INDEX(Twin!$G$17:$BN$17,1,Q46),0),0)</f>
        <v>393.627743309779</v>
      </c>
      <c r="R65" s="49" t="n">
        <f aca="false">IF(AND(R45=1,R46&lt;=$D$39),R58*IFERROR(INDEX(Twin!$G$17:$BN$17,1,R46),0),0)</f>
        <v>393.800040099207</v>
      </c>
      <c r="S65" s="49" t="n">
        <f aca="false">IF(AND(S45=1,S46&lt;=$D$39),S58*IFERROR(INDEX(Twin!$G$17:$BN$17,1,S46),0),0)</f>
        <v>389.66370142972</v>
      </c>
      <c r="T65" s="49" t="n">
        <f aca="false">IF(AND(T45=1,T46&lt;=$D$39),T58*IFERROR(INDEX(Twin!$G$17:$BN$17,1,T46),0),0)</f>
        <v>387.659894026633</v>
      </c>
      <c r="U65" s="49" t="n">
        <f aca="false">IF(AND(U45=1,U46&lt;=$D$39),U58*IFERROR(INDEX(Twin!$G$17:$BN$17,1,U46),0),0)</f>
        <v>388.8082613821</v>
      </c>
      <c r="V65" s="49" t="n">
        <f aca="false">IF(AND(V45=1,V46&lt;=$D$39),V58*IFERROR(INDEX(Twin!$G$17:$BN$17,1,V46),0),0)</f>
        <v>385.645553748906</v>
      </c>
      <c r="W65" s="49" t="n">
        <f aca="false">IF(AND(W45=1,W46&lt;=$D$39),W58*IFERROR(INDEX(Twin!$G$17:$BN$17,1,W46),0),0)</f>
        <v>384.643368444495</v>
      </c>
      <c r="X65" s="49" t="n">
        <f aca="false">IF(AND(X45=1,X46&lt;=$D$39),X58*IFERROR(INDEX(Twin!$G$17:$BN$17,1,X46),0),0)</f>
        <v>383.391215816752</v>
      </c>
      <c r="Y65" s="49" t="n">
        <f aca="false">IF(AND(Y45=1,Y46&lt;=$D$39),Y58*IFERROR(INDEX(Twin!$G$17:$BN$17,1,Y46),0),0)</f>
        <v>382.640496138171</v>
      </c>
      <c r="Z65" s="49" t="n">
        <f aca="false">IF(AND(Z45=1,Z46&lt;=$D$39),Z58*IFERROR(INDEX(Twin!$G$17:$BN$17,1,Z46),0),0)</f>
        <v>381.632757049453</v>
      </c>
      <c r="AA65" s="49" t="n">
        <f aca="false">IF(AND(AA45=1,AA46&lt;=$D$39),AA58*IFERROR(INDEX(Twin!$G$17:$BN$17,1,AA46),0),0)</f>
        <v>382.846155083493</v>
      </c>
      <c r="AB65" s="49" t="n">
        <f aca="false">IF(AND(AB45=1,AB46&lt;=$D$39),AB58*IFERROR(INDEX(Twin!$G$17:$BN$17,1,AB46),0),0)</f>
        <v>379.648526875071</v>
      </c>
      <c r="AC65" s="49" t="n">
        <f aca="false">IF(AND(AC45=1,AC46&lt;=$D$39),AC58*IFERROR(INDEX(Twin!$G$17:$BN$17,1,AC46),0),0)</f>
        <v>378.627653431637</v>
      </c>
      <c r="AD65" s="49" t="n">
        <f aca="false">IF(AND(AD45=1,AD46&lt;=$D$39),AD58*IFERROR(INDEX(Twin!$G$17:$BN$17,1,AD46),0),0)</f>
        <v>379.869436607248</v>
      </c>
      <c r="AE65" s="49" t="n">
        <f aca="false">IF(AND(AE45=1,AE46&lt;=$D$39),AE58*IFERROR(INDEX(Twin!$G$17:$BN$17,1,AE46),0),0)</f>
        <v>377.627066348497</v>
      </c>
      <c r="AF65" s="49" t="n">
        <f aca="false">IF(AND(AF45=1,AF46&lt;=$D$39),AF58*IFERROR(INDEX(Twin!$G$17:$BN$17,1,AF46),0),0)</f>
        <v>377.632376098278</v>
      </c>
      <c r="AG65" s="49" t="n">
        <f aca="false">IF(AND(AG45=1,AG46&lt;=$D$39),AG58*IFERROR(INDEX(Twin!$G$17:$BN$17,1,AG46),0),0)</f>
        <v>379.898193444141</v>
      </c>
      <c r="AH65" s="49" t="n">
        <f aca="false">IF(AND(AH45=1,AH46&lt;=$D$39),AH58*IFERROR(INDEX(Twin!$G$17:$BN$17,1,AH46),0),0)</f>
        <v>377.95123806536</v>
      </c>
      <c r="AI65" s="49" t="n">
        <f aca="false">IF(AND(AI45=1,AI46&lt;=$D$39),AI58*IFERROR(INDEX(Twin!$G$17:$BN$17,1,AI46),0),0)</f>
        <v>377.604088136178</v>
      </c>
      <c r="AJ65" s="49" t="n">
        <f aca="false">IF(AND(AJ45=1,AJ46&lt;=$D$39),AJ58*IFERROR(INDEX(Twin!$G$17:$BN$17,1,AJ46),0),0)</f>
        <v>379.919398078978</v>
      </c>
      <c r="AK65" s="49" t="n">
        <f aca="false">IF(AND(AK45=1,AK46&lt;=$D$39),AK58*IFERROR(INDEX(Twin!$G$17:$BN$17,1,AK46),0),0)</f>
        <v>377.583051354493</v>
      </c>
      <c r="AL65" s="49" t="n">
        <f aca="false">IF(AND(AL45=1,AL46&lt;=$D$39),AL58*IFERROR(INDEX(Twin!$G$17:$BN$17,1,AL46),0),0)</f>
        <v>377.578027937959</v>
      </c>
      <c r="AM65" s="49" t="n">
        <f aca="false">IF(AND(AM45=1,AM46&lt;=$D$39),AM58*IFERROR(INDEX(Twin!$G$17:$BN$17,1,AM46),0),0)</f>
        <v>379.930679291701</v>
      </c>
      <c r="AN65" s="49" t="n">
        <f aca="false">IF(AND(AN45=1,AN46&lt;=$D$39),AN58*IFERROR(INDEX(Twin!$G$17:$BN$17,1,AN46),0),0)</f>
        <v>377.55062689432</v>
      </c>
      <c r="AO65" s="49" t="n">
        <f aca="false">IF(AND(AO45=1,AO46&lt;=$D$39),AO58*IFERROR(INDEX(Twin!$G$17:$BN$17,1,AO46),0),0)</f>
        <v>377.5369263725</v>
      </c>
      <c r="AP65" s="49" t="n">
        <f aca="false">IF(AND(AP45=1,AP46&lt;=$D$39),AP58*IFERROR(INDEX(Twin!$G$17:$BN$17,1,AP46),0),0)</f>
        <v>379.93261810564</v>
      </c>
      <c r="AQ65" s="49" t="n">
        <f aca="false">IF(AND(AQ45=1,AQ46&lt;=$D$39),AQ58*IFERROR(INDEX(Twin!$G$17:$BN$17,1,AQ46),0),0)</f>
        <v>377.5369263725</v>
      </c>
      <c r="AR65" s="49" t="n">
        <f aca="false">IF(AND(AR45=1,AR46&lt;=$D$39),AR58*IFERROR(INDEX(Twin!$G$17:$BN$17,1,AR46),0),0)</f>
        <v>377.759388515418</v>
      </c>
      <c r="AS65" s="49" t="n">
        <f aca="false">IF(AND(AS45=1,AS46&lt;=$D$39),AS58*IFERROR(INDEX(Twin!$G$17:$BN$17,1,AS46),0),0)</f>
        <v>379.93261810564</v>
      </c>
      <c r="AT65" s="49" t="n">
        <f aca="false">IF(AND(AT45=1,AT46&lt;=$D$39),AT58*IFERROR(INDEX(Twin!$G$17:$BN$17,1,AT46),0),0)</f>
        <v>377.5369263725</v>
      </c>
      <c r="AU65" s="49" t="n">
        <f aca="false">IF(AND(AU45=1,AU46&lt;=$D$39),AU58*IFERROR(INDEX(Twin!$G$17:$BN$17,1,AU46),0),0)</f>
        <v>377.5369263725</v>
      </c>
      <c r="AV65" s="49" t="n">
        <f aca="false">IF(AND(AV45=1,AV46&lt;=$D$39),AV58*IFERROR(INDEX(Twin!$G$17:$BN$17,1,AV46),0),0)</f>
        <v>379.93261810564</v>
      </c>
      <c r="AW65" s="49" t="n">
        <f aca="false">IF(AND(AW45=1,AW46&lt;=$D$39),AW58*IFERROR(INDEX(Twin!$G$17:$BN$17,1,AW46),0),0)</f>
        <v>377.5369263725</v>
      </c>
      <c r="AX65" s="49" t="n">
        <f aca="false">IF(AND(AX45=1,AX46&lt;=$D$39),AX58*IFERROR(INDEX(Twin!$G$17:$BN$17,1,AX46),0),0)</f>
        <v>377.5369263725</v>
      </c>
      <c r="AY65" s="49" t="n">
        <f aca="false">IF(AND(AY45=1,AY46&lt;=$D$39),AY58*IFERROR(INDEX(Twin!$G$17:$BN$17,1,AY46),0),0)</f>
        <v>379.93261810564</v>
      </c>
      <c r="AZ65" s="49" t="n">
        <f aca="false">IF(AND(AZ45=1,AZ46&lt;=$D$39),AZ58*IFERROR(INDEX(Twin!$G$17:$BN$17,1,AZ46),0),0)</f>
        <v>377.5369263725</v>
      </c>
      <c r="BA65" s="49" t="n">
        <f aca="false">IF(AND(BA45=1,BA46&lt;=$D$39),BA58*IFERROR(INDEX(Twin!$G$17:$BN$17,1,BA46),0),0)</f>
        <v>377.5369263725</v>
      </c>
      <c r="BB65" s="49" t="n">
        <f aca="false">IF(AND(BB45=1,BB46&lt;=$D$39),BB58*IFERROR(INDEX(Twin!$G$17:$BN$17,1,BB46),0),0)</f>
        <v>377.105162429656</v>
      </c>
      <c r="BC65" s="49" t="n">
        <f aca="false">IF(AND(BC45=1,BC46&lt;=$D$39),BC58*IFERROR(INDEX(Twin!$G$17:$BN$17,1,BC46),0),0)</f>
        <v>0</v>
      </c>
      <c r="BD65" s="49" t="n">
        <f aca="false">IF(AND(BD45=1,BD46&lt;=$D$39),BD58*IFERROR(INDEX(Twin!$G$17:$BN$17,1,BD46),0),0)</f>
        <v>0</v>
      </c>
      <c r="BE65" s="49" t="n">
        <f aca="false">IF(AND(BE45=1,BE46&lt;=$D$39),BE58*IFERROR(INDEX(Twin!$G$17:$BN$17,1,BE46),0),0)</f>
        <v>0</v>
      </c>
      <c r="BF65" s="49" t="n">
        <f aca="false">IF(AND(BF45=1,BF46&lt;=$D$39),BF58*IFERROR(INDEX(Twin!$G$17:$BN$17,1,BF46),0),0)</f>
        <v>0</v>
      </c>
      <c r="BG65" s="49" t="n">
        <f aca="false">IF(AND(BG45=1,BG46&lt;=$D$39),BG58*IFERROR(INDEX(Twin!$G$17:$BN$17,1,BG46),0),0)</f>
        <v>0</v>
      </c>
      <c r="BH65" s="49" t="n">
        <f aca="false">IF(AND(BH45=1,BH46&lt;=$D$39),BH58*IFERROR(INDEX(Twin!$G$17:$BN$17,1,BH46),0),0)</f>
        <v>0</v>
      </c>
      <c r="BI65" s="49" t="n">
        <f aca="false">IF(AND(BI45=1,BI46&lt;=$D$39),BI58*IFERROR(INDEX(Twin!$G$17:$BN$17,1,BI46),0),0)</f>
        <v>0</v>
      </c>
      <c r="BJ65" s="49" t="n">
        <f aca="false">IF(AND(BJ45=1,BJ46&lt;=$D$39),BJ58*IFERROR(INDEX(Twin!$G$17:$BN$17,1,BJ46),0),0)</f>
        <v>0</v>
      </c>
      <c r="BK65" s="49" t="n">
        <f aca="false">IF(AND(BK45=1,BK46&lt;=$D$39),BK58*IFERROR(INDEX(Twin!$G$17:$BN$17,1,BK46),0),0)</f>
        <v>0</v>
      </c>
      <c r="BL65" s="49" t="n">
        <f aca="false">IF(AND(BL45=1,BL46&lt;=$D$39),BL58*IFERROR(INDEX(Twin!$G$17:$BN$17,1,BL46),0),0)</f>
        <v>0</v>
      </c>
      <c r="BM65" s="49" t="n">
        <f aca="false">IF(AND(BM45=1,BM46&lt;=$D$39),BM58*IFERROR(INDEX(Twin!$G$17:$BN$17,1,BM46),0),0)</f>
        <v>0</v>
      </c>
      <c r="BN65" s="49" t="n">
        <f aca="false">IF(AND(BN45=1,BN46&lt;=$D$39),BN58*IFERROR(INDEX(Twin!$G$17:$BN$17,1,BN46),0),0)</f>
        <v>0</v>
      </c>
      <c r="BO65" s="49" t="n">
        <f aca="false">IF(AND(BO45=1,BO46&lt;=$D$39),BO58*IFERROR(INDEX(Twin!$G$17:$BN$17,1,BO46),0),0)</f>
        <v>0</v>
      </c>
      <c r="BP65" s="49" t="n">
        <f aca="false">IF(AND(BP45=1,BP46&lt;=$D$39),BP58*IFERROR(INDEX(Twin!$G$17:$BN$17,1,BP46),0),0)</f>
        <v>0</v>
      </c>
      <c r="BQ65" s="49" t="n">
        <f aca="false">IF(AND(BQ45=1,BQ46&lt;=$D$39),BQ58*IFERROR(INDEX(Twin!$G$17:$BN$17,1,BQ46),0),0)</f>
        <v>0</v>
      </c>
      <c r="BR65" s="49" t="n">
        <f aca="false">IF(AND(BR45=1,BR46&lt;=$D$39),BR58*IFERROR(INDEX(Twin!$G$17:$BN$17,1,BR46),0),0)</f>
        <v>0</v>
      </c>
      <c r="BS65" s="49" t="n">
        <f aca="false">IF(AND(BS45=1,BS46&lt;=$D$39),BS58*IFERROR(INDEX(Twin!$G$17:$BN$17,1,BS46),0),0)</f>
        <v>0</v>
      </c>
      <c r="BT65" s="49" t="n">
        <f aca="false">IF(AND(BT45=1,BT46&lt;=$D$39),BT58*IFERROR(INDEX(Twin!$G$17:$BN$17,1,BT46),0),0)</f>
        <v>0</v>
      </c>
      <c r="BU65" s="49" t="n">
        <f aca="false">IF(AND(BU45=1,BU46&lt;=$D$39),BU58*IFERROR(INDEX(Twin!$G$17:$BN$17,1,BU46),0),0)</f>
        <v>0</v>
      </c>
      <c r="BV65" s="49" t="n">
        <f aca="false">IF(AND(BV45=1,BV46&lt;=$D$39),BV58*IFERROR(INDEX(Twin!$G$17:$BN$17,1,BV46),0),0)</f>
        <v>0</v>
      </c>
      <c r="BW65" s="49" t="n">
        <f aca="false">IF(AND(BW45=1,BW46&lt;=$D$39),BW58*IFERROR(INDEX(Twin!$G$17:$BN$17,1,BW46),0),0)</f>
        <v>0</v>
      </c>
      <c r="BX65" s="49" t="n">
        <f aca="false">IF(AND(BX45=1,BX46&lt;=$D$39),BX58*IFERROR(INDEX(Twin!$G$17:$BN$17,1,BX46),0),0)</f>
        <v>0</v>
      </c>
    </row>
    <row r="66" customFormat="false" ht="15" hidden="false" customHeight="false" outlineLevel="0" collapsed="false">
      <c r="A66" s="1"/>
      <c r="B66" s="8" t="s">
        <v>328</v>
      </c>
      <c r="C66" s="8" t="s">
        <v>126</v>
      </c>
      <c r="D66" s="44" t="n">
        <f aca="false">SUM(G66:BX66)</f>
        <v>15881.9830857916</v>
      </c>
      <c r="E66" s="1"/>
      <c r="F66" s="1"/>
      <c r="G66" s="48" t="n">
        <f aca="false">IF(AND(G45=1,G46&lt;=$D$39),G62*($D$38-G65)/1000000,0)</f>
        <v>0</v>
      </c>
      <c r="H66" s="48" t="n">
        <f aca="false">IF(AND(H45=1,H46&lt;=$D$39),H62*($D$38-H65)/1000000,0)</f>
        <v>0</v>
      </c>
      <c r="I66" s="48" t="n">
        <f aca="false">IF(AND(I45=1,I46&lt;=$D$39),I62*($D$38-I65)/1000000,0)</f>
        <v>0</v>
      </c>
      <c r="J66" s="48" t="n">
        <f aca="false">IF(AND(J45=1,J46&lt;=$D$39),J62*($D$38-J65)/1000000,0)</f>
        <v>0</v>
      </c>
      <c r="K66" s="48" t="n">
        <f aca="false">IF(AND(K45=1,K46&lt;=$D$39),K62*($D$38-K65)/1000000,0)</f>
        <v>0</v>
      </c>
      <c r="L66" s="48" t="n">
        <f aca="false">IF(AND(L45=1,L46&lt;=$D$39),L62*($D$38-L65)/1000000,0)</f>
        <v>0</v>
      </c>
      <c r="M66" s="48" t="n">
        <f aca="false">IF(AND(M45=1,M46&lt;=$D$39),M62*($D$38-M65)/1000000,0)</f>
        <v>0</v>
      </c>
      <c r="N66" s="48" t="n">
        <f aca="false">IF(AND(N45=1,N46&lt;=$D$39),N62*($D$38-N65)/1000000,0)</f>
        <v>0</v>
      </c>
      <c r="O66" s="48" t="n">
        <f aca="false">IF(AND(O45=1,O46&lt;=$D$39),O62*($D$38-O65)/1000000,0)</f>
        <v>354.416536687775</v>
      </c>
      <c r="P66" s="48" t="n">
        <f aca="false">IF(AND(P45=1,P46&lt;=$D$39),P62*($D$38-P65)/1000000,0)</f>
        <v>349.458745737887</v>
      </c>
      <c r="Q66" s="48" t="n">
        <f aca="false">IF(AND(Q45=1,Q46&lt;=$D$39),Q62*($D$38-Q65)/1000000,0)</f>
        <v>354.13047843187</v>
      </c>
      <c r="R66" s="48" t="n">
        <f aca="false">IF(AND(R45=1,R46&lt;=$D$39),R62*($D$38-R65)/1000000,0)</f>
        <v>380.743828382704</v>
      </c>
      <c r="S66" s="48" t="n">
        <f aca="false">IF(AND(S45=1,S46&lt;=$D$39),S62*($D$38-S65)/1000000,0)</f>
        <v>375.020876931214</v>
      </c>
      <c r="T66" s="48" t="n">
        <f aca="false">IF(AND(T45=1,T46&lt;=$D$39),T62*($D$38-T65)/1000000,0)</f>
        <v>379.852071467192</v>
      </c>
      <c r="U66" s="48" t="n">
        <f aca="false">IF(AND(U45=1,U46&lt;=$D$39),U62*($D$38-U65)/1000000,0)</f>
        <v>393.295910548088</v>
      </c>
      <c r="V66" s="48" t="n">
        <f aca="false">IF(AND(V45=1,V46&lt;=$D$39),V62*($D$38-V65)/1000000,0)</f>
        <v>384.696003036397</v>
      </c>
      <c r="W66" s="48" t="n">
        <f aca="false">IF(AND(W45=1,W46&lt;=$D$39),W62*($D$38-W65)/1000000,0)</f>
        <v>387.119367381186</v>
      </c>
      <c r="X66" s="48" t="n">
        <f aca="false">IF(AND(X45=1,X46&lt;=$D$39),X62*($D$38-X65)/1000000,0)</f>
        <v>378.954672294217</v>
      </c>
      <c r="Y66" s="48" t="n">
        <f aca="false">IF(AND(Y45=1,Y46&lt;=$D$39),Y62*($D$38-Y65)/1000000,0)</f>
        <v>391.95249846861</v>
      </c>
      <c r="Z66" s="48" t="n">
        <f aca="false">IF(AND(Z45=1,Z46&lt;=$D$39),Z62*($D$38-Z65)/1000000,0)</f>
        <v>394.379118798006</v>
      </c>
      <c r="AA66" s="48" t="n">
        <f aca="false">IF(AND(AA45=1,AA46&lt;=$D$39),AA62*($D$38-AA65)/1000000,0)</f>
        <v>408.273000057368</v>
      </c>
      <c r="AB66" s="48" t="n">
        <f aca="false">IF(AND(AB45=1,AB46&lt;=$D$39),AB62*($D$38-AB65)/1000000,0)</f>
        <v>399.163747622467</v>
      </c>
      <c r="AC66" s="48" t="n">
        <f aca="false">IF(AND(AC45=1,AC46&lt;=$D$39),AC62*($D$38-AC65)/1000000,0)</f>
        <v>401.646012115416</v>
      </c>
      <c r="AD66" s="48" t="n">
        <f aca="false">IF(AND(AD45=1,AD46&lt;=$D$39),AD62*($D$38-AD65)/1000000,0)</f>
        <v>415.776524745394</v>
      </c>
      <c r="AE66" s="48" t="n">
        <f aca="false">IF(AND(AE45=1,AE46&lt;=$D$39),AE62*($D$38-AE65)/1000000,0)</f>
        <v>404.018047040622</v>
      </c>
      <c r="AF66" s="48" t="n">
        <f aca="false">IF(AND(AF45=1,AF46&lt;=$D$39),AF62*($D$38-AF65)/1000000,0)</f>
        <v>404.005261456737</v>
      </c>
      <c r="AG66" s="48" t="n">
        <f aca="false">IF(AND(AG45=1,AG46&lt;=$D$39),AG62*($D$38-AG65)/1000000,0)</f>
        <v>415.669958414504</v>
      </c>
      <c r="AH66" s="48" t="n">
        <f aca="false">IF(AND(AH45=1,AH46&lt;=$D$39),AH62*($D$38-AH65)/1000000,0)</f>
        <v>385.894064935471</v>
      </c>
      <c r="AI66" s="48" t="n">
        <f aca="false">IF(AND(AI45=1,AI46&lt;=$D$39),AI62*($D$38-AI65)/1000000,0)</f>
        <v>404.073377305376</v>
      </c>
      <c r="AJ66" s="48" t="n">
        <f aca="false">IF(AND(AJ45=1,AJ46&lt;=$D$39),AJ62*($D$38-AJ65)/1000000,0)</f>
        <v>415.610083395797</v>
      </c>
      <c r="AK66" s="48" t="n">
        <f aca="false">IF(AND(AK45=1,AK46&lt;=$D$39),AK62*($D$38-AK65)/1000000,0)</f>
        <v>404.106622085503</v>
      </c>
      <c r="AL66" s="48" t="n">
        <f aca="false">IF(AND(AL45=1,AL46&lt;=$D$39),AL62*($D$38-AL65)/1000000,0)</f>
        <v>404.108022254068</v>
      </c>
      <c r="AM66" s="48" t="n">
        <f aca="false">IF(AND(AM45=1,AM46&lt;=$D$39),AM62*($D$38-AM65)/1000000,0)</f>
        <v>415.571206897119</v>
      </c>
      <c r="AN66" s="48" t="n">
        <f aca="false">IF(AND(AN45=1,AN46&lt;=$D$39),AN62*($D$38-AN65)/1000000,0)</f>
        <v>404.173997863349</v>
      </c>
      <c r="AO66" s="48" t="n">
        <f aca="false">IF(AND(AO45=1,AO46&lt;=$D$39),AO62*($D$38-AO65)/1000000,0)</f>
        <v>404.206985667989</v>
      </c>
      <c r="AP66" s="48" t="n">
        <f aca="false">IF(AND(AP45=1,AP46&lt;=$D$39),AP62*($D$38-AP65)/1000000,0)</f>
        <v>415.566337992214</v>
      </c>
      <c r="AQ66" s="48" t="n">
        <f aca="false">IF(AND(AQ45=1,AQ46&lt;=$D$39),AQ62*($D$38-AQ65)/1000000,0)</f>
        <v>404.206985667989</v>
      </c>
      <c r="AR66" s="48" t="n">
        <f aca="false">IF(AND(AR45=1,AR46&lt;=$D$39),AR62*($D$38-AR65)/1000000,0)</f>
        <v>386.318766503451</v>
      </c>
      <c r="AS66" s="48" t="n">
        <f aca="false">IF(AND(AS45=1,AS46&lt;=$D$39),AS62*($D$38-AS65)/1000000,0)</f>
        <v>415.566337992214</v>
      </c>
      <c r="AT66" s="48" t="n">
        <f aca="false">IF(AND(AT45=1,AT46&lt;=$D$39),AT62*($D$38-AT65)/1000000,0)</f>
        <v>404.206985667989</v>
      </c>
      <c r="AU66" s="48" t="n">
        <f aca="false">IF(AND(AU45=1,AU46&lt;=$D$39),AU62*($D$38-AU65)/1000000,0)</f>
        <v>404.206985667989</v>
      </c>
      <c r="AV66" s="48" t="n">
        <f aca="false">IF(AND(AV45=1,AV46&lt;=$D$39),AV62*($D$38-AV65)/1000000,0)</f>
        <v>415.566337992214</v>
      </c>
      <c r="AW66" s="48" t="n">
        <f aca="false">IF(AND(AW45=1,AW46&lt;=$D$39),AW62*($D$38-AW65)/1000000,0)</f>
        <v>404.206985667989</v>
      </c>
      <c r="AX66" s="48" t="n">
        <f aca="false">IF(AND(AX45=1,AX46&lt;=$D$39),AX62*($D$38-AX65)/1000000,0)</f>
        <v>404.206985667989</v>
      </c>
      <c r="AY66" s="48" t="n">
        <f aca="false">IF(AND(AY45=1,AY46&lt;=$D$39),AY62*($D$38-AY65)/1000000,0)</f>
        <v>415.566337992214</v>
      </c>
      <c r="AZ66" s="48" t="n">
        <f aca="false">IF(AND(AZ45=1,AZ46&lt;=$D$39),AZ62*($D$38-AZ65)/1000000,0)</f>
        <v>404.206985667989</v>
      </c>
      <c r="BA66" s="48" t="n">
        <f aca="false">IF(AND(BA45=1,BA46&lt;=$D$39),BA62*($D$38-BA65)/1000000,0)</f>
        <v>404.206985667989</v>
      </c>
      <c r="BB66" s="48" t="n">
        <f aca="false">IF(AND(BB45=1,BB46&lt;=$D$39),BB62*($D$38-BB65)/1000000,0)</f>
        <v>393.633047621044</v>
      </c>
      <c r="BC66" s="48" t="n">
        <f aca="false">IF(AND(BC45=1,BC46&lt;=$D$39),BC62*($D$38-BC65)/1000000,0)</f>
        <v>0</v>
      </c>
      <c r="BD66" s="48" t="n">
        <f aca="false">IF(AND(BD45=1,BD46&lt;=$D$39),BD62*($D$38-BD65)/1000000,0)</f>
        <v>0</v>
      </c>
      <c r="BE66" s="48" t="n">
        <f aca="false">IF(AND(BE45=1,BE46&lt;=$D$39),BE62*($D$38-BE65)/1000000,0)</f>
        <v>0</v>
      </c>
      <c r="BF66" s="48" t="n">
        <f aca="false">IF(AND(BF45=1,BF46&lt;=$D$39),BF62*($D$38-BF65)/1000000,0)</f>
        <v>0</v>
      </c>
      <c r="BG66" s="48" t="n">
        <f aca="false">IF(AND(BG45=1,BG46&lt;=$D$39),BG62*($D$38-BG65)/1000000,0)</f>
        <v>0</v>
      </c>
      <c r="BH66" s="48" t="n">
        <f aca="false">IF(AND(BH45=1,BH46&lt;=$D$39),BH62*($D$38-BH65)/1000000,0)</f>
        <v>0</v>
      </c>
      <c r="BI66" s="48" t="n">
        <f aca="false">IF(AND(BI45=1,BI46&lt;=$D$39),BI62*($D$38-BI65)/1000000,0)</f>
        <v>0</v>
      </c>
      <c r="BJ66" s="48" t="n">
        <f aca="false">IF(AND(BJ45=1,BJ46&lt;=$D$39),BJ62*($D$38-BJ65)/1000000,0)</f>
        <v>0</v>
      </c>
      <c r="BK66" s="48" t="n">
        <f aca="false">IF(AND(BK45=1,BK46&lt;=$D$39),BK62*($D$38-BK65)/1000000,0)</f>
        <v>0</v>
      </c>
      <c r="BL66" s="48" t="n">
        <f aca="false">IF(AND(BL45=1,BL46&lt;=$D$39),BL62*($D$38-BL65)/1000000,0)</f>
        <v>0</v>
      </c>
      <c r="BM66" s="48" t="n">
        <f aca="false">IF(AND(BM45=1,BM46&lt;=$D$39),BM62*($D$38-BM65)/1000000,0)</f>
        <v>0</v>
      </c>
      <c r="BN66" s="48" t="n">
        <f aca="false">IF(AND(BN45=1,BN46&lt;=$D$39),BN62*($D$38-BN65)/1000000,0)</f>
        <v>0</v>
      </c>
      <c r="BO66" s="48" t="n">
        <f aca="false">IF(AND(BO45=1,BO46&lt;=$D$39),BO62*($D$38-BO65)/1000000,0)</f>
        <v>0</v>
      </c>
      <c r="BP66" s="48" t="n">
        <f aca="false">IF(AND(BP45=1,BP46&lt;=$D$39),BP62*($D$38-BP65)/1000000,0)</f>
        <v>0</v>
      </c>
      <c r="BQ66" s="48" t="n">
        <f aca="false">IF(AND(BQ45=1,BQ46&lt;=$D$39),BQ62*($D$38-BQ65)/1000000,0)</f>
        <v>0</v>
      </c>
      <c r="BR66" s="48" t="n">
        <f aca="false">IF(AND(BR45=1,BR46&lt;=$D$39),BR62*($D$38-BR65)/1000000,0)</f>
        <v>0</v>
      </c>
      <c r="BS66" s="48" t="n">
        <f aca="false">IF(AND(BS45=1,BS46&lt;=$D$39),BS62*($D$38-BS65)/1000000,0)</f>
        <v>0</v>
      </c>
      <c r="BT66" s="48" t="n">
        <f aca="false">IF(AND(BT45=1,BT46&lt;=$D$39),BT62*($D$38-BT65)/1000000,0)</f>
        <v>0</v>
      </c>
      <c r="BU66" s="48" t="n">
        <f aca="false">IF(AND(BU45=1,BU46&lt;=$D$39),BU62*($D$38-BU65)/1000000,0)</f>
        <v>0</v>
      </c>
      <c r="BV66" s="48" t="n">
        <f aca="false">IF(AND(BV45=1,BV46&lt;=$D$39),BV62*($D$38-BV65)/1000000,0)</f>
        <v>0</v>
      </c>
      <c r="BW66" s="48" t="n">
        <f aca="false">IF(AND(BW45=1,BW46&lt;=$D$39),BW62*($D$38-BW65)/1000000,0)</f>
        <v>0</v>
      </c>
      <c r="BX66" s="48" t="n">
        <f aca="false">IF(AND(BX45=1,BX46&lt;=$D$39),BX62*($D$38-BX65)/1000000,0)</f>
        <v>0</v>
      </c>
    </row>
    <row r="67" customFormat="false" ht="15" hidden="false" customHeight="false" outlineLevel="0" collapsed="false">
      <c r="A67" s="1"/>
      <c r="B67" s="8" t="s">
        <v>329</v>
      </c>
      <c r="C67" s="8" t="s">
        <v>126</v>
      </c>
      <c r="D67" s="44" t="n">
        <f aca="false">SUM(G67:BX67)</f>
        <v>0</v>
      </c>
      <c r="E67" s="1"/>
      <c r="F67" s="1"/>
      <c r="G67" s="48" t="n">
        <f aca="false">IF(AND(G45=1,G46&lt;=$D$41),$D$40*$D$35*$D$7*1000/1000000,0)</f>
        <v>0</v>
      </c>
      <c r="H67" s="48" t="n">
        <f aca="false">IF(AND(H45=1,H46&lt;=$D$41),$D$40*$D$35*$D$7*1000/1000000,0)</f>
        <v>0</v>
      </c>
      <c r="I67" s="48" t="n">
        <f aca="false">IF(AND(I45=1,I46&lt;=$D$41),$D$40*$D$35*$D$7*1000/1000000,0)</f>
        <v>0</v>
      </c>
      <c r="J67" s="48" t="n">
        <f aca="false">IF(AND(J45=1,J46&lt;=$D$41),$D$40*$D$35*$D$7*1000/1000000,0)</f>
        <v>0</v>
      </c>
      <c r="K67" s="48" t="n">
        <f aca="false">IF(AND(K45=1,K46&lt;=$D$41),$D$40*$D$35*$D$7*1000/1000000,0)</f>
        <v>0</v>
      </c>
      <c r="L67" s="48" t="n">
        <f aca="false">IF(AND(L45=1,L46&lt;=$D$41),$D$40*$D$35*$D$7*1000/1000000,0)</f>
        <v>0</v>
      </c>
      <c r="M67" s="48" t="n">
        <f aca="false">IF(AND(M45=1,M46&lt;=$D$41),$D$40*$D$35*$D$7*1000/1000000,0)</f>
        <v>0</v>
      </c>
      <c r="N67" s="48" t="n">
        <f aca="false">IF(AND(N45=1,N46&lt;=$D$41),$D$40*$D$35*$D$7*1000/1000000,0)</f>
        <v>0</v>
      </c>
      <c r="O67" s="48" t="n">
        <f aca="false">IF(AND(O45=1,O46&lt;=$D$41),$D$40*$D$35*$D$7*1000/1000000,0)</f>
        <v>0</v>
      </c>
      <c r="P67" s="48" t="n">
        <f aca="false">IF(AND(P45=1,P46&lt;=$D$41),$D$40*$D$35*$D$7*1000/1000000,0)</f>
        <v>0</v>
      </c>
      <c r="Q67" s="48" t="n">
        <f aca="false">IF(AND(Q45=1,Q46&lt;=$D$41),$D$40*$D$35*$D$7*1000/1000000,0)</f>
        <v>0</v>
      </c>
      <c r="R67" s="48" t="n">
        <f aca="false">IF(AND(R45=1,R46&lt;=$D$41),$D$40*$D$35*$D$7*1000/1000000,0)</f>
        <v>0</v>
      </c>
      <c r="S67" s="48" t="n">
        <f aca="false">IF(AND(S45=1,S46&lt;=$D$41),$D$40*$D$35*$D$7*1000/1000000,0)</f>
        <v>0</v>
      </c>
      <c r="T67" s="48" t="n">
        <f aca="false">IF(AND(T45=1,T46&lt;=$D$41),$D$40*$D$35*$D$7*1000/1000000,0)</f>
        <v>0</v>
      </c>
      <c r="U67" s="48" t="n">
        <f aca="false">IF(AND(U45=1,U46&lt;=$D$41),$D$40*$D$35*$D$7*1000/1000000,0)</f>
        <v>0</v>
      </c>
      <c r="V67" s="48" t="n">
        <f aca="false">IF(AND(V45=1,V46&lt;=$D$41),$D$40*$D$35*$D$7*1000/1000000,0)</f>
        <v>0</v>
      </c>
      <c r="W67" s="48" t="n">
        <f aca="false">IF(AND(W45=1,W46&lt;=$D$41),$D$40*$D$35*$D$7*1000/1000000,0)</f>
        <v>0</v>
      </c>
      <c r="X67" s="48" t="n">
        <f aca="false">IF(AND(X45=1,X46&lt;=$D$41),$D$40*$D$35*$D$7*1000/1000000,0)</f>
        <v>0</v>
      </c>
      <c r="Y67" s="48" t="n">
        <f aca="false">IF(AND(Y45=1,Y46&lt;=$D$41),$D$40*$D$35*$D$7*1000/1000000,0)</f>
        <v>0</v>
      </c>
      <c r="Z67" s="48" t="n">
        <f aca="false">IF(AND(Z45=1,Z46&lt;=$D$41),$D$40*$D$35*$D$7*1000/1000000,0)</f>
        <v>0</v>
      </c>
      <c r="AA67" s="48" t="n">
        <f aca="false">IF(AND(AA45=1,AA46&lt;=$D$41),$D$40*$D$35*$D$7*1000/1000000,0)</f>
        <v>0</v>
      </c>
      <c r="AB67" s="48" t="n">
        <f aca="false">IF(AND(AB45=1,AB46&lt;=$D$41),$D$40*$D$35*$D$7*1000/1000000,0)</f>
        <v>0</v>
      </c>
      <c r="AC67" s="48" t="n">
        <f aca="false">IF(AND(AC45=1,AC46&lt;=$D$41),$D$40*$D$35*$D$7*1000/1000000,0)</f>
        <v>0</v>
      </c>
      <c r="AD67" s="48" t="n">
        <f aca="false">IF(AND(AD45=1,AD46&lt;=$D$41),$D$40*$D$35*$D$7*1000/1000000,0)</f>
        <v>0</v>
      </c>
      <c r="AE67" s="48" t="n">
        <f aca="false">IF(AND(AE45=1,AE46&lt;=$D$41),$D$40*$D$35*$D$7*1000/1000000,0)</f>
        <v>0</v>
      </c>
      <c r="AF67" s="48" t="n">
        <f aca="false">IF(AND(AF45=1,AF46&lt;=$D$41),$D$40*$D$35*$D$7*1000/1000000,0)</f>
        <v>0</v>
      </c>
      <c r="AG67" s="48" t="n">
        <f aca="false">IF(AND(AG45=1,AG46&lt;=$D$41),$D$40*$D$35*$D$7*1000/1000000,0)</f>
        <v>0</v>
      </c>
      <c r="AH67" s="48" t="n">
        <f aca="false">IF(AND(AH45=1,AH46&lt;=$D$41),$D$40*$D$35*$D$7*1000/1000000,0)</f>
        <v>0</v>
      </c>
      <c r="AI67" s="48" t="n">
        <f aca="false">IF(AND(AI45=1,AI46&lt;=$D$41),$D$40*$D$35*$D$7*1000/1000000,0)</f>
        <v>0</v>
      </c>
      <c r="AJ67" s="48" t="n">
        <f aca="false">IF(AND(AJ45=1,AJ46&lt;=$D$41),$D$40*$D$35*$D$7*1000/1000000,0)</f>
        <v>0</v>
      </c>
      <c r="AK67" s="48" t="n">
        <f aca="false">IF(AND(AK45=1,AK46&lt;=$D$41),$D$40*$D$35*$D$7*1000/1000000,0)</f>
        <v>0</v>
      </c>
      <c r="AL67" s="48" t="n">
        <f aca="false">IF(AND(AL45=1,AL46&lt;=$D$41),$D$40*$D$35*$D$7*1000/1000000,0)</f>
        <v>0</v>
      </c>
      <c r="AM67" s="48" t="n">
        <f aca="false">IF(AND(AM45=1,AM46&lt;=$D$41),$D$40*$D$35*$D$7*1000/1000000,0)</f>
        <v>0</v>
      </c>
      <c r="AN67" s="48" t="n">
        <f aca="false">IF(AND(AN45=1,AN46&lt;=$D$41),$D$40*$D$35*$D$7*1000/1000000,0)</f>
        <v>0</v>
      </c>
      <c r="AO67" s="48" t="n">
        <f aca="false">IF(AND(AO45=1,AO46&lt;=$D$41),$D$40*$D$35*$D$7*1000/1000000,0)</f>
        <v>0</v>
      </c>
      <c r="AP67" s="48" t="n">
        <f aca="false">IF(AND(AP45=1,AP46&lt;=$D$41),$D$40*$D$35*$D$7*1000/1000000,0)</f>
        <v>0</v>
      </c>
      <c r="AQ67" s="48" t="n">
        <f aca="false">IF(AND(AQ45=1,AQ46&lt;=$D$41),$D$40*$D$35*$D$7*1000/1000000,0)</f>
        <v>0</v>
      </c>
      <c r="AR67" s="48" t="n">
        <f aca="false">IF(AND(AR45=1,AR46&lt;=$D$41),$D$40*$D$35*$D$7*1000/1000000,0)</f>
        <v>0</v>
      </c>
      <c r="AS67" s="48" t="n">
        <f aca="false">IF(AND(AS45=1,AS46&lt;=$D$41),$D$40*$D$35*$D$7*1000/1000000,0)</f>
        <v>0</v>
      </c>
      <c r="AT67" s="48" t="n">
        <f aca="false">IF(AND(AT45=1,AT46&lt;=$D$41),$D$40*$D$35*$D$7*1000/1000000,0)</f>
        <v>0</v>
      </c>
      <c r="AU67" s="48" t="n">
        <f aca="false">IF(AND(AU45=1,AU46&lt;=$D$41),$D$40*$D$35*$D$7*1000/1000000,0)</f>
        <v>0</v>
      </c>
      <c r="AV67" s="48" t="n">
        <f aca="false">IF(AND(AV45=1,AV46&lt;=$D$41),$D$40*$D$35*$D$7*1000/1000000,0)</f>
        <v>0</v>
      </c>
      <c r="AW67" s="48" t="n">
        <f aca="false">IF(AND(AW45=1,AW46&lt;=$D$41),$D$40*$D$35*$D$7*1000/1000000,0)</f>
        <v>0</v>
      </c>
      <c r="AX67" s="48" t="n">
        <f aca="false">IF(AND(AX45=1,AX46&lt;=$D$41),$D$40*$D$35*$D$7*1000/1000000,0)</f>
        <v>0</v>
      </c>
      <c r="AY67" s="48" t="n">
        <f aca="false">IF(AND(AY45=1,AY46&lt;=$D$41),$D$40*$D$35*$D$7*1000/1000000,0)</f>
        <v>0</v>
      </c>
      <c r="AZ67" s="48" t="n">
        <f aca="false">IF(AND(AZ45=1,AZ46&lt;=$D$41),$D$40*$D$35*$D$7*1000/1000000,0)</f>
        <v>0</v>
      </c>
      <c r="BA67" s="48" t="n">
        <f aca="false">IF(AND(BA45=1,BA46&lt;=$D$41),$D$40*$D$35*$D$7*1000/1000000,0)</f>
        <v>0</v>
      </c>
      <c r="BB67" s="48" t="n">
        <f aca="false">IF(AND(BB45=1,BB46&lt;=$D$41),$D$40*$D$35*$D$7*1000/1000000,0)</f>
        <v>0</v>
      </c>
      <c r="BC67" s="48" t="n">
        <f aca="false">IF(AND(BC45=1,BC46&lt;=$D$41),$D$40*$D$35*$D$7*1000/1000000,0)</f>
        <v>0</v>
      </c>
      <c r="BD67" s="48" t="n">
        <f aca="false">IF(AND(BD45=1,BD46&lt;=$D$41),$D$40*$D$35*$D$7*1000/1000000,0)</f>
        <v>0</v>
      </c>
      <c r="BE67" s="48" t="n">
        <f aca="false">IF(AND(BE45=1,BE46&lt;=$D$41),$D$40*$D$35*$D$7*1000/1000000,0)</f>
        <v>0</v>
      </c>
      <c r="BF67" s="48" t="n">
        <f aca="false">IF(AND(BF45=1,BF46&lt;=$D$41),$D$40*$D$35*$D$7*1000/1000000,0)</f>
        <v>0</v>
      </c>
      <c r="BG67" s="48" t="n">
        <f aca="false">IF(AND(BG45=1,BG46&lt;=$D$41),$D$40*$D$35*$D$7*1000/1000000,0)</f>
        <v>0</v>
      </c>
      <c r="BH67" s="48" t="n">
        <f aca="false">IF(AND(BH45=1,BH46&lt;=$D$41),$D$40*$D$35*$D$7*1000/1000000,0)</f>
        <v>0</v>
      </c>
      <c r="BI67" s="48" t="n">
        <f aca="false">IF(AND(BI45=1,BI46&lt;=$D$41),$D$40*$D$35*$D$7*1000/1000000,0)</f>
        <v>0</v>
      </c>
      <c r="BJ67" s="48" t="n">
        <f aca="false">IF(AND(BJ45=1,BJ46&lt;=$D$41),$D$40*$D$35*$D$7*1000/1000000,0)</f>
        <v>0</v>
      </c>
      <c r="BK67" s="48" t="n">
        <f aca="false">IF(AND(BK45=1,BK46&lt;=$D$41),$D$40*$D$35*$D$7*1000/1000000,0)</f>
        <v>0</v>
      </c>
      <c r="BL67" s="48" t="n">
        <f aca="false">IF(AND(BL45=1,BL46&lt;=$D$41),$D$40*$D$35*$D$7*1000/1000000,0)</f>
        <v>0</v>
      </c>
      <c r="BM67" s="48" t="n">
        <f aca="false">IF(AND(BM45=1,BM46&lt;=$D$41),$D$40*$D$35*$D$7*1000/1000000,0)</f>
        <v>0</v>
      </c>
      <c r="BN67" s="48" t="n">
        <f aca="false">IF(AND(BN45=1,BN46&lt;=$D$41),$D$40*$D$35*$D$7*1000/1000000,0)</f>
        <v>0</v>
      </c>
      <c r="BO67" s="48" t="n">
        <f aca="false">IF(AND(BO45=1,BO46&lt;=$D$41),$D$40*$D$35*$D$7*1000/1000000,0)</f>
        <v>0</v>
      </c>
      <c r="BP67" s="48" t="n">
        <f aca="false">IF(AND(BP45=1,BP46&lt;=$D$41),$D$40*$D$35*$D$7*1000/1000000,0)</f>
        <v>0</v>
      </c>
      <c r="BQ67" s="48" t="n">
        <f aca="false">IF(AND(BQ45=1,BQ46&lt;=$D$41),$D$40*$D$35*$D$7*1000/1000000,0)</f>
        <v>0</v>
      </c>
      <c r="BR67" s="48" t="n">
        <f aca="false">IF(AND(BR45=1,BR46&lt;=$D$41),$D$40*$D$35*$D$7*1000/1000000,0)</f>
        <v>0</v>
      </c>
      <c r="BS67" s="48" t="n">
        <f aca="false">IF(AND(BS45=1,BS46&lt;=$D$41),$D$40*$D$35*$D$7*1000/1000000,0)</f>
        <v>0</v>
      </c>
      <c r="BT67" s="48" t="n">
        <f aca="false">IF(AND(BT45=1,BT46&lt;=$D$41),$D$40*$D$35*$D$7*1000/1000000,0)</f>
        <v>0</v>
      </c>
      <c r="BU67" s="48" t="n">
        <f aca="false">IF(AND(BU45=1,BU46&lt;=$D$41),$D$40*$D$35*$D$7*1000/1000000,0)</f>
        <v>0</v>
      </c>
      <c r="BV67" s="48" t="n">
        <f aca="false">IF(AND(BV45=1,BV46&lt;=$D$41),$D$40*$D$35*$D$7*1000/1000000,0)</f>
        <v>0</v>
      </c>
      <c r="BW67" s="48" t="n">
        <f aca="false">IF(AND(BW45=1,BW46&lt;=$D$41),$D$40*$D$35*$D$7*1000/1000000,0)</f>
        <v>0</v>
      </c>
      <c r="BX67" s="48" t="n">
        <f aca="false">IF(AND(BX45=1,BX46&lt;=$D$41),$D$40*$D$35*$D$7*1000/1000000,0)</f>
        <v>0</v>
      </c>
    </row>
    <row r="68" customFormat="false" ht="15" hidden="false" customHeight="false" outlineLevel="0" collapsed="false">
      <c r="A68" s="1"/>
      <c r="B68" s="8" t="s">
        <v>330</v>
      </c>
      <c r="C68" s="8" t="s">
        <v>126</v>
      </c>
      <c r="D68" s="44" t="n">
        <f aca="false">SUM(G68:BX68)</f>
        <v>0</v>
      </c>
      <c r="E68" s="1"/>
      <c r="F68" s="1"/>
      <c r="G68" s="48" t="n">
        <f aca="false">0</f>
        <v>0</v>
      </c>
      <c r="H68" s="48" t="n">
        <f aca="false">0</f>
        <v>0</v>
      </c>
      <c r="I68" s="48" t="n">
        <f aca="false">0</f>
        <v>0</v>
      </c>
      <c r="J68" s="48" t="n">
        <f aca="false">0</f>
        <v>0</v>
      </c>
      <c r="K68" s="48" t="n">
        <f aca="false">0</f>
        <v>0</v>
      </c>
      <c r="L68" s="48" t="n">
        <f aca="false">0</f>
        <v>0</v>
      </c>
      <c r="M68" s="48" t="n">
        <f aca="false">0</f>
        <v>0</v>
      </c>
      <c r="N68" s="48" t="n">
        <f aca="false">0</f>
        <v>0</v>
      </c>
      <c r="O68" s="48" t="n">
        <f aca="false">0</f>
        <v>0</v>
      </c>
      <c r="P68" s="48" t="n">
        <f aca="false">0</f>
        <v>0</v>
      </c>
      <c r="Q68" s="48" t="n">
        <f aca="false">0</f>
        <v>0</v>
      </c>
      <c r="R68" s="48" t="n">
        <f aca="false">0</f>
        <v>0</v>
      </c>
      <c r="S68" s="48" t="n">
        <f aca="false">0</f>
        <v>0</v>
      </c>
      <c r="T68" s="48" t="n">
        <f aca="false">0</f>
        <v>0</v>
      </c>
      <c r="U68" s="48" t="n">
        <f aca="false">0</f>
        <v>0</v>
      </c>
      <c r="V68" s="48" t="n">
        <f aca="false">0</f>
        <v>0</v>
      </c>
      <c r="W68" s="48" t="n">
        <f aca="false">0</f>
        <v>0</v>
      </c>
      <c r="X68" s="48" t="n">
        <f aca="false">0</f>
        <v>0</v>
      </c>
      <c r="Y68" s="48" t="n">
        <f aca="false">0</f>
        <v>0</v>
      </c>
      <c r="Z68" s="48" t="n">
        <f aca="false">0</f>
        <v>0</v>
      </c>
      <c r="AA68" s="48" t="n">
        <f aca="false">0</f>
        <v>0</v>
      </c>
      <c r="AB68" s="48" t="n">
        <f aca="false">0</f>
        <v>0</v>
      </c>
      <c r="AC68" s="48" t="n">
        <f aca="false">0</f>
        <v>0</v>
      </c>
      <c r="AD68" s="48" t="n">
        <f aca="false">0</f>
        <v>0</v>
      </c>
      <c r="AE68" s="48" t="n">
        <f aca="false">0</f>
        <v>0</v>
      </c>
      <c r="AF68" s="48" t="n">
        <f aca="false">0</f>
        <v>0</v>
      </c>
      <c r="AG68" s="48" t="n">
        <f aca="false">0</f>
        <v>0</v>
      </c>
      <c r="AH68" s="48" t="n">
        <f aca="false">0</f>
        <v>0</v>
      </c>
      <c r="AI68" s="48" t="n">
        <f aca="false">0</f>
        <v>0</v>
      </c>
      <c r="AJ68" s="48" t="n">
        <f aca="false">0</f>
        <v>0</v>
      </c>
      <c r="AK68" s="48" t="n">
        <f aca="false">0</f>
        <v>0</v>
      </c>
      <c r="AL68" s="48" t="n">
        <f aca="false">0</f>
        <v>0</v>
      </c>
      <c r="AM68" s="48" t="n">
        <f aca="false">0</f>
        <v>0</v>
      </c>
      <c r="AN68" s="48" t="n">
        <f aca="false">0</f>
        <v>0</v>
      </c>
      <c r="AO68" s="48" t="n">
        <f aca="false">0</f>
        <v>0</v>
      </c>
      <c r="AP68" s="48" t="n">
        <f aca="false">0</f>
        <v>0</v>
      </c>
      <c r="AQ68" s="48" t="n">
        <f aca="false">0</f>
        <v>0</v>
      </c>
      <c r="AR68" s="48" t="n">
        <f aca="false">0</f>
        <v>0</v>
      </c>
      <c r="AS68" s="48" t="n">
        <f aca="false">0</f>
        <v>0</v>
      </c>
      <c r="AT68" s="48" t="n">
        <f aca="false">0</f>
        <v>0</v>
      </c>
      <c r="AU68" s="48" t="n">
        <f aca="false">0</f>
        <v>0</v>
      </c>
      <c r="AV68" s="48" t="n">
        <f aca="false">0</f>
        <v>0</v>
      </c>
      <c r="AW68" s="48" t="n">
        <f aca="false">0</f>
        <v>0</v>
      </c>
      <c r="AX68" s="48" t="n">
        <f aca="false">0</f>
        <v>0</v>
      </c>
      <c r="AY68" s="48" t="n">
        <f aca="false">0</f>
        <v>0</v>
      </c>
      <c r="AZ68" s="48" t="n">
        <f aca="false">0</f>
        <v>0</v>
      </c>
      <c r="BA68" s="48" t="n">
        <f aca="false">0</f>
        <v>0</v>
      </c>
      <c r="BB68" s="48" t="n">
        <f aca="false">0</f>
        <v>0</v>
      </c>
      <c r="BC68" s="48" t="n">
        <f aca="false">0</f>
        <v>0</v>
      </c>
      <c r="BD68" s="48" t="n">
        <f aca="false">0</f>
        <v>0</v>
      </c>
      <c r="BE68" s="48" t="n">
        <f aca="false">0</f>
        <v>0</v>
      </c>
      <c r="BF68" s="48" t="n">
        <f aca="false">0</f>
        <v>0</v>
      </c>
      <c r="BG68" s="48" t="n">
        <f aca="false">0</f>
        <v>0</v>
      </c>
      <c r="BH68" s="48" t="n">
        <f aca="false">0</f>
        <v>0</v>
      </c>
      <c r="BI68" s="48" t="n">
        <f aca="false">0</f>
        <v>0</v>
      </c>
      <c r="BJ68" s="48" t="n">
        <f aca="false">0</f>
        <v>0</v>
      </c>
      <c r="BK68" s="48" t="n">
        <f aca="false">0</f>
        <v>0</v>
      </c>
      <c r="BL68" s="48" t="n">
        <f aca="false">0</f>
        <v>0</v>
      </c>
      <c r="BM68" s="48" t="n">
        <f aca="false">0</f>
        <v>0</v>
      </c>
      <c r="BN68" s="48" t="n">
        <f aca="false">0</f>
        <v>0</v>
      </c>
      <c r="BO68" s="48" t="n">
        <f aca="false">0</f>
        <v>0</v>
      </c>
      <c r="BP68" s="48" t="n">
        <f aca="false">0</f>
        <v>0</v>
      </c>
      <c r="BQ68" s="48" t="n">
        <f aca="false">0</f>
        <v>0</v>
      </c>
      <c r="BR68" s="48" t="n">
        <f aca="false">0</f>
        <v>0</v>
      </c>
      <c r="BS68" s="48" t="n">
        <f aca="false">0</f>
        <v>0</v>
      </c>
      <c r="BT68" s="48" t="n">
        <f aca="false">0</f>
        <v>0</v>
      </c>
      <c r="BU68" s="48" t="n">
        <f aca="false">0</f>
        <v>0</v>
      </c>
      <c r="BV68" s="48" t="n">
        <f aca="false">0</f>
        <v>0</v>
      </c>
      <c r="BW68" s="48" t="n">
        <f aca="false">0</f>
        <v>0</v>
      </c>
      <c r="BX68" s="48" t="n">
        <f aca="false">0</f>
        <v>0</v>
      </c>
    </row>
    <row r="69" customFormat="false" ht="15" hidden="false" customHeight="false" outlineLevel="0" collapsed="false">
      <c r="A69" s="1"/>
      <c r="B69" s="4" t="s">
        <v>331</v>
      </c>
      <c r="C69" s="8" t="s">
        <v>126</v>
      </c>
      <c r="D69" s="44" t="n">
        <f aca="false">SUM(G69:BX69)</f>
        <v>71581.9243355657</v>
      </c>
      <c r="E69" s="1"/>
      <c r="F69" s="1"/>
      <c r="G69" s="44" t="n">
        <f aca="false">G64+G66+G67+G68</f>
        <v>0</v>
      </c>
      <c r="H69" s="44" t="n">
        <f aca="false">H64+H66+H67+H68</f>
        <v>0</v>
      </c>
      <c r="I69" s="44" t="n">
        <f aca="false">I64+I66+I67+I68</f>
        <v>0</v>
      </c>
      <c r="J69" s="44" t="n">
        <f aca="false">J64+J66+J67+J68</f>
        <v>0</v>
      </c>
      <c r="K69" s="44" t="n">
        <f aca="false">K64+K66+K67+K68</f>
        <v>0</v>
      </c>
      <c r="L69" s="44" t="n">
        <f aca="false">L64+L66+L67+L68</f>
        <v>0</v>
      </c>
      <c r="M69" s="44" t="n">
        <f aca="false">M64+M66+M67+M68</f>
        <v>0</v>
      </c>
      <c r="N69" s="44" t="n">
        <f aca="false">N64+N66+N67+N68</f>
        <v>0</v>
      </c>
      <c r="O69" s="44" t="n">
        <f aca="false">O64+O66+O67+O68</f>
        <v>1331.96527900757</v>
      </c>
      <c r="P69" s="44" t="n">
        <f aca="false">P64+P66+P67+P68</f>
        <v>1277.25303800109</v>
      </c>
      <c r="Q69" s="44" t="n">
        <f aca="false">Q64+Q66+Q67+Q68</f>
        <v>1277.24167314701</v>
      </c>
      <c r="R69" s="44" t="n">
        <f aca="false">R64+R66+R67+R68</f>
        <v>1374.45451464403</v>
      </c>
      <c r="S69" s="44" t="n">
        <f aca="false">S64+S66+S67+S68</f>
        <v>1317.99574962743</v>
      </c>
      <c r="T69" s="44" t="n">
        <f aca="false">T64+T66+T67+T68</f>
        <v>1317.98671534531</v>
      </c>
      <c r="U69" s="44" t="n">
        <f aca="false">U64+U66+U67+U68</f>
        <v>1374.43907646349</v>
      </c>
      <c r="V69" s="44" t="n">
        <f aca="false">V64+V66+V67+V68</f>
        <v>1317.98553279952</v>
      </c>
      <c r="W69" s="44" t="n">
        <f aca="false">W64+W66+W67+W68</f>
        <v>1317.99034672868</v>
      </c>
      <c r="X69" s="44" t="n">
        <f aca="false">X64+X66+X67+X68</f>
        <v>1280.35625765366</v>
      </c>
      <c r="Y69" s="44" t="n">
        <f aca="false">Y64+Y66+Y67+Y68</f>
        <v>1317.99548636993</v>
      </c>
      <c r="Z69" s="44" t="n">
        <f aca="false">Z64+Z66+Z67+Z68</f>
        <v>1317.99591791515</v>
      </c>
      <c r="AA69" s="44" t="n">
        <f aca="false">AA64+AA66+AA67+AA68</f>
        <v>1374.44374314436</v>
      </c>
      <c r="AB69" s="44" t="n">
        <f aca="false">AB64+AB66+AB67+AB68</f>
        <v>1317.99859143369</v>
      </c>
      <c r="AC69" s="44" t="n">
        <f aca="false">AC64+AC66+AC67+AC68</f>
        <v>1318.00893522524</v>
      </c>
      <c r="AD69" s="44" t="n">
        <f aca="false">AD64+AD66+AD67+AD68</f>
        <v>1374.4562262493</v>
      </c>
      <c r="AE69" s="44" t="n">
        <f aca="false">AE64+AE66+AE67+AE68</f>
        <v>1318.007499874</v>
      </c>
      <c r="AF69" s="44" t="n">
        <f aca="false">AF64+AF66+AF67+AF68</f>
        <v>1318.02049128004</v>
      </c>
      <c r="AG69" s="44" t="n">
        <f aca="false">AG64+AG66+AG67+AG68</f>
        <v>1374.48104516351</v>
      </c>
      <c r="AH69" s="44" t="n">
        <f aca="false">AH64+AH66+AH67+AH68</f>
        <v>1261.59065536506</v>
      </c>
      <c r="AI69" s="44" t="n">
        <f aca="false">AI64+AI66+AI67+AI68</f>
        <v>1318.05993739106</v>
      </c>
      <c r="AJ69" s="44" t="n">
        <f aca="false">AJ64+AJ66+AJ67+AJ68</f>
        <v>1374.51793094653</v>
      </c>
      <c r="AK69" s="44" t="n">
        <f aca="false">AK64+AK66+AK67+AK68</f>
        <v>1318.07952548656</v>
      </c>
      <c r="AL69" s="44" t="n">
        <f aca="false">AL64+AL66+AL67+AL68</f>
        <v>1318.08861501245</v>
      </c>
      <c r="AM69" s="44" t="n">
        <f aca="false">AM64+AM66+AM67+AM68</f>
        <v>1374.55389822658</v>
      </c>
      <c r="AN69" s="44" t="n">
        <f aca="false">AN64+AN66+AN67+AN68</f>
        <v>1318.11565236472</v>
      </c>
      <c r="AO69" s="44" t="n">
        <f aca="false">AO64+AO66+AO67+AO68</f>
        <v>1318.12917104085</v>
      </c>
      <c r="AP69" s="44" t="n">
        <f aca="false">AP64+AP66+AP67+AP68</f>
        <v>1374.58093557885</v>
      </c>
      <c r="AQ69" s="44" t="n">
        <f aca="false">AQ64+AQ66+AQ67+AQ68</f>
        <v>1318.12917104085</v>
      </c>
      <c r="AR69" s="44" t="n">
        <f aca="false">AR64+AR66+AR67+AR68</f>
        <v>1261.67740650285</v>
      </c>
      <c r="AS69" s="44" t="n">
        <f aca="false">AS64+AS66+AS67+AS68</f>
        <v>1374.58093557885</v>
      </c>
      <c r="AT69" s="44" t="n">
        <f aca="false">AT64+AT66+AT67+AT68</f>
        <v>1318.12917104085</v>
      </c>
      <c r="AU69" s="44" t="n">
        <f aca="false">AU64+AU66+AU67+AU68</f>
        <v>1318.12917104085</v>
      </c>
      <c r="AV69" s="44" t="n">
        <f aca="false">AV64+AV66+AV67+AV68</f>
        <v>1374.58093557885</v>
      </c>
      <c r="AW69" s="44" t="n">
        <f aca="false">AW64+AW66+AW67+AW68</f>
        <v>1318.12917104085</v>
      </c>
      <c r="AX69" s="44" t="n">
        <f aca="false">AX64+AX66+AX67+AX68</f>
        <v>1318.12917104085</v>
      </c>
      <c r="AY69" s="44" t="n">
        <f aca="false">AY64+AY66+AY67+AY68</f>
        <v>1374.58093557885</v>
      </c>
      <c r="AZ69" s="44" t="n">
        <f aca="false">AZ64+AZ66+AZ67+AZ68</f>
        <v>1318.12917104085</v>
      </c>
      <c r="BA69" s="44" t="n">
        <f aca="false">BA64+BA66+BA67+BA68</f>
        <v>1318.12917104085</v>
      </c>
      <c r="BB69" s="44" t="n">
        <f aca="false">BB64+BB66+BB67+BB68</f>
        <v>1280.49466134885</v>
      </c>
      <c r="BC69" s="44" t="n">
        <f aca="false">BC64+BC66+BC67+BC68</f>
        <v>915.044271983503</v>
      </c>
      <c r="BD69" s="44" t="n">
        <f aca="false">BD64+BD66+BD67+BD68</f>
        <v>915.044271983503</v>
      </c>
      <c r="BE69" s="44" t="n">
        <f aca="false">BE64+BE66+BE67+BE68</f>
        <v>960.136684197278</v>
      </c>
      <c r="BF69" s="44" t="n">
        <f aca="false">BF64+BF66+BF67+BF68</f>
        <v>915.044271983503</v>
      </c>
      <c r="BG69" s="44" t="n">
        <f aca="false">BG64+BG66+BG67+BG68</f>
        <v>915.044271983503</v>
      </c>
      <c r="BH69" s="44" t="n">
        <f aca="false">BH64+BH66+BH67+BH68</f>
        <v>960.136684197278</v>
      </c>
      <c r="BI69" s="44" t="n">
        <f aca="false">BI64+BI66+BI67+BI68</f>
        <v>915.044271983503</v>
      </c>
      <c r="BJ69" s="44" t="n">
        <f aca="false">BJ64+BJ66+BJ67+BJ68</f>
        <v>915.044271983503</v>
      </c>
      <c r="BK69" s="44" t="n">
        <f aca="false">BK64+BK66+BK67+BK68</f>
        <v>960.136684197278</v>
      </c>
      <c r="BL69" s="44" t="n">
        <f aca="false">BL64+BL66+BL67+BL68</f>
        <v>876.480726610041</v>
      </c>
      <c r="BM69" s="44" t="n">
        <f aca="false">BM64+BM66+BM67+BM68</f>
        <v>915.044271983503</v>
      </c>
      <c r="BN69" s="44" t="n">
        <f aca="false">BN64+BN66+BN67+BN68</f>
        <v>960.136684197278</v>
      </c>
      <c r="BO69" s="44" t="n">
        <f aca="false">BO64+BO66+BO67+BO68</f>
        <v>915.044271983503</v>
      </c>
      <c r="BP69" s="44" t="n">
        <f aca="false">BP64+BP66+BP67+BP68</f>
        <v>915.044271983503</v>
      </c>
      <c r="BQ69" s="44" t="n">
        <f aca="false">BQ64+BQ66+BQ67+BQ68</f>
        <v>960.136684197278</v>
      </c>
      <c r="BR69" s="44" t="n">
        <f aca="false">BR64+BR66+BR67+BR68</f>
        <v>915.044271983503</v>
      </c>
      <c r="BS69" s="44" t="n">
        <f aca="false">BS64+BS66+BS67+BS68</f>
        <v>915.044271983503</v>
      </c>
      <c r="BT69" s="44" t="n">
        <f aca="false">BT64+BT66+BT67+BT68</f>
        <v>960.136684197278</v>
      </c>
      <c r="BU69" s="44" t="n">
        <f aca="false">BU64+BU66+BU67+BU68</f>
        <v>915.044271983503</v>
      </c>
      <c r="BV69" s="44" t="n">
        <f aca="false">BV64+BV66+BV67+BV68</f>
        <v>876.480726610041</v>
      </c>
      <c r="BW69" s="44" t="n">
        <f aca="false">BW64+BW66+BW67+BW68</f>
        <v>0</v>
      </c>
      <c r="BX69" s="44" t="n">
        <f aca="false">BX64+BX66+BX67+BX68</f>
        <v>0</v>
      </c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</row>
    <row r="71" customFormat="false" ht="15" hidden="false" customHeight="false" outlineLevel="0" collapsed="false">
      <c r="A71" s="1"/>
      <c r="B71" s="13" t="s">
        <v>332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</row>
    <row r="72" customFormat="false" ht="15" hidden="false" customHeight="false" outlineLevel="0" collapsed="false">
      <c r="A72" s="1"/>
      <c r="B72" s="8" t="s">
        <v>333</v>
      </c>
      <c r="C72" s="8" t="s">
        <v>126</v>
      </c>
      <c r="D72" s="44" t="n">
        <f aca="false">SUM(G72:BX72)</f>
        <v>4460.22225092566</v>
      </c>
      <c r="E72" s="1"/>
      <c r="F72" s="1"/>
      <c r="G72" s="48" t="n">
        <f aca="false">G62*$D$25*IF(G45=1,IFERROR(INDEX(Twin!$G$21:$BN$21,1,G46),0),0)/1000000</f>
        <v>0</v>
      </c>
      <c r="H72" s="48" t="n">
        <f aca="false">H62*$D$25*IF(H45=1,IFERROR(INDEX(Twin!$G$21:$BN$21,1,H46),0),0)/1000000</f>
        <v>0</v>
      </c>
      <c r="I72" s="48" t="n">
        <f aca="false">I62*$D$25*IF(I45=1,IFERROR(INDEX(Twin!$G$21:$BN$21,1,I46),0),0)/1000000</f>
        <v>0</v>
      </c>
      <c r="J72" s="48" t="n">
        <f aca="false">J62*$D$25*IF(J45=1,IFERROR(INDEX(Twin!$G$21:$BN$21,1,J46),0),0)/1000000</f>
        <v>0</v>
      </c>
      <c r="K72" s="48" t="n">
        <f aca="false">K62*$D$25*IF(K45=1,IFERROR(INDEX(Twin!$G$21:$BN$21,1,K46),0),0)/1000000</f>
        <v>0</v>
      </c>
      <c r="L72" s="48" t="n">
        <f aca="false">L62*$D$25*IF(L45=1,IFERROR(INDEX(Twin!$G$21:$BN$21,1,L46),0),0)/1000000</f>
        <v>0</v>
      </c>
      <c r="M72" s="48" t="n">
        <f aca="false">M62*$D$25*IF(M45=1,IFERROR(INDEX(Twin!$G$21:$BN$21,1,M46),0),0)/1000000</f>
        <v>0</v>
      </c>
      <c r="N72" s="48" t="n">
        <f aca="false">N62*$D$25*IF(N45=1,IFERROR(INDEX(Twin!$G$21:$BN$21,1,N46),0),0)/1000000</f>
        <v>0</v>
      </c>
      <c r="O72" s="48" t="n">
        <f aca="false">O62*$D$25*IF(O45=1,IFERROR(INDEX(Twin!$G$21:$BN$21,1,O46),0),0)/1000000</f>
        <v>75.4449773726154</v>
      </c>
      <c r="P72" s="48" t="n">
        <f aca="false">P62*$D$25*IF(P45=1,IFERROR(INDEX(Twin!$G$21:$BN$21,1,P46),0),0)/1000000</f>
        <v>72.3377284975947</v>
      </c>
      <c r="Q72" s="48" t="n">
        <f aca="false">Q62*$D$25*IF(Q45=1,IFERROR(INDEX(Twin!$G$21:$BN$21,1,Q46),0),0)/1000000</f>
        <v>72.3377284975947</v>
      </c>
      <c r="R72" s="48" t="n">
        <f aca="false">R62*$D$25*IF(R45=1,IFERROR(INDEX(Twin!$G$21:$BN$21,1,R46),0),0)/1000000</f>
        <v>77.8616303141201</v>
      </c>
      <c r="S72" s="48" t="n">
        <f aca="false">S62*$D$25*IF(S45=1,IFERROR(INDEX(Twin!$G$21:$BN$21,1,S46),0),0)/1000000</f>
        <v>74.6549259484157</v>
      </c>
      <c r="T72" s="48" t="n">
        <f aca="false">T62*$D$25*IF(T45=1,IFERROR(INDEX(Twin!$G$21:$BN$21,1,T46),0),0)/1000000</f>
        <v>74.6561483426765</v>
      </c>
      <c r="U72" s="48" t="n">
        <f aca="false">U62*$D$25*IF(U45=1,IFERROR(INDEX(Twin!$G$21:$BN$21,1,U46),0),0)/1000000</f>
        <v>77.8647376226765</v>
      </c>
      <c r="V72" s="48" t="n">
        <f aca="false">V62*$D$25*IF(V45=1,IFERROR(INDEX(Twin!$G$21:$BN$21,1,V46),0),0)/1000000</f>
        <v>74.6549259484157</v>
      </c>
      <c r="W72" s="48" t="n">
        <f aca="false">W62*$D$25*IF(W45=1,IFERROR(INDEX(Twin!$G$21:$BN$21,1,W46),0),0)/1000000</f>
        <v>74.6568108627113</v>
      </c>
      <c r="X72" s="48" t="n">
        <f aca="false">X62*$D$25*IF(X45=1,IFERROR(INDEX(Twin!$G$21:$BN$21,1,X46),0),0)/1000000</f>
        <v>72.5177513427114</v>
      </c>
      <c r="Y72" s="48" t="n">
        <f aca="false">Y62*$D$25*IF(Y45=1,IFERROR(INDEX(Twin!$G$21:$BN$21,1,Y46),0),0)/1000000</f>
        <v>74.6586957770069</v>
      </c>
      <c r="Z72" s="48" t="n">
        <f aca="false">Z62*$D$25*IF(Z45=1,IFERROR(INDEX(Twin!$G$21:$BN$21,1,Z46),0),0)/1000000</f>
        <v>74.6586957770069</v>
      </c>
      <c r="AA72" s="48" t="n">
        <f aca="false">AA62*$D$25*IF(AA45=1,IFERROR(INDEX(Twin!$G$21:$BN$21,1,AA46),0),0)/1000000</f>
        <v>77.8654001427113</v>
      </c>
      <c r="AB72" s="48" t="n">
        <f aca="false">AB62*$D$25*IF(AB45=1,IFERROR(INDEX(Twin!$G$21:$BN$21,1,AB46),0),0)/1000000</f>
        <v>74.6598421741087</v>
      </c>
      <c r="AC72" s="48" t="n">
        <f aca="false">AC62*$D$25*IF(AC45=1,IFERROR(INDEX(Twin!$G$21:$BN$21,1,AC46),0),0)/1000000</f>
        <v>74.6640958797669</v>
      </c>
      <c r="AD72" s="48" t="n">
        <f aca="false">AD62*$D$25*IF(AD45=1,IFERROR(INDEX(Twin!$G$21:$BN$21,1,AD46),0),0)/1000000</f>
        <v>77.8703163684044</v>
      </c>
      <c r="AE72" s="48" t="n">
        <f aca="false">AE62*$D$25*IF(AE45=1,IFERROR(INDEX(Twin!$G$21:$BN$21,1,AE46),0),0)/1000000</f>
        <v>74.6574733827462</v>
      </c>
      <c r="AF72" s="48" t="n">
        <f aca="false">AF62*$D$25*IF(AF45=1,IFERROR(INDEX(Twin!$G$21:$BN$21,1,AF46),0),0)/1000000</f>
        <v>74.6574733827462</v>
      </c>
      <c r="AG72" s="48" t="n">
        <f aca="false">AG62*$D$25*IF(AG45=1,IFERROR(INDEX(Twin!$G$21:$BN$21,1,AG46),0),0)/1000000</f>
        <v>77.8641777484506</v>
      </c>
      <c r="AH72" s="48" t="n">
        <f aca="false">AH62*$D$25*IF(AH45=1,IFERROR(INDEX(Twin!$G$21:$BN$21,1,AH46),0),0)/1000000</f>
        <v>71.4469991884506</v>
      </c>
      <c r="AI72" s="48" t="n">
        <f aca="false">AI62*$D$25*IF(AI45=1,IFERROR(INDEX(Twin!$G$21:$BN$21,1,AI46),0),0)/1000000</f>
        <v>74.6574733827462</v>
      </c>
      <c r="AJ72" s="48" t="n">
        <f aca="false">AJ62*$D$25*IF(AJ45=1,IFERROR(INDEX(Twin!$G$21:$BN$21,1,AJ46),0),0)/1000000</f>
        <v>77.8630313513489</v>
      </c>
      <c r="AK72" s="48" t="n">
        <f aca="false">AK62*$D$25*IF(AK45=1,IFERROR(INDEX(Twin!$G$21:$BN$21,1,AK46),0),0)/1000000</f>
        <v>74.6544420713488</v>
      </c>
      <c r="AL72" s="48" t="n">
        <f aca="false">AL62*$D$25*IF(AL45=1,IFERROR(INDEX(Twin!$G$21:$BN$21,1,AL46),0),0)/1000000</f>
        <v>74.6525571570532</v>
      </c>
      <c r="AM72" s="48" t="n">
        <f aca="false">AM62*$D$25*IF(AM45=1,IFERROR(INDEX(Twin!$G$21:$BN$21,1,AM46),0),0)/1000000</f>
        <v>77.8611464370532</v>
      </c>
      <c r="AN72" s="48" t="n">
        <f aca="false">AN62*$D$25*IF(AN45=1,IFERROR(INDEX(Twin!$G$21:$BN$21,1,AN46),0),0)/1000000</f>
        <v>74.6525571570532</v>
      </c>
      <c r="AO72" s="48" t="n">
        <f aca="false">AO62*$D$25*IF(AO45=1,IFERROR(INDEX(Twin!$G$21:$BN$21,1,AO46),0),0)/1000000</f>
        <v>74.6525571570532</v>
      </c>
      <c r="AP72" s="48" t="n">
        <f aca="false">AP62*$D$25*IF(AP45=1,IFERROR(INDEX(Twin!$G$21:$BN$21,1,AP46),0),0)/1000000</f>
        <v>77.8611464370532</v>
      </c>
      <c r="AQ72" s="48" t="n">
        <f aca="false">AQ62*$D$25*IF(AQ45=1,IFERROR(INDEX(Twin!$G$21:$BN$21,1,AQ46),0),0)/1000000</f>
        <v>74.6525571570532</v>
      </c>
      <c r="AR72" s="48" t="n">
        <f aca="false">AR62*$D$25*IF(AR45=1,IFERROR(INDEX(Twin!$G$21:$BN$21,1,AR46),0),0)/1000000</f>
        <v>71.4439678770532</v>
      </c>
      <c r="AS72" s="48" t="n">
        <f aca="false">AS62*$D$25*IF(AS45=1,IFERROR(INDEX(Twin!$G$21:$BN$21,1,AS46),0),0)/1000000</f>
        <v>77.8611464370532</v>
      </c>
      <c r="AT72" s="48" t="n">
        <f aca="false">AT62*$D$25*IF(AT45=1,IFERROR(INDEX(Twin!$G$21:$BN$21,1,AT46),0),0)/1000000</f>
        <v>74.6525571570532</v>
      </c>
      <c r="AU72" s="48" t="n">
        <f aca="false">AU62*$D$25*IF(AU45=1,IFERROR(INDEX(Twin!$G$21:$BN$21,1,AU46),0),0)/1000000</f>
        <v>74.6525571570532</v>
      </c>
      <c r="AV72" s="48" t="n">
        <f aca="false">AV62*$D$25*IF(AV45=1,IFERROR(INDEX(Twin!$G$21:$BN$21,1,AV46),0),0)/1000000</f>
        <v>77.8611464370532</v>
      </c>
      <c r="AW72" s="48" t="n">
        <f aca="false">AW62*$D$25*IF(AW45=1,IFERROR(INDEX(Twin!$G$21:$BN$21,1,AW46),0),0)/1000000</f>
        <v>74.6525571570532</v>
      </c>
      <c r="AX72" s="48" t="n">
        <f aca="false">AX62*$D$25*IF(AX45=1,IFERROR(INDEX(Twin!$G$21:$BN$21,1,AX46),0),0)/1000000</f>
        <v>74.6525571570532</v>
      </c>
      <c r="AY72" s="48" t="n">
        <f aca="false">AY62*$D$25*IF(AY45=1,IFERROR(INDEX(Twin!$G$21:$BN$21,1,AY46),0),0)/1000000</f>
        <v>77.8611464370532</v>
      </c>
      <c r="AZ72" s="48" t="n">
        <f aca="false">AZ62*$D$25*IF(AZ45=1,IFERROR(INDEX(Twin!$G$21:$BN$21,1,AZ46),0),0)/1000000</f>
        <v>74.6525571570532</v>
      </c>
      <c r="BA72" s="48" t="n">
        <f aca="false">BA62*$D$25*IF(BA45=1,IFERROR(INDEX(Twin!$G$21:$BN$21,1,BA46),0),0)/1000000</f>
        <v>74.6525571570532</v>
      </c>
      <c r="BB72" s="48" t="n">
        <f aca="false">BB62*$D$25*IF(BB45=1,IFERROR(INDEX(Twin!$G$21:$BN$21,1,BB46),0),0)/1000000</f>
        <v>72.5134976370532</v>
      </c>
      <c r="BC72" s="48" t="n">
        <f aca="false">BC62*$D$25*IF(BC45=1,IFERROR(INDEX(Twin!$G$21:$BN$21,1,BC46),0),0)/1000000</f>
        <v>72.0216821579692</v>
      </c>
      <c r="BD72" s="48" t="n">
        <f aca="false">BD62*$D$25*IF(BD45=1,IFERROR(INDEX(Twin!$G$21:$BN$21,1,BD46),0),0)/1000000</f>
        <v>72.0216821579692</v>
      </c>
      <c r="BE72" s="48" t="n">
        <f aca="false">BE62*$D$25*IF(BE45=1,IFERROR(INDEX(Twin!$G$21:$BN$21,1,BE46),0),0)/1000000</f>
        <v>75.2302714379692</v>
      </c>
      <c r="BF72" s="48" t="n">
        <f aca="false">BF62*$D$25*IF(BF45=1,IFERROR(INDEX(Twin!$G$21:$BN$21,1,BF46),0),0)/1000000</f>
        <v>72.0216821579692</v>
      </c>
      <c r="BG72" s="48" t="n">
        <f aca="false">BG62*$D$25*IF(BG45=1,IFERROR(INDEX(Twin!$G$21:$BN$21,1,BG46),0),0)/1000000</f>
        <v>72.0216821579692</v>
      </c>
      <c r="BH72" s="48" t="n">
        <f aca="false">BH62*$D$25*IF(BH45=1,IFERROR(INDEX(Twin!$G$21:$BN$21,1,BH46),0),0)/1000000</f>
        <v>75.2302714379692</v>
      </c>
      <c r="BI72" s="48" t="n">
        <f aca="false">BI62*$D$25*IF(BI45=1,IFERROR(INDEX(Twin!$G$21:$BN$21,1,BI46),0),0)/1000000</f>
        <v>72.0216821579692</v>
      </c>
      <c r="BJ72" s="48" t="n">
        <f aca="false">BJ62*$D$25*IF(BJ45=1,IFERROR(INDEX(Twin!$G$21:$BN$21,1,BJ46),0),0)/1000000</f>
        <v>72.0216821579692</v>
      </c>
      <c r="BK72" s="48" t="n">
        <f aca="false">BK62*$D$25*IF(BK45=1,IFERROR(INDEX(Twin!$G$21:$BN$21,1,BK46),0),0)/1000000</f>
        <v>75.2302714379692</v>
      </c>
      <c r="BL72" s="48" t="n">
        <f aca="false">BL62*$D$25*IF(BL45=1,IFERROR(INDEX(Twin!$G$21:$BN$21,1,BL46),0),0)/1000000</f>
        <v>68.8130928779692</v>
      </c>
      <c r="BM72" s="48" t="n">
        <f aca="false">BM62*$D$25*IF(BM45=1,IFERROR(INDEX(Twin!$G$21:$BN$21,1,BM46),0),0)/1000000</f>
        <v>72.0216821579692</v>
      </c>
      <c r="BN72" s="48" t="n">
        <f aca="false">BN62*$D$25*IF(BN45=1,IFERROR(INDEX(Twin!$G$21:$BN$21,1,BN46),0),0)/1000000</f>
        <v>75.2302714379692</v>
      </c>
      <c r="BO72" s="48" t="n">
        <f aca="false">BO62*$D$25*IF(BO45=1,IFERROR(INDEX(Twin!$G$21:$BN$21,1,BO46),0),0)/1000000</f>
        <v>72.0216821579692</v>
      </c>
      <c r="BP72" s="48" t="n">
        <f aca="false">BP62*$D$25*IF(BP45=1,IFERROR(INDEX(Twin!$G$21:$BN$21,1,BP46),0),0)/1000000</f>
        <v>72.0216821579692</v>
      </c>
      <c r="BQ72" s="48" t="n">
        <f aca="false">BQ62*$D$25*IF(BQ45=1,IFERROR(INDEX(Twin!$G$21:$BN$21,1,BQ46),0),0)/1000000</f>
        <v>75.2302714379692</v>
      </c>
      <c r="BR72" s="48" t="n">
        <f aca="false">BR62*$D$25*IF(BR45=1,IFERROR(INDEX(Twin!$G$21:$BN$21,1,BR46),0),0)/1000000</f>
        <v>72.0216821579692</v>
      </c>
      <c r="BS72" s="48" t="n">
        <f aca="false">BS62*$D$25*IF(BS45=1,IFERROR(INDEX(Twin!$G$21:$BN$21,1,BS46),0),0)/1000000</f>
        <v>72.0216821579692</v>
      </c>
      <c r="BT72" s="48" t="n">
        <f aca="false">BT62*$D$25*IF(BT45=1,IFERROR(INDEX(Twin!$G$21:$BN$21,1,BT46),0),0)/1000000</f>
        <v>75.2302714379692</v>
      </c>
      <c r="BU72" s="48" t="n">
        <f aca="false">BU62*$D$25*IF(BU45=1,IFERROR(INDEX(Twin!$G$21:$BN$21,1,BU46),0),0)/1000000</f>
        <v>72.0216821579692</v>
      </c>
      <c r="BV72" s="48" t="n">
        <f aca="false">BV62*$D$25*IF(BV45=1,IFERROR(INDEX(Twin!$G$21:$BN$21,1,BV46),0),0)/1000000</f>
        <v>68.8130928779692</v>
      </c>
      <c r="BW72" s="48" t="n">
        <f aca="false">BW62*$D$25*IF(BW45=1,IFERROR(INDEX(Twin!$G$21:$BN$21,1,BW46),0),0)/1000000</f>
        <v>0</v>
      </c>
      <c r="BX72" s="48" t="n">
        <f aca="false">BX62*$D$25*IF(BX45=1,IFERROR(INDEX(Twin!$G$21:$BN$21,1,BX46),0),0)/1000000</f>
        <v>0</v>
      </c>
    </row>
    <row r="73" customFormat="false" ht="15" hidden="false" customHeight="false" outlineLevel="0" collapsed="false">
      <c r="A73" s="1"/>
      <c r="B73" s="8" t="s">
        <v>334</v>
      </c>
      <c r="C73" s="8" t="s">
        <v>126</v>
      </c>
      <c r="D73" s="44" t="n">
        <f aca="false">SUM(G73:BX73)</f>
        <v>0</v>
      </c>
      <c r="E73" s="1"/>
      <c r="F73" s="1"/>
      <c r="G73" s="48" t="n">
        <f aca="false">0</f>
        <v>0</v>
      </c>
      <c r="H73" s="48" t="n">
        <f aca="false">0</f>
        <v>0</v>
      </c>
      <c r="I73" s="48" t="n">
        <f aca="false">0</f>
        <v>0</v>
      </c>
      <c r="J73" s="48" t="n">
        <f aca="false">0</f>
        <v>0</v>
      </c>
      <c r="K73" s="48" t="n">
        <f aca="false">0</f>
        <v>0</v>
      </c>
      <c r="L73" s="48" t="n">
        <f aca="false">0</f>
        <v>0</v>
      </c>
      <c r="M73" s="48" t="n">
        <f aca="false">0</f>
        <v>0</v>
      </c>
      <c r="N73" s="48" t="n">
        <f aca="false">0</f>
        <v>0</v>
      </c>
      <c r="O73" s="48" t="n">
        <f aca="false">0</f>
        <v>0</v>
      </c>
      <c r="P73" s="48" t="n">
        <f aca="false">0</f>
        <v>0</v>
      </c>
      <c r="Q73" s="48" t="n">
        <f aca="false">0</f>
        <v>0</v>
      </c>
      <c r="R73" s="48" t="n">
        <f aca="false">0</f>
        <v>0</v>
      </c>
      <c r="S73" s="48" t="n">
        <f aca="false">0</f>
        <v>0</v>
      </c>
      <c r="T73" s="48" t="n">
        <f aca="false">0</f>
        <v>0</v>
      </c>
      <c r="U73" s="48" t="n">
        <f aca="false">0</f>
        <v>0</v>
      </c>
      <c r="V73" s="48" t="n">
        <f aca="false">0</f>
        <v>0</v>
      </c>
      <c r="W73" s="48" t="n">
        <f aca="false">0</f>
        <v>0</v>
      </c>
      <c r="X73" s="48" t="n">
        <f aca="false">0</f>
        <v>0</v>
      </c>
      <c r="Y73" s="48" t="n">
        <f aca="false">0</f>
        <v>0</v>
      </c>
      <c r="Z73" s="48" t="n">
        <f aca="false">0</f>
        <v>0</v>
      </c>
      <c r="AA73" s="48" t="n">
        <f aca="false">0</f>
        <v>0</v>
      </c>
      <c r="AB73" s="48" t="n">
        <f aca="false">0</f>
        <v>0</v>
      </c>
      <c r="AC73" s="48" t="n">
        <f aca="false">0</f>
        <v>0</v>
      </c>
      <c r="AD73" s="48" t="n">
        <f aca="false">0</f>
        <v>0</v>
      </c>
      <c r="AE73" s="48" t="n">
        <f aca="false">0</f>
        <v>0</v>
      </c>
      <c r="AF73" s="48" t="n">
        <f aca="false">0</f>
        <v>0</v>
      </c>
      <c r="AG73" s="48" t="n">
        <f aca="false">0</f>
        <v>0</v>
      </c>
      <c r="AH73" s="48" t="n">
        <f aca="false">0</f>
        <v>0</v>
      </c>
      <c r="AI73" s="48" t="n">
        <f aca="false">0</f>
        <v>0</v>
      </c>
      <c r="AJ73" s="48" t="n">
        <f aca="false">0</f>
        <v>0</v>
      </c>
      <c r="AK73" s="48" t="n">
        <f aca="false">0</f>
        <v>0</v>
      </c>
      <c r="AL73" s="48" t="n">
        <f aca="false">0</f>
        <v>0</v>
      </c>
      <c r="AM73" s="48" t="n">
        <f aca="false">0</f>
        <v>0</v>
      </c>
      <c r="AN73" s="48" t="n">
        <f aca="false">0</f>
        <v>0</v>
      </c>
      <c r="AO73" s="48" t="n">
        <f aca="false">0</f>
        <v>0</v>
      </c>
      <c r="AP73" s="48" t="n">
        <f aca="false">0</f>
        <v>0</v>
      </c>
      <c r="AQ73" s="48" t="n">
        <f aca="false">0</f>
        <v>0</v>
      </c>
      <c r="AR73" s="48" t="n">
        <f aca="false">0</f>
        <v>0</v>
      </c>
      <c r="AS73" s="48" t="n">
        <f aca="false">0</f>
        <v>0</v>
      </c>
      <c r="AT73" s="48" t="n">
        <f aca="false">0</f>
        <v>0</v>
      </c>
      <c r="AU73" s="48" t="n">
        <f aca="false">0</f>
        <v>0</v>
      </c>
      <c r="AV73" s="48" t="n">
        <f aca="false">0</f>
        <v>0</v>
      </c>
      <c r="AW73" s="48" t="n">
        <f aca="false">0</f>
        <v>0</v>
      </c>
      <c r="AX73" s="48" t="n">
        <f aca="false">0</f>
        <v>0</v>
      </c>
      <c r="AY73" s="48" t="n">
        <f aca="false">0</f>
        <v>0</v>
      </c>
      <c r="AZ73" s="48" t="n">
        <f aca="false">0</f>
        <v>0</v>
      </c>
      <c r="BA73" s="48" t="n">
        <f aca="false">0</f>
        <v>0</v>
      </c>
      <c r="BB73" s="48" t="n">
        <f aca="false">0</f>
        <v>0</v>
      </c>
      <c r="BC73" s="48" t="n">
        <f aca="false">0</f>
        <v>0</v>
      </c>
      <c r="BD73" s="48" t="n">
        <f aca="false">0</f>
        <v>0</v>
      </c>
      <c r="BE73" s="48" t="n">
        <f aca="false">0</f>
        <v>0</v>
      </c>
      <c r="BF73" s="48" t="n">
        <f aca="false">0</f>
        <v>0</v>
      </c>
      <c r="BG73" s="48" t="n">
        <f aca="false">0</f>
        <v>0</v>
      </c>
      <c r="BH73" s="48" t="n">
        <f aca="false">0</f>
        <v>0</v>
      </c>
      <c r="BI73" s="48" t="n">
        <f aca="false">0</f>
        <v>0</v>
      </c>
      <c r="BJ73" s="48" t="n">
        <f aca="false">0</f>
        <v>0</v>
      </c>
      <c r="BK73" s="48" t="n">
        <f aca="false">0</f>
        <v>0</v>
      </c>
      <c r="BL73" s="48" t="n">
        <f aca="false">0</f>
        <v>0</v>
      </c>
      <c r="BM73" s="48" t="n">
        <f aca="false">0</f>
        <v>0</v>
      </c>
      <c r="BN73" s="48" t="n">
        <f aca="false">0</f>
        <v>0</v>
      </c>
      <c r="BO73" s="48" t="n">
        <f aca="false">0</f>
        <v>0</v>
      </c>
      <c r="BP73" s="48" t="n">
        <f aca="false">0</f>
        <v>0</v>
      </c>
      <c r="BQ73" s="48" t="n">
        <f aca="false">0</f>
        <v>0</v>
      </c>
      <c r="BR73" s="48" t="n">
        <f aca="false">0</f>
        <v>0</v>
      </c>
      <c r="BS73" s="48" t="n">
        <f aca="false">0</f>
        <v>0</v>
      </c>
      <c r="BT73" s="48" t="n">
        <f aca="false">0</f>
        <v>0</v>
      </c>
      <c r="BU73" s="48" t="n">
        <f aca="false">0</f>
        <v>0</v>
      </c>
      <c r="BV73" s="48" t="n">
        <f aca="false">0</f>
        <v>0</v>
      </c>
      <c r="BW73" s="48" t="n">
        <f aca="false">0</f>
        <v>0</v>
      </c>
      <c r="BX73" s="48" t="n">
        <f aca="false">0</f>
        <v>0</v>
      </c>
    </row>
    <row r="74" customFormat="false" ht="15" hidden="false" customHeight="false" outlineLevel="0" collapsed="false">
      <c r="A74" s="1"/>
      <c r="B74" s="8" t="s">
        <v>335</v>
      </c>
      <c r="C74" s="8" t="s">
        <v>126</v>
      </c>
      <c r="D74" s="44" t="n">
        <f aca="false">SUM(G74:BX74)</f>
        <v>1581.465513342</v>
      </c>
      <c r="E74" s="1"/>
      <c r="F74" s="1"/>
      <c r="G74" s="48" t="n">
        <f aca="false">G62*$D$15/1000000</f>
        <v>0</v>
      </c>
      <c r="H74" s="48" t="n">
        <f aca="false">H62*$D$15/1000000</f>
        <v>0</v>
      </c>
      <c r="I74" s="48" t="n">
        <f aca="false">I62*$D$15/1000000</f>
        <v>0</v>
      </c>
      <c r="J74" s="48" t="n">
        <f aca="false">J62*$D$15/1000000</f>
        <v>0</v>
      </c>
      <c r="K74" s="48" t="n">
        <f aca="false">K62*$D$15/1000000</f>
        <v>0</v>
      </c>
      <c r="L74" s="48" t="n">
        <f aca="false">L62*$D$15/1000000</f>
        <v>0</v>
      </c>
      <c r="M74" s="48" t="n">
        <f aca="false">M62*$D$15/1000000</f>
        <v>0</v>
      </c>
      <c r="N74" s="48" t="n">
        <f aca="false">N62*$D$15/1000000</f>
        <v>0</v>
      </c>
      <c r="O74" s="48" t="n">
        <f aca="false">O62*$D$15/1000000</f>
        <v>26.76674286</v>
      </c>
      <c r="P74" s="48" t="n">
        <f aca="false">P62*$D$15/1000000</f>
        <v>25.664205996</v>
      </c>
      <c r="Q74" s="48" t="n">
        <f aca="false">Q62*$D$15/1000000</f>
        <v>25.664205996</v>
      </c>
      <c r="R74" s="48" t="n">
        <f aca="false">R62*$D$15/1000000</f>
        <v>27.624260664</v>
      </c>
      <c r="S74" s="48" t="n">
        <f aca="false">S62*$D$15/1000000</f>
        <v>26.48642997</v>
      </c>
      <c r="T74" s="48" t="n">
        <f aca="false">T62*$D$15/1000000</f>
        <v>26.486870124</v>
      </c>
      <c r="U74" s="48" t="n">
        <f aca="false">U62*$D$15/1000000</f>
        <v>27.625401804</v>
      </c>
      <c r="V74" s="48" t="n">
        <f aca="false">V62*$D$15/1000000</f>
        <v>26.48642997</v>
      </c>
      <c r="W74" s="48" t="n">
        <f aca="false">W62*$D$15/1000000</f>
        <v>26.487130956</v>
      </c>
      <c r="X74" s="48" t="n">
        <f aca="false">X62*$D$15/1000000</f>
        <v>25.728109836</v>
      </c>
      <c r="Y74" s="48" t="n">
        <f aca="false">Y62*$D$15/1000000</f>
        <v>26.487831942</v>
      </c>
      <c r="Z74" s="48" t="n">
        <f aca="false">Z62*$D$15/1000000</f>
        <v>26.487831942</v>
      </c>
      <c r="AA74" s="48" t="n">
        <f aca="false">AA62*$D$15/1000000</f>
        <v>27.625662636</v>
      </c>
      <c r="AB74" s="48" t="n">
        <f aca="false">AB62*$D$15/1000000</f>
        <v>26.488272096</v>
      </c>
      <c r="AC74" s="48" t="n">
        <f aca="false">AC62*$D$15/1000000</f>
        <v>26.48985339</v>
      </c>
      <c r="AD74" s="48" t="n">
        <f aca="false">AD62*$D$15/1000000</f>
        <v>27.627504762</v>
      </c>
      <c r="AE74" s="48" t="n">
        <f aca="false">AE62*$D$15/1000000</f>
        <v>26.487391788</v>
      </c>
      <c r="AF74" s="48" t="n">
        <f aca="false">AF62*$D$15/1000000</f>
        <v>26.487391788</v>
      </c>
      <c r="AG74" s="48" t="n">
        <f aca="false">AG62*$D$15/1000000</f>
        <v>27.625222482</v>
      </c>
      <c r="AH74" s="48" t="n">
        <f aca="false">AH62*$D$15/1000000</f>
        <v>25.348159122</v>
      </c>
      <c r="AI74" s="48" t="n">
        <f aca="false">AI62*$D$15/1000000</f>
        <v>26.487391788</v>
      </c>
      <c r="AJ74" s="48" t="n">
        <f aca="false">AJ62*$D$15/1000000</f>
        <v>27.624782328</v>
      </c>
      <c r="AK74" s="48" t="n">
        <f aca="false">AK62*$D$15/1000000</f>
        <v>26.486250648</v>
      </c>
      <c r="AL74" s="48" t="n">
        <f aca="false">AL62*$D$15/1000000</f>
        <v>26.485549662</v>
      </c>
      <c r="AM74" s="48" t="n">
        <f aca="false">AM62*$D$15/1000000</f>
        <v>27.624081342</v>
      </c>
      <c r="AN74" s="48" t="n">
        <f aca="false">AN62*$D$15/1000000</f>
        <v>26.485549662</v>
      </c>
      <c r="AO74" s="48" t="n">
        <f aca="false">AO62*$D$15/1000000</f>
        <v>26.485549662</v>
      </c>
      <c r="AP74" s="48" t="n">
        <f aca="false">AP62*$D$15/1000000</f>
        <v>27.624081342</v>
      </c>
      <c r="AQ74" s="48" t="n">
        <f aca="false">AQ62*$D$15/1000000</f>
        <v>26.485549662</v>
      </c>
      <c r="AR74" s="48" t="n">
        <f aca="false">AR62*$D$15/1000000</f>
        <v>25.347017982</v>
      </c>
      <c r="AS74" s="48" t="n">
        <f aca="false">AS62*$D$15/1000000</f>
        <v>27.624081342</v>
      </c>
      <c r="AT74" s="48" t="n">
        <f aca="false">AT62*$D$15/1000000</f>
        <v>26.485549662</v>
      </c>
      <c r="AU74" s="48" t="n">
        <f aca="false">AU62*$D$15/1000000</f>
        <v>26.485549662</v>
      </c>
      <c r="AV74" s="48" t="n">
        <f aca="false">AV62*$D$15/1000000</f>
        <v>27.624081342</v>
      </c>
      <c r="AW74" s="48" t="n">
        <f aca="false">AW62*$D$15/1000000</f>
        <v>26.485549662</v>
      </c>
      <c r="AX74" s="48" t="n">
        <f aca="false">AX62*$D$15/1000000</f>
        <v>26.485549662</v>
      </c>
      <c r="AY74" s="48" t="n">
        <f aca="false">AY62*$D$15/1000000</f>
        <v>27.624081342</v>
      </c>
      <c r="AZ74" s="48" t="n">
        <f aca="false">AZ62*$D$15/1000000</f>
        <v>26.485549662</v>
      </c>
      <c r="BA74" s="48" t="n">
        <f aca="false">BA62*$D$15/1000000</f>
        <v>26.485549662</v>
      </c>
      <c r="BB74" s="48" t="n">
        <f aca="false">BB62*$D$15/1000000</f>
        <v>25.726528542</v>
      </c>
      <c r="BC74" s="48" t="n">
        <f aca="false">BC62*$D$15/1000000</f>
        <v>25.504430094</v>
      </c>
      <c r="BD74" s="48" t="n">
        <f aca="false">BD62*$D$15/1000000</f>
        <v>25.504430094</v>
      </c>
      <c r="BE74" s="48" t="n">
        <f aca="false">BE62*$D$15/1000000</f>
        <v>26.642961774</v>
      </c>
      <c r="BF74" s="48" t="n">
        <f aca="false">BF62*$D$15/1000000</f>
        <v>25.504430094</v>
      </c>
      <c r="BG74" s="48" t="n">
        <f aca="false">BG62*$D$15/1000000</f>
        <v>25.504430094</v>
      </c>
      <c r="BH74" s="48" t="n">
        <f aca="false">BH62*$D$15/1000000</f>
        <v>26.642961774</v>
      </c>
      <c r="BI74" s="48" t="n">
        <f aca="false">BI62*$D$15/1000000</f>
        <v>25.504430094</v>
      </c>
      <c r="BJ74" s="48" t="n">
        <f aca="false">BJ62*$D$15/1000000</f>
        <v>25.504430094</v>
      </c>
      <c r="BK74" s="48" t="n">
        <f aca="false">BK62*$D$15/1000000</f>
        <v>26.642961774</v>
      </c>
      <c r="BL74" s="48" t="n">
        <f aca="false">BL62*$D$15/1000000</f>
        <v>24.365898414</v>
      </c>
      <c r="BM74" s="48" t="n">
        <f aca="false">BM62*$D$15/1000000</f>
        <v>25.504430094</v>
      </c>
      <c r="BN74" s="48" t="n">
        <f aca="false">BN62*$D$15/1000000</f>
        <v>26.642961774</v>
      </c>
      <c r="BO74" s="48" t="n">
        <f aca="false">BO62*$D$15/1000000</f>
        <v>25.504430094</v>
      </c>
      <c r="BP74" s="48" t="n">
        <f aca="false">BP62*$D$15/1000000</f>
        <v>25.504430094</v>
      </c>
      <c r="BQ74" s="48" t="n">
        <f aca="false">BQ62*$D$15/1000000</f>
        <v>26.642961774</v>
      </c>
      <c r="BR74" s="48" t="n">
        <f aca="false">BR62*$D$15/1000000</f>
        <v>25.504430094</v>
      </c>
      <c r="BS74" s="48" t="n">
        <f aca="false">BS62*$D$15/1000000</f>
        <v>25.504430094</v>
      </c>
      <c r="BT74" s="48" t="n">
        <f aca="false">BT62*$D$15/1000000</f>
        <v>26.642961774</v>
      </c>
      <c r="BU74" s="48" t="n">
        <f aca="false">BU62*$D$15/1000000</f>
        <v>25.504430094</v>
      </c>
      <c r="BV74" s="48" t="n">
        <f aca="false">BV62*$D$15/1000000</f>
        <v>24.365898414</v>
      </c>
      <c r="BW74" s="48" t="n">
        <f aca="false">BW62*$D$15/1000000</f>
        <v>0</v>
      </c>
      <c r="BX74" s="48" t="n">
        <f aca="false">BX62*$D$15/1000000</f>
        <v>0</v>
      </c>
    </row>
    <row r="75" customFormat="false" ht="15" hidden="false" customHeight="false" outlineLevel="0" collapsed="false">
      <c r="A75" s="1"/>
      <c r="B75" s="8" t="s">
        <v>336</v>
      </c>
      <c r="C75" s="8" t="s">
        <v>126</v>
      </c>
      <c r="D75" s="44" t="n">
        <f aca="false">SUM(G75:BX75)</f>
        <v>0</v>
      </c>
      <c r="E75" s="1"/>
      <c r="F75" s="1"/>
      <c r="G75" s="48" t="n">
        <f aca="false">0</f>
        <v>0</v>
      </c>
      <c r="H75" s="48" t="n">
        <f aca="false">0</f>
        <v>0</v>
      </c>
      <c r="I75" s="48" t="n">
        <f aca="false">0</f>
        <v>0</v>
      </c>
      <c r="J75" s="48" t="n">
        <f aca="false">0</f>
        <v>0</v>
      </c>
      <c r="K75" s="48" t="n">
        <f aca="false">0</f>
        <v>0</v>
      </c>
      <c r="L75" s="48" t="n">
        <f aca="false">0</f>
        <v>0</v>
      </c>
      <c r="M75" s="48" t="n">
        <f aca="false">0</f>
        <v>0</v>
      </c>
      <c r="N75" s="48" t="n">
        <f aca="false">0</f>
        <v>0</v>
      </c>
      <c r="O75" s="48" t="n">
        <f aca="false">0</f>
        <v>0</v>
      </c>
      <c r="P75" s="48" t="n">
        <f aca="false">0</f>
        <v>0</v>
      </c>
      <c r="Q75" s="48" t="n">
        <f aca="false">0</f>
        <v>0</v>
      </c>
      <c r="R75" s="48" t="n">
        <f aca="false">0</f>
        <v>0</v>
      </c>
      <c r="S75" s="48" t="n">
        <f aca="false">0</f>
        <v>0</v>
      </c>
      <c r="T75" s="48" t="n">
        <f aca="false">0</f>
        <v>0</v>
      </c>
      <c r="U75" s="48" t="n">
        <f aca="false">0</f>
        <v>0</v>
      </c>
      <c r="V75" s="48" t="n">
        <f aca="false">0</f>
        <v>0</v>
      </c>
      <c r="W75" s="48" t="n">
        <f aca="false">0</f>
        <v>0</v>
      </c>
      <c r="X75" s="48" t="n">
        <f aca="false">0</f>
        <v>0</v>
      </c>
      <c r="Y75" s="48" t="n">
        <f aca="false">0</f>
        <v>0</v>
      </c>
      <c r="Z75" s="48" t="n">
        <f aca="false">0</f>
        <v>0</v>
      </c>
      <c r="AA75" s="48" t="n">
        <f aca="false">0</f>
        <v>0</v>
      </c>
      <c r="AB75" s="48" t="n">
        <f aca="false">0</f>
        <v>0</v>
      </c>
      <c r="AC75" s="48" t="n">
        <f aca="false">0</f>
        <v>0</v>
      </c>
      <c r="AD75" s="48" t="n">
        <f aca="false">0</f>
        <v>0</v>
      </c>
      <c r="AE75" s="48" t="n">
        <f aca="false">0</f>
        <v>0</v>
      </c>
      <c r="AF75" s="48" t="n">
        <f aca="false">0</f>
        <v>0</v>
      </c>
      <c r="AG75" s="48" t="n">
        <f aca="false">0</f>
        <v>0</v>
      </c>
      <c r="AH75" s="48" t="n">
        <f aca="false">0</f>
        <v>0</v>
      </c>
      <c r="AI75" s="48" t="n">
        <f aca="false">0</f>
        <v>0</v>
      </c>
      <c r="AJ75" s="48" t="n">
        <f aca="false">0</f>
        <v>0</v>
      </c>
      <c r="AK75" s="48" t="n">
        <f aca="false">0</f>
        <v>0</v>
      </c>
      <c r="AL75" s="48" t="n">
        <f aca="false">0</f>
        <v>0</v>
      </c>
      <c r="AM75" s="48" t="n">
        <f aca="false">0</f>
        <v>0</v>
      </c>
      <c r="AN75" s="48" t="n">
        <f aca="false">0</f>
        <v>0</v>
      </c>
      <c r="AO75" s="48" t="n">
        <f aca="false">0</f>
        <v>0</v>
      </c>
      <c r="AP75" s="48" t="n">
        <f aca="false">0</f>
        <v>0</v>
      </c>
      <c r="AQ75" s="48" t="n">
        <f aca="false">0</f>
        <v>0</v>
      </c>
      <c r="AR75" s="48" t="n">
        <f aca="false">0</f>
        <v>0</v>
      </c>
      <c r="AS75" s="48" t="n">
        <f aca="false">0</f>
        <v>0</v>
      </c>
      <c r="AT75" s="48" t="n">
        <f aca="false">0</f>
        <v>0</v>
      </c>
      <c r="AU75" s="48" t="n">
        <f aca="false">0</f>
        <v>0</v>
      </c>
      <c r="AV75" s="48" t="n">
        <f aca="false">0</f>
        <v>0</v>
      </c>
      <c r="AW75" s="48" t="n">
        <f aca="false">0</f>
        <v>0</v>
      </c>
      <c r="AX75" s="48" t="n">
        <f aca="false">0</f>
        <v>0</v>
      </c>
      <c r="AY75" s="48" t="n">
        <f aca="false">0</f>
        <v>0</v>
      </c>
      <c r="AZ75" s="48" t="n">
        <f aca="false">0</f>
        <v>0</v>
      </c>
      <c r="BA75" s="48" t="n">
        <f aca="false">0</f>
        <v>0</v>
      </c>
      <c r="BB75" s="48" t="n">
        <f aca="false">0</f>
        <v>0</v>
      </c>
      <c r="BC75" s="48" t="n">
        <f aca="false">0</f>
        <v>0</v>
      </c>
      <c r="BD75" s="48" t="n">
        <f aca="false">0</f>
        <v>0</v>
      </c>
      <c r="BE75" s="48" t="n">
        <f aca="false">0</f>
        <v>0</v>
      </c>
      <c r="BF75" s="48" t="n">
        <f aca="false">0</f>
        <v>0</v>
      </c>
      <c r="BG75" s="48" t="n">
        <f aca="false">0</f>
        <v>0</v>
      </c>
      <c r="BH75" s="48" t="n">
        <f aca="false">0</f>
        <v>0</v>
      </c>
      <c r="BI75" s="48" t="n">
        <f aca="false">0</f>
        <v>0</v>
      </c>
      <c r="BJ75" s="48" t="n">
        <f aca="false">0</f>
        <v>0</v>
      </c>
      <c r="BK75" s="48" t="n">
        <f aca="false">0</f>
        <v>0</v>
      </c>
      <c r="BL75" s="48" t="n">
        <f aca="false">0</f>
        <v>0</v>
      </c>
      <c r="BM75" s="48" t="n">
        <f aca="false">0</f>
        <v>0</v>
      </c>
      <c r="BN75" s="48" t="n">
        <f aca="false">0</f>
        <v>0</v>
      </c>
      <c r="BO75" s="48" t="n">
        <f aca="false">0</f>
        <v>0</v>
      </c>
      <c r="BP75" s="48" t="n">
        <f aca="false">0</f>
        <v>0</v>
      </c>
      <c r="BQ75" s="48" t="n">
        <f aca="false">0</f>
        <v>0</v>
      </c>
      <c r="BR75" s="48" t="n">
        <f aca="false">0</f>
        <v>0</v>
      </c>
      <c r="BS75" s="48" t="n">
        <f aca="false">0</f>
        <v>0</v>
      </c>
      <c r="BT75" s="48" t="n">
        <f aca="false">0</f>
        <v>0</v>
      </c>
      <c r="BU75" s="48" t="n">
        <f aca="false">0</f>
        <v>0</v>
      </c>
      <c r="BV75" s="48" t="n">
        <f aca="false">0</f>
        <v>0</v>
      </c>
      <c r="BW75" s="48" t="n">
        <f aca="false">0</f>
        <v>0</v>
      </c>
      <c r="BX75" s="48" t="n">
        <f aca="false">0</f>
        <v>0</v>
      </c>
    </row>
    <row r="76" customFormat="false" ht="15" hidden="false" customHeight="false" outlineLevel="0" collapsed="false">
      <c r="A76" s="1"/>
      <c r="B76" s="8" t="s">
        <v>337</v>
      </c>
      <c r="C76" s="8" t="s">
        <v>126</v>
      </c>
      <c r="D76" s="44" t="n">
        <f aca="false">SUM(G76:BX76)</f>
        <v>3738.009395172</v>
      </c>
      <c r="E76" s="1"/>
      <c r="F76" s="1"/>
      <c r="G76" s="48" t="n">
        <f aca="false">G62*$D$26/1000000</f>
        <v>0</v>
      </c>
      <c r="H76" s="48" t="n">
        <f aca="false">H62*$D$26/1000000</f>
        <v>0</v>
      </c>
      <c r="I76" s="48" t="n">
        <f aca="false">I62*$D$26/1000000</f>
        <v>0</v>
      </c>
      <c r="J76" s="48" t="n">
        <f aca="false">J62*$D$26/1000000</f>
        <v>0</v>
      </c>
      <c r="K76" s="48" t="n">
        <f aca="false">K62*$D$26/1000000</f>
        <v>0</v>
      </c>
      <c r="L76" s="48" t="n">
        <f aca="false">L62*$D$26/1000000</f>
        <v>0</v>
      </c>
      <c r="M76" s="48" t="n">
        <f aca="false">M62*$D$26/1000000</f>
        <v>0</v>
      </c>
      <c r="N76" s="48" t="n">
        <f aca="false">N62*$D$26/1000000</f>
        <v>0</v>
      </c>
      <c r="O76" s="48" t="n">
        <f aca="false">O62*$D$26/1000000</f>
        <v>63.26684676</v>
      </c>
      <c r="P76" s="48" t="n">
        <f aca="false">P62*$D$26/1000000</f>
        <v>60.660850536</v>
      </c>
      <c r="Q76" s="48" t="n">
        <f aca="false">Q62*$D$26/1000000</f>
        <v>60.660850536</v>
      </c>
      <c r="R76" s="48" t="n">
        <f aca="false">R62*$D$26/1000000</f>
        <v>65.293707024</v>
      </c>
      <c r="S76" s="48" t="n">
        <f aca="false">S62*$D$26/1000000</f>
        <v>62.60428902</v>
      </c>
      <c r="T76" s="48" t="n">
        <f aca="false">T62*$D$26/1000000</f>
        <v>62.605329384</v>
      </c>
      <c r="U76" s="48" t="n">
        <f aca="false">U62*$D$26/1000000</f>
        <v>65.296404264</v>
      </c>
      <c r="V76" s="48" t="n">
        <f aca="false">V62*$D$26/1000000</f>
        <v>62.60428902</v>
      </c>
      <c r="W76" s="48" t="n">
        <f aca="false">W62*$D$26/1000000</f>
        <v>62.605945896</v>
      </c>
      <c r="X76" s="48" t="n">
        <f aca="false">X62*$D$26/1000000</f>
        <v>60.811895976</v>
      </c>
      <c r="Y76" s="48" t="n">
        <f aca="false">Y62*$D$26/1000000</f>
        <v>62.607602772</v>
      </c>
      <c r="Z76" s="48" t="n">
        <f aca="false">Z62*$D$26/1000000</f>
        <v>62.607602772</v>
      </c>
      <c r="AA76" s="48" t="n">
        <f aca="false">AA62*$D$26/1000000</f>
        <v>65.297020776</v>
      </c>
      <c r="AB76" s="48" t="n">
        <f aca="false">AB62*$D$26/1000000</f>
        <v>62.608643136</v>
      </c>
      <c r="AC76" s="48" t="n">
        <f aca="false">AC62*$D$26/1000000</f>
        <v>62.61238074</v>
      </c>
      <c r="AD76" s="48" t="n">
        <f aca="false">AD62*$D$26/1000000</f>
        <v>65.301374892</v>
      </c>
      <c r="AE76" s="48" t="n">
        <f aca="false">AE62*$D$26/1000000</f>
        <v>62.606562408</v>
      </c>
      <c r="AF76" s="48" t="n">
        <f aca="false">AF62*$D$26/1000000</f>
        <v>62.606562408</v>
      </c>
      <c r="AG76" s="48" t="n">
        <f aca="false">AG62*$D$26/1000000</f>
        <v>65.295980412</v>
      </c>
      <c r="AH76" s="48" t="n">
        <f aca="false">AH62*$D$26/1000000</f>
        <v>59.913830652</v>
      </c>
      <c r="AI76" s="48" t="n">
        <f aca="false">AI62*$D$26/1000000</f>
        <v>62.606562408</v>
      </c>
      <c r="AJ76" s="48" t="n">
        <f aca="false">AJ62*$D$26/1000000</f>
        <v>65.294940048</v>
      </c>
      <c r="AK76" s="48" t="n">
        <f aca="false">AK62*$D$26/1000000</f>
        <v>62.603865168</v>
      </c>
      <c r="AL76" s="48" t="n">
        <f aca="false">AL62*$D$26/1000000</f>
        <v>62.602208292</v>
      </c>
      <c r="AM76" s="48" t="n">
        <f aca="false">AM62*$D$26/1000000</f>
        <v>65.293283172</v>
      </c>
      <c r="AN76" s="48" t="n">
        <f aca="false">AN62*$D$26/1000000</f>
        <v>62.602208292</v>
      </c>
      <c r="AO76" s="48" t="n">
        <f aca="false">AO62*$D$26/1000000</f>
        <v>62.602208292</v>
      </c>
      <c r="AP76" s="48" t="n">
        <f aca="false">AP62*$D$26/1000000</f>
        <v>65.293283172</v>
      </c>
      <c r="AQ76" s="48" t="n">
        <f aca="false">AQ62*$D$26/1000000</f>
        <v>62.602208292</v>
      </c>
      <c r="AR76" s="48" t="n">
        <f aca="false">AR62*$D$26/1000000</f>
        <v>59.911133412</v>
      </c>
      <c r="AS76" s="48" t="n">
        <f aca="false">AS62*$D$26/1000000</f>
        <v>65.293283172</v>
      </c>
      <c r="AT76" s="48" t="n">
        <f aca="false">AT62*$D$26/1000000</f>
        <v>62.602208292</v>
      </c>
      <c r="AU76" s="48" t="n">
        <f aca="false">AU62*$D$26/1000000</f>
        <v>62.602208292</v>
      </c>
      <c r="AV76" s="48" t="n">
        <f aca="false">AV62*$D$26/1000000</f>
        <v>65.293283172</v>
      </c>
      <c r="AW76" s="48" t="n">
        <f aca="false">AW62*$D$26/1000000</f>
        <v>62.602208292</v>
      </c>
      <c r="AX76" s="48" t="n">
        <f aca="false">AX62*$D$26/1000000</f>
        <v>62.602208292</v>
      </c>
      <c r="AY76" s="48" t="n">
        <f aca="false">AY62*$D$26/1000000</f>
        <v>65.293283172</v>
      </c>
      <c r="AZ76" s="48" t="n">
        <f aca="false">AZ62*$D$26/1000000</f>
        <v>62.602208292</v>
      </c>
      <c r="BA76" s="48" t="n">
        <f aca="false">BA62*$D$26/1000000</f>
        <v>62.602208292</v>
      </c>
      <c r="BB76" s="48" t="n">
        <f aca="false">BB62*$D$26/1000000</f>
        <v>60.808158372</v>
      </c>
      <c r="BC76" s="48" t="n">
        <f aca="false">BC62*$D$26/1000000</f>
        <v>60.283198404</v>
      </c>
      <c r="BD76" s="48" t="n">
        <f aca="false">BD62*$D$26/1000000</f>
        <v>60.283198404</v>
      </c>
      <c r="BE76" s="48" t="n">
        <f aca="false">BE62*$D$26/1000000</f>
        <v>62.974273284</v>
      </c>
      <c r="BF76" s="48" t="n">
        <f aca="false">BF62*$D$26/1000000</f>
        <v>60.283198404</v>
      </c>
      <c r="BG76" s="48" t="n">
        <f aca="false">BG62*$D$26/1000000</f>
        <v>60.283198404</v>
      </c>
      <c r="BH76" s="48" t="n">
        <f aca="false">BH62*$D$26/1000000</f>
        <v>62.974273284</v>
      </c>
      <c r="BI76" s="48" t="n">
        <f aca="false">BI62*$D$26/1000000</f>
        <v>60.283198404</v>
      </c>
      <c r="BJ76" s="48" t="n">
        <f aca="false">BJ62*$D$26/1000000</f>
        <v>60.283198404</v>
      </c>
      <c r="BK76" s="48" t="n">
        <f aca="false">BK62*$D$26/1000000</f>
        <v>62.974273284</v>
      </c>
      <c r="BL76" s="48" t="n">
        <f aca="false">BL62*$D$26/1000000</f>
        <v>57.592123524</v>
      </c>
      <c r="BM76" s="48" t="n">
        <f aca="false">BM62*$D$26/1000000</f>
        <v>60.283198404</v>
      </c>
      <c r="BN76" s="48" t="n">
        <f aca="false">BN62*$D$26/1000000</f>
        <v>62.974273284</v>
      </c>
      <c r="BO76" s="48" t="n">
        <f aca="false">BO62*$D$26/1000000</f>
        <v>60.283198404</v>
      </c>
      <c r="BP76" s="48" t="n">
        <f aca="false">BP62*$D$26/1000000</f>
        <v>60.283198404</v>
      </c>
      <c r="BQ76" s="48" t="n">
        <f aca="false">BQ62*$D$26/1000000</f>
        <v>62.974273284</v>
      </c>
      <c r="BR76" s="48" t="n">
        <f aca="false">BR62*$D$26/1000000</f>
        <v>60.283198404</v>
      </c>
      <c r="BS76" s="48" t="n">
        <f aca="false">BS62*$D$26/1000000</f>
        <v>60.283198404</v>
      </c>
      <c r="BT76" s="48" t="n">
        <f aca="false">BT62*$D$26/1000000</f>
        <v>62.974273284</v>
      </c>
      <c r="BU76" s="48" t="n">
        <f aca="false">BU62*$D$26/1000000</f>
        <v>60.283198404</v>
      </c>
      <c r="BV76" s="48" t="n">
        <f aca="false">BV62*$D$26/1000000</f>
        <v>57.592123524</v>
      </c>
      <c r="BW76" s="48" t="n">
        <f aca="false">BW62*$D$26/1000000</f>
        <v>0</v>
      </c>
      <c r="BX76" s="48" t="n">
        <f aca="false">BX62*$D$26/1000000</f>
        <v>0</v>
      </c>
    </row>
    <row r="77" customFormat="false" ht="15" hidden="false" customHeight="false" outlineLevel="0" collapsed="false">
      <c r="A77" s="1"/>
      <c r="B77" s="8" t="s">
        <v>338</v>
      </c>
      <c r="C77" s="8" t="s">
        <v>126</v>
      </c>
      <c r="D77" s="44" t="n">
        <f aca="false">SUM(G77:BX77)</f>
        <v>9689.94</v>
      </c>
      <c r="E77" s="1"/>
      <c r="F77" s="1"/>
      <c r="G77" s="48" t="n">
        <f aca="false">IF(G45=1,$D$14*$D$7*1000/1000000*IF(G46&lt;=$D$32,$D$31,1)*(1+$D$34),0)</f>
        <v>0</v>
      </c>
      <c r="H77" s="48" t="n">
        <f aca="false">IF(H45=1,$D$14*$D$7*1000/1000000*IF(H46&lt;=$D$32,$D$31,1)*(1+$D$34),0)</f>
        <v>0</v>
      </c>
      <c r="I77" s="48" t="n">
        <f aca="false">IF(I45=1,$D$14*$D$7*1000/1000000*IF(I46&lt;=$D$32,$D$31,1)*(1+$D$34),0)</f>
        <v>0</v>
      </c>
      <c r="J77" s="48" t="n">
        <f aca="false">IF(J45=1,$D$14*$D$7*1000/1000000*IF(J46&lt;=$D$32,$D$31,1)*(1+$D$34),0)</f>
        <v>0</v>
      </c>
      <c r="K77" s="48" t="n">
        <f aca="false">IF(K45=1,$D$14*$D$7*1000/1000000*IF(K46&lt;=$D$32,$D$31,1)*(1+$D$34),0)</f>
        <v>0</v>
      </c>
      <c r="L77" s="48" t="n">
        <f aca="false">IF(L45=1,$D$14*$D$7*1000/1000000*IF(L46&lt;=$D$32,$D$31,1)*(1+$D$34),0)</f>
        <v>0</v>
      </c>
      <c r="M77" s="48" t="n">
        <f aca="false">IF(M45=1,$D$14*$D$7*1000/1000000*IF(M46&lt;=$D$32,$D$31,1)*(1+$D$34),0)</f>
        <v>0</v>
      </c>
      <c r="N77" s="48" t="n">
        <f aca="false">IF(N45=1,$D$14*$D$7*1000/1000000*IF(N46&lt;=$D$32,$D$31,1)*(1+$D$34),0)</f>
        <v>0</v>
      </c>
      <c r="O77" s="48" t="n">
        <f aca="false">IF(O45=1,$D$14*$D$7*1000/1000000*IF(O46&lt;=$D$32,$D$31,1)*(1+$D$34),0)</f>
        <v>236.34</v>
      </c>
      <c r="P77" s="48" t="n">
        <f aca="false">IF(P45=1,$D$14*$D$7*1000/1000000*IF(P46&lt;=$D$32,$D$31,1)*(1+$D$34),0)</f>
        <v>236.34</v>
      </c>
      <c r="Q77" s="48" t="n">
        <f aca="false">IF(Q45=1,$D$14*$D$7*1000/1000000*IF(Q46&lt;=$D$32,$D$31,1)*(1+$D$34),0)</f>
        <v>236.34</v>
      </c>
      <c r="R77" s="48" t="n">
        <f aca="false">IF(R45=1,$D$14*$D$7*1000/1000000*IF(R46&lt;=$D$32,$D$31,1)*(1+$D$34),0)</f>
        <v>157.56</v>
      </c>
      <c r="S77" s="48" t="n">
        <f aca="false">IF(S45=1,$D$14*$D$7*1000/1000000*IF(S46&lt;=$D$32,$D$31,1)*(1+$D$34),0)</f>
        <v>157.56</v>
      </c>
      <c r="T77" s="48" t="n">
        <f aca="false">IF(T45=1,$D$14*$D$7*1000/1000000*IF(T46&lt;=$D$32,$D$31,1)*(1+$D$34),0)</f>
        <v>157.56</v>
      </c>
      <c r="U77" s="48" t="n">
        <f aca="false">IF(U45=1,$D$14*$D$7*1000/1000000*IF(U46&lt;=$D$32,$D$31,1)*(1+$D$34),0)</f>
        <v>157.56</v>
      </c>
      <c r="V77" s="48" t="n">
        <f aca="false">IF(V45=1,$D$14*$D$7*1000/1000000*IF(V46&lt;=$D$32,$D$31,1)*(1+$D$34),0)</f>
        <v>157.56</v>
      </c>
      <c r="W77" s="48" t="n">
        <f aca="false">IF(W45=1,$D$14*$D$7*1000/1000000*IF(W46&lt;=$D$32,$D$31,1)*(1+$D$34),0)</f>
        <v>157.56</v>
      </c>
      <c r="X77" s="48" t="n">
        <f aca="false">IF(X45=1,$D$14*$D$7*1000/1000000*IF(X46&lt;=$D$32,$D$31,1)*(1+$D$34),0)</f>
        <v>157.56</v>
      </c>
      <c r="Y77" s="48" t="n">
        <f aca="false">IF(Y45=1,$D$14*$D$7*1000/1000000*IF(Y46&lt;=$D$32,$D$31,1)*(1+$D$34),0)</f>
        <v>157.56</v>
      </c>
      <c r="Z77" s="48" t="n">
        <f aca="false">IF(Z45=1,$D$14*$D$7*1000/1000000*IF(Z46&lt;=$D$32,$D$31,1)*(1+$D$34),0)</f>
        <v>157.56</v>
      </c>
      <c r="AA77" s="48" t="n">
        <f aca="false">IF(AA45=1,$D$14*$D$7*1000/1000000*IF(AA46&lt;=$D$32,$D$31,1)*(1+$D$34),0)</f>
        <v>157.56</v>
      </c>
      <c r="AB77" s="48" t="n">
        <f aca="false">IF(AB45=1,$D$14*$D$7*1000/1000000*IF(AB46&lt;=$D$32,$D$31,1)*(1+$D$34),0)</f>
        <v>157.56</v>
      </c>
      <c r="AC77" s="48" t="n">
        <f aca="false">IF(AC45=1,$D$14*$D$7*1000/1000000*IF(AC46&lt;=$D$32,$D$31,1)*(1+$D$34),0)</f>
        <v>157.56</v>
      </c>
      <c r="AD77" s="48" t="n">
        <f aca="false">IF(AD45=1,$D$14*$D$7*1000/1000000*IF(AD46&lt;=$D$32,$D$31,1)*(1+$D$34),0)</f>
        <v>157.56</v>
      </c>
      <c r="AE77" s="48" t="n">
        <f aca="false">IF(AE45=1,$D$14*$D$7*1000/1000000*IF(AE46&lt;=$D$32,$D$31,1)*(1+$D$34),0)</f>
        <v>157.56</v>
      </c>
      <c r="AF77" s="48" t="n">
        <f aca="false">IF(AF45=1,$D$14*$D$7*1000/1000000*IF(AF46&lt;=$D$32,$D$31,1)*(1+$D$34),0)</f>
        <v>157.56</v>
      </c>
      <c r="AG77" s="48" t="n">
        <f aca="false">IF(AG45=1,$D$14*$D$7*1000/1000000*IF(AG46&lt;=$D$32,$D$31,1)*(1+$D$34),0)</f>
        <v>157.56</v>
      </c>
      <c r="AH77" s="48" t="n">
        <f aca="false">IF(AH45=1,$D$14*$D$7*1000/1000000*IF(AH46&lt;=$D$32,$D$31,1)*(1+$D$34),0)</f>
        <v>157.56</v>
      </c>
      <c r="AI77" s="48" t="n">
        <f aca="false">IF(AI45=1,$D$14*$D$7*1000/1000000*IF(AI46&lt;=$D$32,$D$31,1)*(1+$D$34),0)</f>
        <v>157.56</v>
      </c>
      <c r="AJ77" s="48" t="n">
        <f aca="false">IF(AJ45=1,$D$14*$D$7*1000/1000000*IF(AJ46&lt;=$D$32,$D$31,1)*(1+$D$34),0)</f>
        <v>157.56</v>
      </c>
      <c r="AK77" s="48" t="n">
        <f aca="false">IF(AK45=1,$D$14*$D$7*1000/1000000*IF(AK46&lt;=$D$32,$D$31,1)*(1+$D$34),0)</f>
        <v>157.56</v>
      </c>
      <c r="AL77" s="48" t="n">
        <f aca="false">IF(AL45=1,$D$14*$D$7*1000/1000000*IF(AL46&lt;=$D$32,$D$31,1)*(1+$D$34),0)</f>
        <v>157.56</v>
      </c>
      <c r="AM77" s="48" t="n">
        <f aca="false">IF(AM45=1,$D$14*$D$7*1000/1000000*IF(AM46&lt;=$D$32,$D$31,1)*(1+$D$34),0)</f>
        <v>157.56</v>
      </c>
      <c r="AN77" s="48" t="n">
        <f aca="false">IF(AN45=1,$D$14*$D$7*1000/1000000*IF(AN46&lt;=$D$32,$D$31,1)*(1+$D$34),0)</f>
        <v>157.56</v>
      </c>
      <c r="AO77" s="48" t="n">
        <f aca="false">IF(AO45=1,$D$14*$D$7*1000/1000000*IF(AO46&lt;=$D$32,$D$31,1)*(1+$D$34),0)</f>
        <v>157.56</v>
      </c>
      <c r="AP77" s="48" t="n">
        <f aca="false">IF(AP45=1,$D$14*$D$7*1000/1000000*IF(AP46&lt;=$D$32,$D$31,1)*(1+$D$34),0)</f>
        <v>157.56</v>
      </c>
      <c r="AQ77" s="48" t="n">
        <f aca="false">IF(AQ45=1,$D$14*$D$7*1000/1000000*IF(AQ46&lt;=$D$32,$D$31,1)*(1+$D$34),0)</f>
        <v>157.56</v>
      </c>
      <c r="AR77" s="48" t="n">
        <f aca="false">IF(AR45=1,$D$14*$D$7*1000/1000000*IF(AR46&lt;=$D$32,$D$31,1)*(1+$D$34),0)</f>
        <v>157.56</v>
      </c>
      <c r="AS77" s="48" t="n">
        <f aca="false">IF(AS45=1,$D$14*$D$7*1000/1000000*IF(AS46&lt;=$D$32,$D$31,1)*(1+$D$34),0)</f>
        <v>157.56</v>
      </c>
      <c r="AT77" s="48" t="n">
        <f aca="false">IF(AT45=1,$D$14*$D$7*1000/1000000*IF(AT46&lt;=$D$32,$D$31,1)*(1+$D$34),0)</f>
        <v>157.56</v>
      </c>
      <c r="AU77" s="48" t="n">
        <f aca="false">IF(AU45=1,$D$14*$D$7*1000/1000000*IF(AU46&lt;=$D$32,$D$31,1)*(1+$D$34),0)</f>
        <v>157.56</v>
      </c>
      <c r="AV77" s="48" t="n">
        <f aca="false">IF(AV45=1,$D$14*$D$7*1000/1000000*IF(AV46&lt;=$D$32,$D$31,1)*(1+$D$34),0)</f>
        <v>157.56</v>
      </c>
      <c r="AW77" s="48" t="n">
        <f aca="false">IF(AW45=1,$D$14*$D$7*1000/1000000*IF(AW46&lt;=$D$32,$D$31,1)*(1+$D$34),0)</f>
        <v>157.56</v>
      </c>
      <c r="AX77" s="48" t="n">
        <f aca="false">IF(AX45=1,$D$14*$D$7*1000/1000000*IF(AX46&lt;=$D$32,$D$31,1)*(1+$D$34),0)</f>
        <v>157.56</v>
      </c>
      <c r="AY77" s="48" t="n">
        <f aca="false">IF(AY45=1,$D$14*$D$7*1000/1000000*IF(AY46&lt;=$D$32,$D$31,1)*(1+$D$34),0)</f>
        <v>157.56</v>
      </c>
      <c r="AZ77" s="48" t="n">
        <f aca="false">IF(AZ45=1,$D$14*$D$7*1000/1000000*IF(AZ46&lt;=$D$32,$D$31,1)*(1+$D$34),0)</f>
        <v>157.56</v>
      </c>
      <c r="BA77" s="48" t="n">
        <f aca="false">IF(BA45=1,$D$14*$D$7*1000/1000000*IF(BA46&lt;=$D$32,$D$31,1)*(1+$D$34),0)</f>
        <v>157.56</v>
      </c>
      <c r="BB77" s="48" t="n">
        <f aca="false">IF(BB45=1,$D$14*$D$7*1000/1000000*IF(BB46&lt;=$D$32,$D$31,1)*(1+$D$34),0)</f>
        <v>157.56</v>
      </c>
      <c r="BC77" s="48" t="n">
        <f aca="false">IF(BC45=1,$D$14*$D$7*1000/1000000*IF(BC46&lt;=$D$32,$D$31,1)*(1+$D$34),0)</f>
        <v>157.56</v>
      </c>
      <c r="BD77" s="48" t="n">
        <f aca="false">IF(BD45=1,$D$14*$D$7*1000/1000000*IF(BD46&lt;=$D$32,$D$31,1)*(1+$D$34),0)</f>
        <v>157.56</v>
      </c>
      <c r="BE77" s="48" t="n">
        <f aca="false">IF(BE45=1,$D$14*$D$7*1000/1000000*IF(BE46&lt;=$D$32,$D$31,1)*(1+$D$34),0)</f>
        <v>157.56</v>
      </c>
      <c r="BF77" s="48" t="n">
        <f aca="false">IF(BF45=1,$D$14*$D$7*1000/1000000*IF(BF46&lt;=$D$32,$D$31,1)*(1+$D$34),0)</f>
        <v>157.56</v>
      </c>
      <c r="BG77" s="48" t="n">
        <f aca="false">IF(BG45=1,$D$14*$D$7*1000/1000000*IF(BG46&lt;=$D$32,$D$31,1)*(1+$D$34),0)</f>
        <v>157.56</v>
      </c>
      <c r="BH77" s="48" t="n">
        <f aca="false">IF(BH45=1,$D$14*$D$7*1000/1000000*IF(BH46&lt;=$D$32,$D$31,1)*(1+$D$34),0)</f>
        <v>157.56</v>
      </c>
      <c r="BI77" s="48" t="n">
        <f aca="false">IF(BI45=1,$D$14*$D$7*1000/1000000*IF(BI46&lt;=$D$32,$D$31,1)*(1+$D$34),0)</f>
        <v>157.56</v>
      </c>
      <c r="BJ77" s="48" t="n">
        <f aca="false">IF(BJ45=1,$D$14*$D$7*1000/1000000*IF(BJ46&lt;=$D$32,$D$31,1)*(1+$D$34),0)</f>
        <v>157.56</v>
      </c>
      <c r="BK77" s="48" t="n">
        <f aca="false">IF(BK45=1,$D$14*$D$7*1000/1000000*IF(BK46&lt;=$D$32,$D$31,1)*(1+$D$34),0)</f>
        <v>157.56</v>
      </c>
      <c r="BL77" s="48" t="n">
        <f aca="false">IF(BL45=1,$D$14*$D$7*1000/1000000*IF(BL46&lt;=$D$32,$D$31,1)*(1+$D$34),0)</f>
        <v>157.56</v>
      </c>
      <c r="BM77" s="48" t="n">
        <f aca="false">IF(BM45=1,$D$14*$D$7*1000/1000000*IF(BM46&lt;=$D$32,$D$31,1)*(1+$D$34),0)</f>
        <v>157.56</v>
      </c>
      <c r="BN77" s="48" t="n">
        <f aca="false">IF(BN45=1,$D$14*$D$7*1000/1000000*IF(BN46&lt;=$D$32,$D$31,1)*(1+$D$34),0)</f>
        <v>157.56</v>
      </c>
      <c r="BO77" s="48" t="n">
        <f aca="false">IF(BO45=1,$D$14*$D$7*1000/1000000*IF(BO46&lt;=$D$32,$D$31,1)*(1+$D$34),0)</f>
        <v>157.56</v>
      </c>
      <c r="BP77" s="48" t="n">
        <f aca="false">IF(BP45=1,$D$14*$D$7*1000/1000000*IF(BP46&lt;=$D$32,$D$31,1)*(1+$D$34),0)</f>
        <v>157.56</v>
      </c>
      <c r="BQ77" s="48" t="n">
        <f aca="false">IF(BQ45=1,$D$14*$D$7*1000/1000000*IF(BQ46&lt;=$D$32,$D$31,1)*(1+$D$34),0)</f>
        <v>157.56</v>
      </c>
      <c r="BR77" s="48" t="n">
        <f aca="false">IF(BR45=1,$D$14*$D$7*1000/1000000*IF(BR46&lt;=$D$32,$D$31,1)*(1+$D$34),0)</f>
        <v>157.56</v>
      </c>
      <c r="BS77" s="48" t="n">
        <f aca="false">IF(BS45=1,$D$14*$D$7*1000/1000000*IF(BS46&lt;=$D$32,$D$31,1)*(1+$D$34),0)</f>
        <v>157.56</v>
      </c>
      <c r="BT77" s="48" t="n">
        <f aca="false">IF(BT45=1,$D$14*$D$7*1000/1000000*IF(BT46&lt;=$D$32,$D$31,1)*(1+$D$34),0)</f>
        <v>157.56</v>
      </c>
      <c r="BU77" s="48" t="n">
        <f aca="false">IF(BU45=1,$D$14*$D$7*1000/1000000*IF(BU46&lt;=$D$32,$D$31,1)*(1+$D$34),0)</f>
        <v>157.56</v>
      </c>
      <c r="BV77" s="48" t="n">
        <f aca="false">IF(BV45=1,$D$14*$D$7*1000/1000000*IF(BV46&lt;=$D$32,$D$31,1)*(1+$D$34),0)</f>
        <v>157.56</v>
      </c>
      <c r="BW77" s="48" t="n">
        <f aca="false">IF(BW45=1,$D$14*$D$7*1000/1000000*IF(BW46&lt;=$D$32,$D$31,1)*(1+$D$34),0)</f>
        <v>0</v>
      </c>
      <c r="BX77" s="48" t="n">
        <f aca="false">IF(BX45=1,$D$14*$D$7*1000/1000000*IF(BX46&lt;=$D$32,$D$31,1)*(1+$D$34),0)</f>
        <v>0</v>
      </c>
    </row>
    <row r="78" customFormat="false" ht="15" hidden="false" customHeight="false" outlineLevel="0" collapsed="false">
      <c r="A78" s="1"/>
      <c r="B78" s="8" t="s">
        <v>339</v>
      </c>
      <c r="C78" s="8" t="s">
        <v>126</v>
      </c>
      <c r="D78" s="44" t="n">
        <f aca="false">SUM(G78:BX78)</f>
        <v>3132</v>
      </c>
      <c r="E78" s="1"/>
      <c r="F78" s="1"/>
      <c r="G78" s="48" t="n">
        <f aca="false">IF(G45=1,$D$19*$D$20/1000,0)</f>
        <v>0</v>
      </c>
      <c r="H78" s="48" t="n">
        <f aca="false">IF(H45=1,$D$19*$D$20/1000,0)</f>
        <v>0</v>
      </c>
      <c r="I78" s="48" t="n">
        <f aca="false">IF(I45=1,$D$19*$D$20/1000,0)</f>
        <v>0</v>
      </c>
      <c r="J78" s="48" t="n">
        <f aca="false">IF(J45=1,$D$19*$D$20/1000,0)</f>
        <v>0</v>
      </c>
      <c r="K78" s="48" t="n">
        <f aca="false">IF(K45=1,$D$19*$D$20/1000,0)</f>
        <v>0</v>
      </c>
      <c r="L78" s="48" t="n">
        <f aca="false">IF(L45=1,$D$19*$D$20/1000,0)</f>
        <v>0</v>
      </c>
      <c r="M78" s="48" t="n">
        <f aca="false">IF(M45=1,$D$19*$D$20/1000,0)</f>
        <v>0</v>
      </c>
      <c r="N78" s="48" t="n">
        <f aca="false">IF(N45=1,$D$19*$D$20/1000,0)</f>
        <v>0</v>
      </c>
      <c r="O78" s="48" t="n">
        <f aca="false">IF(O45=1,$D$19*$D$20/1000,0)</f>
        <v>52.2</v>
      </c>
      <c r="P78" s="48" t="n">
        <f aca="false">IF(P45=1,$D$19*$D$20/1000,0)</f>
        <v>52.2</v>
      </c>
      <c r="Q78" s="48" t="n">
        <f aca="false">IF(Q45=1,$D$19*$D$20/1000,0)</f>
        <v>52.2</v>
      </c>
      <c r="R78" s="48" t="n">
        <f aca="false">IF(R45=1,$D$19*$D$20/1000,0)</f>
        <v>52.2</v>
      </c>
      <c r="S78" s="48" t="n">
        <f aca="false">IF(S45=1,$D$19*$D$20/1000,0)</f>
        <v>52.2</v>
      </c>
      <c r="T78" s="48" t="n">
        <f aca="false">IF(T45=1,$D$19*$D$20/1000,0)</f>
        <v>52.2</v>
      </c>
      <c r="U78" s="48" t="n">
        <f aca="false">IF(U45=1,$D$19*$D$20/1000,0)</f>
        <v>52.2</v>
      </c>
      <c r="V78" s="48" t="n">
        <f aca="false">IF(V45=1,$D$19*$D$20/1000,0)</f>
        <v>52.2</v>
      </c>
      <c r="W78" s="48" t="n">
        <f aca="false">IF(W45=1,$D$19*$D$20/1000,0)</f>
        <v>52.2</v>
      </c>
      <c r="X78" s="48" t="n">
        <f aca="false">IF(X45=1,$D$19*$D$20/1000,0)</f>
        <v>52.2</v>
      </c>
      <c r="Y78" s="48" t="n">
        <f aca="false">IF(Y45=1,$D$19*$D$20/1000,0)</f>
        <v>52.2</v>
      </c>
      <c r="Z78" s="48" t="n">
        <f aca="false">IF(Z45=1,$D$19*$D$20/1000,0)</f>
        <v>52.2</v>
      </c>
      <c r="AA78" s="48" t="n">
        <f aca="false">IF(AA45=1,$D$19*$D$20/1000,0)</f>
        <v>52.2</v>
      </c>
      <c r="AB78" s="48" t="n">
        <f aca="false">IF(AB45=1,$D$19*$D$20/1000,0)</f>
        <v>52.2</v>
      </c>
      <c r="AC78" s="48" t="n">
        <f aca="false">IF(AC45=1,$D$19*$D$20/1000,0)</f>
        <v>52.2</v>
      </c>
      <c r="AD78" s="48" t="n">
        <f aca="false">IF(AD45=1,$D$19*$D$20/1000,0)</f>
        <v>52.2</v>
      </c>
      <c r="AE78" s="48" t="n">
        <f aca="false">IF(AE45=1,$D$19*$D$20/1000,0)</f>
        <v>52.2</v>
      </c>
      <c r="AF78" s="48" t="n">
        <f aca="false">IF(AF45=1,$D$19*$D$20/1000,0)</f>
        <v>52.2</v>
      </c>
      <c r="AG78" s="48" t="n">
        <f aca="false">IF(AG45=1,$D$19*$D$20/1000,0)</f>
        <v>52.2</v>
      </c>
      <c r="AH78" s="48" t="n">
        <f aca="false">IF(AH45=1,$D$19*$D$20/1000,0)</f>
        <v>52.2</v>
      </c>
      <c r="AI78" s="48" t="n">
        <f aca="false">IF(AI45=1,$D$19*$D$20/1000,0)</f>
        <v>52.2</v>
      </c>
      <c r="AJ78" s="48" t="n">
        <f aca="false">IF(AJ45=1,$D$19*$D$20/1000,0)</f>
        <v>52.2</v>
      </c>
      <c r="AK78" s="48" t="n">
        <f aca="false">IF(AK45=1,$D$19*$D$20/1000,0)</f>
        <v>52.2</v>
      </c>
      <c r="AL78" s="48" t="n">
        <f aca="false">IF(AL45=1,$D$19*$D$20/1000,0)</f>
        <v>52.2</v>
      </c>
      <c r="AM78" s="48" t="n">
        <f aca="false">IF(AM45=1,$D$19*$D$20/1000,0)</f>
        <v>52.2</v>
      </c>
      <c r="AN78" s="48" t="n">
        <f aca="false">IF(AN45=1,$D$19*$D$20/1000,0)</f>
        <v>52.2</v>
      </c>
      <c r="AO78" s="48" t="n">
        <f aca="false">IF(AO45=1,$D$19*$D$20/1000,0)</f>
        <v>52.2</v>
      </c>
      <c r="AP78" s="48" t="n">
        <f aca="false">IF(AP45=1,$D$19*$D$20/1000,0)</f>
        <v>52.2</v>
      </c>
      <c r="AQ78" s="48" t="n">
        <f aca="false">IF(AQ45=1,$D$19*$D$20/1000,0)</f>
        <v>52.2</v>
      </c>
      <c r="AR78" s="48" t="n">
        <f aca="false">IF(AR45=1,$D$19*$D$20/1000,0)</f>
        <v>52.2</v>
      </c>
      <c r="AS78" s="48" t="n">
        <f aca="false">IF(AS45=1,$D$19*$D$20/1000,0)</f>
        <v>52.2</v>
      </c>
      <c r="AT78" s="48" t="n">
        <f aca="false">IF(AT45=1,$D$19*$D$20/1000,0)</f>
        <v>52.2</v>
      </c>
      <c r="AU78" s="48" t="n">
        <f aca="false">IF(AU45=1,$D$19*$D$20/1000,0)</f>
        <v>52.2</v>
      </c>
      <c r="AV78" s="48" t="n">
        <f aca="false">IF(AV45=1,$D$19*$D$20/1000,0)</f>
        <v>52.2</v>
      </c>
      <c r="AW78" s="48" t="n">
        <f aca="false">IF(AW45=1,$D$19*$D$20/1000,0)</f>
        <v>52.2</v>
      </c>
      <c r="AX78" s="48" t="n">
        <f aca="false">IF(AX45=1,$D$19*$D$20/1000,0)</f>
        <v>52.2</v>
      </c>
      <c r="AY78" s="48" t="n">
        <f aca="false">IF(AY45=1,$D$19*$D$20/1000,0)</f>
        <v>52.2</v>
      </c>
      <c r="AZ78" s="48" t="n">
        <f aca="false">IF(AZ45=1,$D$19*$D$20/1000,0)</f>
        <v>52.2</v>
      </c>
      <c r="BA78" s="48" t="n">
        <f aca="false">IF(BA45=1,$D$19*$D$20/1000,0)</f>
        <v>52.2</v>
      </c>
      <c r="BB78" s="48" t="n">
        <f aca="false">IF(BB45=1,$D$19*$D$20/1000,0)</f>
        <v>52.2</v>
      </c>
      <c r="BC78" s="48" t="n">
        <f aca="false">IF(BC45=1,$D$19*$D$20/1000,0)</f>
        <v>52.2</v>
      </c>
      <c r="BD78" s="48" t="n">
        <f aca="false">IF(BD45=1,$D$19*$D$20/1000,0)</f>
        <v>52.2</v>
      </c>
      <c r="BE78" s="48" t="n">
        <f aca="false">IF(BE45=1,$D$19*$D$20/1000,0)</f>
        <v>52.2</v>
      </c>
      <c r="BF78" s="48" t="n">
        <f aca="false">IF(BF45=1,$D$19*$D$20/1000,0)</f>
        <v>52.2</v>
      </c>
      <c r="BG78" s="48" t="n">
        <f aca="false">IF(BG45=1,$D$19*$D$20/1000,0)</f>
        <v>52.2</v>
      </c>
      <c r="BH78" s="48" t="n">
        <f aca="false">IF(BH45=1,$D$19*$D$20/1000,0)</f>
        <v>52.2</v>
      </c>
      <c r="BI78" s="48" t="n">
        <f aca="false">IF(BI45=1,$D$19*$D$20/1000,0)</f>
        <v>52.2</v>
      </c>
      <c r="BJ78" s="48" t="n">
        <f aca="false">IF(BJ45=1,$D$19*$D$20/1000,0)</f>
        <v>52.2</v>
      </c>
      <c r="BK78" s="48" t="n">
        <f aca="false">IF(BK45=1,$D$19*$D$20/1000,0)</f>
        <v>52.2</v>
      </c>
      <c r="BL78" s="48" t="n">
        <f aca="false">IF(BL45=1,$D$19*$D$20/1000,0)</f>
        <v>52.2</v>
      </c>
      <c r="BM78" s="48" t="n">
        <f aca="false">IF(BM45=1,$D$19*$D$20/1000,0)</f>
        <v>52.2</v>
      </c>
      <c r="BN78" s="48" t="n">
        <f aca="false">IF(BN45=1,$D$19*$D$20/1000,0)</f>
        <v>52.2</v>
      </c>
      <c r="BO78" s="48" t="n">
        <f aca="false">IF(BO45=1,$D$19*$D$20/1000,0)</f>
        <v>52.2</v>
      </c>
      <c r="BP78" s="48" t="n">
        <f aca="false">IF(BP45=1,$D$19*$D$20/1000,0)</f>
        <v>52.2</v>
      </c>
      <c r="BQ78" s="48" t="n">
        <f aca="false">IF(BQ45=1,$D$19*$D$20/1000,0)</f>
        <v>52.2</v>
      </c>
      <c r="BR78" s="48" t="n">
        <f aca="false">IF(BR45=1,$D$19*$D$20/1000,0)</f>
        <v>52.2</v>
      </c>
      <c r="BS78" s="48" t="n">
        <f aca="false">IF(BS45=1,$D$19*$D$20/1000,0)</f>
        <v>52.2</v>
      </c>
      <c r="BT78" s="48" t="n">
        <f aca="false">IF(BT45=1,$D$19*$D$20/1000,0)</f>
        <v>52.2</v>
      </c>
      <c r="BU78" s="48" t="n">
        <f aca="false">IF(BU45=1,$D$19*$D$20/1000,0)</f>
        <v>52.2</v>
      </c>
      <c r="BV78" s="48" t="n">
        <f aca="false">IF(BV45=1,$D$19*$D$20/1000,0)</f>
        <v>52.2</v>
      </c>
      <c r="BW78" s="48" t="n">
        <f aca="false">IF(BW45=1,$D$19*$D$20/1000,0)</f>
        <v>0</v>
      </c>
      <c r="BX78" s="48" t="n">
        <f aca="false">IF(BX45=1,$D$19*$D$20/1000,0)</f>
        <v>0</v>
      </c>
    </row>
    <row r="79" customFormat="false" ht="15" hidden="false" customHeight="false" outlineLevel="0" collapsed="false">
      <c r="A79" s="1"/>
      <c r="B79" s="8" t="s">
        <v>340</v>
      </c>
      <c r="C79" s="8" t="s">
        <v>126</v>
      </c>
      <c r="D79" s="44" t="n">
        <f aca="false">SUM(G79:BX79)</f>
        <v>3547.8</v>
      </c>
      <c r="E79" s="1"/>
      <c r="F79" s="1"/>
      <c r="G79" s="48" t="n">
        <f aca="false">IF(G45=1,$D$27*$D$7*8760*0.9/1000000,0)</f>
        <v>0</v>
      </c>
      <c r="H79" s="48" t="n">
        <f aca="false">IF(H45=1,$D$27*$D$7*8760*0.9/1000000,0)</f>
        <v>0</v>
      </c>
      <c r="I79" s="48" t="n">
        <f aca="false">IF(I45=1,$D$27*$D$7*8760*0.9/1000000,0)</f>
        <v>0</v>
      </c>
      <c r="J79" s="48" t="n">
        <f aca="false">IF(J45=1,$D$27*$D$7*8760*0.9/1000000,0)</f>
        <v>0</v>
      </c>
      <c r="K79" s="48" t="n">
        <f aca="false">IF(K45=1,$D$27*$D$7*8760*0.9/1000000,0)</f>
        <v>0</v>
      </c>
      <c r="L79" s="48" t="n">
        <f aca="false">IF(L45=1,$D$27*$D$7*8760*0.9/1000000,0)</f>
        <v>0</v>
      </c>
      <c r="M79" s="48" t="n">
        <f aca="false">IF(M45=1,$D$27*$D$7*8760*0.9/1000000,0)</f>
        <v>0</v>
      </c>
      <c r="N79" s="48" t="n">
        <f aca="false">IF(N45=1,$D$27*$D$7*8760*0.9/1000000,0)</f>
        <v>0</v>
      </c>
      <c r="O79" s="48" t="n">
        <f aca="false">IF(O45=1,$D$27*$D$7*8760*0.9/1000000,0)</f>
        <v>59.13</v>
      </c>
      <c r="P79" s="48" t="n">
        <f aca="false">IF(P45=1,$D$27*$D$7*8760*0.9/1000000,0)</f>
        <v>59.13</v>
      </c>
      <c r="Q79" s="48" t="n">
        <f aca="false">IF(Q45=1,$D$27*$D$7*8760*0.9/1000000,0)</f>
        <v>59.13</v>
      </c>
      <c r="R79" s="48" t="n">
        <f aca="false">IF(R45=1,$D$27*$D$7*8760*0.9/1000000,0)</f>
        <v>59.13</v>
      </c>
      <c r="S79" s="48" t="n">
        <f aca="false">IF(S45=1,$D$27*$D$7*8760*0.9/1000000,0)</f>
        <v>59.13</v>
      </c>
      <c r="T79" s="48" t="n">
        <f aca="false">IF(T45=1,$D$27*$D$7*8760*0.9/1000000,0)</f>
        <v>59.13</v>
      </c>
      <c r="U79" s="48" t="n">
        <f aca="false">IF(U45=1,$D$27*$D$7*8760*0.9/1000000,0)</f>
        <v>59.13</v>
      </c>
      <c r="V79" s="48" t="n">
        <f aca="false">IF(V45=1,$D$27*$D$7*8760*0.9/1000000,0)</f>
        <v>59.13</v>
      </c>
      <c r="W79" s="48" t="n">
        <f aca="false">IF(W45=1,$D$27*$D$7*8760*0.9/1000000,0)</f>
        <v>59.13</v>
      </c>
      <c r="X79" s="48" t="n">
        <f aca="false">IF(X45=1,$D$27*$D$7*8760*0.9/1000000,0)</f>
        <v>59.13</v>
      </c>
      <c r="Y79" s="48" t="n">
        <f aca="false">IF(Y45=1,$D$27*$D$7*8760*0.9/1000000,0)</f>
        <v>59.13</v>
      </c>
      <c r="Z79" s="48" t="n">
        <f aca="false">IF(Z45=1,$D$27*$D$7*8760*0.9/1000000,0)</f>
        <v>59.13</v>
      </c>
      <c r="AA79" s="48" t="n">
        <f aca="false">IF(AA45=1,$D$27*$D$7*8760*0.9/1000000,0)</f>
        <v>59.13</v>
      </c>
      <c r="AB79" s="48" t="n">
        <f aca="false">IF(AB45=1,$D$27*$D$7*8760*0.9/1000000,0)</f>
        <v>59.13</v>
      </c>
      <c r="AC79" s="48" t="n">
        <f aca="false">IF(AC45=1,$D$27*$D$7*8760*0.9/1000000,0)</f>
        <v>59.13</v>
      </c>
      <c r="AD79" s="48" t="n">
        <f aca="false">IF(AD45=1,$D$27*$D$7*8760*0.9/1000000,0)</f>
        <v>59.13</v>
      </c>
      <c r="AE79" s="48" t="n">
        <f aca="false">IF(AE45=1,$D$27*$D$7*8760*0.9/1000000,0)</f>
        <v>59.13</v>
      </c>
      <c r="AF79" s="48" t="n">
        <f aca="false">IF(AF45=1,$D$27*$D$7*8760*0.9/1000000,0)</f>
        <v>59.13</v>
      </c>
      <c r="AG79" s="48" t="n">
        <f aca="false">IF(AG45=1,$D$27*$D$7*8760*0.9/1000000,0)</f>
        <v>59.13</v>
      </c>
      <c r="AH79" s="48" t="n">
        <f aca="false">IF(AH45=1,$D$27*$D$7*8760*0.9/1000000,0)</f>
        <v>59.13</v>
      </c>
      <c r="AI79" s="48" t="n">
        <f aca="false">IF(AI45=1,$D$27*$D$7*8760*0.9/1000000,0)</f>
        <v>59.13</v>
      </c>
      <c r="AJ79" s="48" t="n">
        <f aca="false">IF(AJ45=1,$D$27*$D$7*8760*0.9/1000000,0)</f>
        <v>59.13</v>
      </c>
      <c r="AK79" s="48" t="n">
        <f aca="false">IF(AK45=1,$D$27*$D$7*8760*0.9/1000000,0)</f>
        <v>59.13</v>
      </c>
      <c r="AL79" s="48" t="n">
        <f aca="false">IF(AL45=1,$D$27*$D$7*8760*0.9/1000000,0)</f>
        <v>59.13</v>
      </c>
      <c r="AM79" s="48" t="n">
        <f aca="false">IF(AM45=1,$D$27*$D$7*8760*0.9/1000000,0)</f>
        <v>59.13</v>
      </c>
      <c r="AN79" s="48" t="n">
        <f aca="false">IF(AN45=1,$D$27*$D$7*8760*0.9/1000000,0)</f>
        <v>59.13</v>
      </c>
      <c r="AO79" s="48" t="n">
        <f aca="false">IF(AO45=1,$D$27*$D$7*8760*0.9/1000000,0)</f>
        <v>59.13</v>
      </c>
      <c r="AP79" s="48" t="n">
        <f aca="false">IF(AP45=1,$D$27*$D$7*8760*0.9/1000000,0)</f>
        <v>59.13</v>
      </c>
      <c r="AQ79" s="48" t="n">
        <f aca="false">IF(AQ45=1,$D$27*$D$7*8760*0.9/1000000,0)</f>
        <v>59.13</v>
      </c>
      <c r="AR79" s="48" t="n">
        <f aca="false">IF(AR45=1,$D$27*$D$7*8760*0.9/1000000,0)</f>
        <v>59.13</v>
      </c>
      <c r="AS79" s="48" t="n">
        <f aca="false">IF(AS45=1,$D$27*$D$7*8760*0.9/1000000,0)</f>
        <v>59.13</v>
      </c>
      <c r="AT79" s="48" t="n">
        <f aca="false">IF(AT45=1,$D$27*$D$7*8760*0.9/1000000,0)</f>
        <v>59.13</v>
      </c>
      <c r="AU79" s="48" t="n">
        <f aca="false">IF(AU45=1,$D$27*$D$7*8760*0.9/1000000,0)</f>
        <v>59.13</v>
      </c>
      <c r="AV79" s="48" t="n">
        <f aca="false">IF(AV45=1,$D$27*$D$7*8760*0.9/1000000,0)</f>
        <v>59.13</v>
      </c>
      <c r="AW79" s="48" t="n">
        <f aca="false">IF(AW45=1,$D$27*$D$7*8760*0.9/1000000,0)</f>
        <v>59.13</v>
      </c>
      <c r="AX79" s="48" t="n">
        <f aca="false">IF(AX45=1,$D$27*$D$7*8760*0.9/1000000,0)</f>
        <v>59.13</v>
      </c>
      <c r="AY79" s="48" t="n">
        <f aca="false">IF(AY45=1,$D$27*$D$7*8760*0.9/1000000,0)</f>
        <v>59.13</v>
      </c>
      <c r="AZ79" s="48" t="n">
        <f aca="false">IF(AZ45=1,$D$27*$D$7*8760*0.9/1000000,0)</f>
        <v>59.13</v>
      </c>
      <c r="BA79" s="48" t="n">
        <f aca="false">IF(BA45=1,$D$27*$D$7*8760*0.9/1000000,0)</f>
        <v>59.13</v>
      </c>
      <c r="BB79" s="48" t="n">
        <f aca="false">IF(BB45=1,$D$27*$D$7*8760*0.9/1000000,0)</f>
        <v>59.13</v>
      </c>
      <c r="BC79" s="48" t="n">
        <f aca="false">IF(BC45=1,$D$27*$D$7*8760*0.9/1000000,0)</f>
        <v>59.13</v>
      </c>
      <c r="BD79" s="48" t="n">
        <f aca="false">IF(BD45=1,$D$27*$D$7*8760*0.9/1000000,0)</f>
        <v>59.13</v>
      </c>
      <c r="BE79" s="48" t="n">
        <f aca="false">IF(BE45=1,$D$27*$D$7*8760*0.9/1000000,0)</f>
        <v>59.13</v>
      </c>
      <c r="BF79" s="48" t="n">
        <f aca="false">IF(BF45=1,$D$27*$D$7*8760*0.9/1000000,0)</f>
        <v>59.13</v>
      </c>
      <c r="BG79" s="48" t="n">
        <f aca="false">IF(BG45=1,$D$27*$D$7*8760*0.9/1000000,0)</f>
        <v>59.13</v>
      </c>
      <c r="BH79" s="48" t="n">
        <f aca="false">IF(BH45=1,$D$27*$D$7*8760*0.9/1000000,0)</f>
        <v>59.13</v>
      </c>
      <c r="BI79" s="48" t="n">
        <f aca="false">IF(BI45=1,$D$27*$D$7*8760*0.9/1000000,0)</f>
        <v>59.13</v>
      </c>
      <c r="BJ79" s="48" t="n">
        <f aca="false">IF(BJ45=1,$D$27*$D$7*8760*0.9/1000000,0)</f>
        <v>59.13</v>
      </c>
      <c r="BK79" s="48" t="n">
        <f aca="false">IF(BK45=1,$D$27*$D$7*8760*0.9/1000000,0)</f>
        <v>59.13</v>
      </c>
      <c r="BL79" s="48" t="n">
        <f aca="false">IF(BL45=1,$D$27*$D$7*8760*0.9/1000000,0)</f>
        <v>59.13</v>
      </c>
      <c r="BM79" s="48" t="n">
        <f aca="false">IF(BM45=1,$D$27*$D$7*8760*0.9/1000000,0)</f>
        <v>59.13</v>
      </c>
      <c r="BN79" s="48" t="n">
        <f aca="false">IF(BN45=1,$D$27*$D$7*8760*0.9/1000000,0)</f>
        <v>59.13</v>
      </c>
      <c r="BO79" s="48" t="n">
        <f aca="false">IF(BO45=1,$D$27*$D$7*8760*0.9/1000000,0)</f>
        <v>59.13</v>
      </c>
      <c r="BP79" s="48" t="n">
        <f aca="false">IF(BP45=1,$D$27*$D$7*8760*0.9/1000000,0)</f>
        <v>59.13</v>
      </c>
      <c r="BQ79" s="48" t="n">
        <f aca="false">IF(BQ45=1,$D$27*$D$7*8760*0.9/1000000,0)</f>
        <v>59.13</v>
      </c>
      <c r="BR79" s="48" t="n">
        <f aca="false">IF(BR45=1,$D$27*$D$7*8760*0.9/1000000,0)</f>
        <v>59.13</v>
      </c>
      <c r="BS79" s="48" t="n">
        <f aca="false">IF(BS45=1,$D$27*$D$7*8760*0.9/1000000,0)</f>
        <v>59.13</v>
      </c>
      <c r="BT79" s="48" t="n">
        <f aca="false">IF(BT45=1,$D$27*$D$7*8760*0.9/1000000,0)</f>
        <v>59.13</v>
      </c>
      <c r="BU79" s="48" t="n">
        <f aca="false">IF(BU45=1,$D$27*$D$7*8760*0.9/1000000,0)</f>
        <v>59.13</v>
      </c>
      <c r="BV79" s="48" t="n">
        <f aca="false">IF(BV45=1,$D$27*$D$7*8760*0.9/1000000,0)</f>
        <v>59.13</v>
      </c>
      <c r="BW79" s="48" t="n">
        <f aca="false">IF(BW45=1,$D$27*$D$7*8760*0.9/1000000,0)</f>
        <v>0</v>
      </c>
      <c r="BX79" s="48" t="n">
        <f aca="false">IF(BX45=1,$D$27*$D$7*8760*0.9/1000000,0)</f>
        <v>0</v>
      </c>
    </row>
    <row r="80" customFormat="false" ht="15" hidden="false" customHeight="false" outlineLevel="0" collapsed="false">
      <c r="A80" s="1"/>
      <c r="B80" s="8" t="s">
        <v>341</v>
      </c>
      <c r="C80" s="8" t="s">
        <v>126</v>
      </c>
      <c r="D80" s="44" t="n">
        <f aca="false">SUM(G80:BX80)</f>
        <v>0</v>
      </c>
      <c r="E80" s="1"/>
      <c r="F80" s="1"/>
      <c r="G80" s="48" t="n">
        <f aca="false">0</f>
        <v>0</v>
      </c>
      <c r="H80" s="48" t="n">
        <f aca="false">0</f>
        <v>0</v>
      </c>
      <c r="I80" s="48" t="n">
        <f aca="false">0</f>
        <v>0</v>
      </c>
      <c r="J80" s="48" t="n">
        <f aca="false">0</f>
        <v>0</v>
      </c>
      <c r="K80" s="48" t="n">
        <f aca="false">0</f>
        <v>0</v>
      </c>
      <c r="L80" s="48" t="n">
        <f aca="false">0</f>
        <v>0</v>
      </c>
      <c r="M80" s="48" t="n">
        <f aca="false">0</f>
        <v>0</v>
      </c>
      <c r="N80" s="48" t="n">
        <f aca="false">0</f>
        <v>0</v>
      </c>
      <c r="O80" s="48" t="n">
        <f aca="false">0</f>
        <v>0</v>
      </c>
      <c r="P80" s="48" t="n">
        <f aca="false">0</f>
        <v>0</v>
      </c>
      <c r="Q80" s="48" t="n">
        <f aca="false">0</f>
        <v>0</v>
      </c>
      <c r="R80" s="48" t="n">
        <f aca="false">0</f>
        <v>0</v>
      </c>
      <c r="S80" s="48" t="n">
        <f aca="false">0</f>
        <v>0</v>
      </c>
      <c r="T80" s="48" t="n">
        <f aca="false">0</f>
        <v>0</v>
      </c>
      <c r="U80" s="48" t="n">
        <f aca="false">0</f>
        <v>0</v>
      </c>
      <c r="V80" s="48" t="n">
        <f aca="false">0</f>
        <v>0</v>
      </c>
      <c r="W80" s="48" t="n">
        <f aca="false">0</f>
        <v>0</v>
      </c>
      <c r="X80" s="48" t="n">
        <f aca="false">0</f>
        <v>0</v>
      </c>
      <c r="Y80" s="48" t="n">
        <f aca="false">0</f>
        <v>0</v>
      </c>
      <c r="Z80" s="48" t="n">
        <f aca="false">0</f>
        <v>0</v>
      </c>
      <c r="AA80" s="48" t="n">
        <f aca="false">0</f>
        <v>0</v>
      </c>
      <c r="AB80" s="48" t="n">
        <f aca="false">0</f>
        <v>0</v>
      </c>
      <c r="AC80" s="48" t="n">
        <f aca="false">0</f>
        <v>0</v>
      </c>
      <c r="AD80" s="48" t="n">
        <f aca="false">0</f>
        <v>0</v>
      </c>
      <c r="AE80" s="48" t="n">
        <f aca="false">0</f>
        <v>0</v>
      </c>
      <c r="AF80" s="48" t="n">
        <f aca="false">0</f>
        <v>0</v>
      </c>
      <c r="AG80" s="48" t="n">
        <f aca="false">0</f>
        <v>0</v>
      </c>
      <c r="AH80" s="48" t="n">
        <f aca="false">0</f>
        <v>0</v>
      </c>
      <c r="AI80" s="48" t="n">
        <f aca="false">0</f>
        <v>0</v>
      </c>
      <c r="AJ80" s="48" t="n">
        <f aca="false">0</f>
        <v>0</v>
      </c>
      <c r="AK80" s="48" t="n">
        <f aca="false">0</f>
        <v>0</v>
      </c>
      <c r="AL80" s="48" t="n">
        <f aca="false">0</f>
        <v>0</v>
      </c>
      <c r="AM80" s="48" t="n">
        <f aca="false">0</f>
        <v>0</v>
      </c>
      <c r="AN80" s="48" t="n">
        <f aca="false">0</f>
        <v>0</v>
      </c>
      <c r="AO80" s="48" t="n">
        <f aca="false">0</f>
        <v>0</v>
      </c>
      <c r="AP80" s="48" t="n">
        <f aca="false">0</f>
        <v>0</v>
      </c>
      <c r="AQ80" s="48" t="n">
        <f aca="false">0</f>
        <v>0</v>
      </c>
      <c r="AR80" s="48" t="n">
        <f aca="false">0</f>
        <v>0</v>
      </c>
      <c r="AS80" s="48" t="n">
        <f aca="false">0</f>
        <v>0</v>
      </c>
      <c r="AT80" s="48" t="n">
        <f aca="false">0</f>
        <v>0</v>
      </c>
      <c r="AU80" s="48" t="n">
        <f aca="false">0</f>
        <v>0</v>
      </c>
      <c r="AV80" s="48" t="n">
        <f aca="false">0</f>
        <v>0</v>
      </c>
      <c r="AW80" s="48" t="n">
        <f aca="false">0</f>
        <v>0</v>
      </c>
      <c r="AX80" s="48" t="n">
        <f aca="false">0</f>
        <v>0</v>
      </c>
      <c r="AY80" s="48" t="n">
        <f aca="false">0</f>
        <v>0</v>
      </c>
      <c r="AZ80" s="48" t="n">
        <f aca="false">0</f>
        <v>0</v>
      </c>
      <c r="BA80" s="48" t="n">
        <f aca="false">0</f>
        <v>0</v>
      </c>
      <c r="BB80" s="48" t="n">
        <f aca="false">0</f>
        <v>0</v>
      </c>
      <c r="BC80" s="48" t="n">
        <f aca="false">0</f>
        <v>0</v>
      </c>
      <c r="BD80" s="48" t="n">
        <f aca="false">0</f>
        <v>0</v>
      </c>
      <c r="BE80" s="48" t="n">
        <f aca="false">0</f>
        <v>0</v>
      </c>
      <c r="BF80" s="48" t="n">
        <f aca="false">0</f>
        <v>0</v>
      </c>
      <c r="BG80" s="48" t="n">
        <f aca="false">0</f>
        <v>0</v>
      </c>
      <c r="BH80" s="48" t="n">
        <f aca="false">0</f>
        <v>0</v>
      </c>
      <c r="BI80" s="48" t="n">
        <f aca="false">0</f>
        <v>0</v>
      </c>
      <c r="BJ80" s="48" t="n">
        <f aca="false">0</f>
        <v>0</v>
      </c>
      <c r="BK80" s="48" t="n">
        <f aca="false">0</f>
        <v>0</v>
      </c>
      <c r="BL80" s="48" t="n">
        <f aca="false">0</f>
        <v>0</v>
      </c>
      <c r="BM80" s="48" t="n">
        <f aca="false">0</f>
        <v>0</v>
      </c>
      <c r="BN80" s="48" t="n">
        <f aca="false">0</f>
        <v>0</v>
      </c>
      <c r="BO80" s="48" t="n">
        <f aca="false">0</f>
        <v>0</v>
      </c>
      <c r="BP80" s="48" t="n">
        <f aca="false">0</f>
        <v>0</v>
      </c>
      <c r="BQ80" s="48" t="n">
        <f aca="false">0</f>
        <v>0</v>
      </c>
      <c r="BR80" s="48" t="n">
        <f aca="false">0</f>
        <v>0</v>
      </c>
      <c r="BS80" s="48" t="n">
        <f aca="false">0</f>
        <v>0</v>
      </c>
      <c r="BT80" s="48" t="n">
        <f aca="false">0</f>
        <v>0</v>
      </c>
      <c r="BU80" s="48" t="n">
        <f aca="false">0</f>
        <v>0</v>
      </c>
      <c r="BV80" s="48" t="n">
        <f aca="false">0</f>
        <v>0</v>
      </c>
      <c r="BW80" s="48" t="n">
        <f aca="false">0</f>
        <v>0</v>
      </c>
      <c r="BX80" s="48" t="n">
        <f aca="false">0</f>
        <v>0</v>
      </c>
    </row>
    <row r="81" customFormat="false" ht="15" hidden="false" customHeight="false" outlineLevel="0" collapsed="false">
      <c r="A81" s="1"/>
      <c r="B81" s="8" t="s">
        <v>342</v>
      </c>
      <c r="C81" s="8" t="s">
        <v>126</v>
      </c>
      <c r="D81" s="44" t="n">
        <f aca="false">SUM(G81:BX81)</f>
        <v>2736</v>
      </c>
      <c r="E81" s="1"/>
      <c r="F81" s="1"/>
      <c r="G81" s="48" t="n">
        <f aca="false">IF(G45=1,$D$22*$D$21*$D$24,0)</f>
        <v>0</v>
      </c>
      <c r="H81" s="48" t="n">
        <f aca="false">IF(H45=1,$D$22*$D$21*$D$24,0)</f>
        <v>0</v>
      </c>
      <c r="I81" s="48" t="n">
        <f aca="false">IF(I45=1,$D$22*$D$21*$D$24,0)</f>
        <v>0</v>
      </c>
      <c r="J81" s="48" t="n">
        <f aca="false">IF(J45=1,$D$22*$D$21*$D$24,0)</f>
        <v>0</v>
      </c>
      <c r="K81" s="48" t="n">
        <f aca="false">IF(K45=1,$D$22*$D$21*$D$24,0)</f>
        <v>0</v>
      </c>
      <c r="L81" s="48" t="n">
        <f aca="false">IF(L45=1,$D$22*$D$21*$D$24,0)</f>
        <v>0</v>
      </c>
      <c r="M81" s="48" t="n">
        <f aca="false">IF(M45=1,$D$22*$D$21*$D$24,0)</f>
        <v>0</v>
      </c>
      <c r="N81" s="48" t="n">
        <f aca="false">IF(N45=1,$D$22*$D$21*$D$24,0)</f>
        <v>0</v>
      </c>
      <c r="O81" s="48" t="n">
        <f aca="false">IF(O45=1,$D$22*$D$21*$D$24,0)</f>
        <v>45.6</v>
      </c>
      <c r="P81" s="48" t="n">
        <f aca="false">IF(P45=1,$D$22*$D$21*$D$24,0)</f>
        <v>45.6</v>
      </c>
      <c r="Q81" s="48" t="n">
        <f aca="false">IF(Q45=1,$D$22*$D$21*$D$24,0)</f>
        <v>45.6</v>
      </c>
      <c r="R81" s="48" t="n">
        <f aca="false">IF(R45=1,$D$22*$D$21*$D$24,0)</f>
        <v>45.6</v>
      </c>
      <c r="S81" s="48" t="n">
        <f aca="false">IF(S45=1,$D$22*$D$21*$D$24,0)</f>
        <v>45.6</v>
      </c>
      <c r="T81" s="48" t="n">
        <f aca="false">IF(T45=1,$D$22*$D$21*$D$24,0)</f>
        <v>45.6</v>
      </c>
      <c r="U81" s="48" t="n">
        <f aca="false">IF(U45=1,$D$22*$D$21*$D$24,0)</f>
        <v>45.6</v>
      </c>
      <c r="V81" s="48" t="n">
        <f aca="false">IF(V45=1,$D$22*$D$21*$D$24,0)</f>
        <v>45.6</v>
      </c>
      <c r="W81" s="48" t="n">
        <f aca="false">IF(W45=1,$D$22*$D$21*$D$24,0)</f>
        <v>45.6</v>
      </c>
      <c r="X81" s="48" t="n">
        <f aca="false">IF(X45=1,$D$22*$D$21*$D$24,0)</f>
        <v>45.6</v>
      </c>
      <c r="Y81" s="48" t="n">
        <f aca="false">IF(Y45=1,$D$22*$D$21*$D$24,0)</f>
        <v>45.6</v>
      </c>
      <c r="Z81" s="48" t="n">
        <f aca="false">IF(Z45=1,$D$22*$D$21*$D$24,0)</f>
        <v>45.6</v>
      </c>
      <c r="AA81" s="48" t="n">
        <f aca="false">IF(AA45=1,$D$22*$D$21*$D$24,0)</f>
        <v>45.6</v>
      </c>
      <c r="AB81" s="48" t="n">
        <f aca="false">IF(AB45=1,$D$22*$D$21*$D$24,0)</f>
        <v>45.6</v>
      </c>
      <c r="AC81" s="48" t="n">
        <f aca="false">IF(AC45=1,$D$22*$D$21*$D$24,0)</f>
        <v>45.6</v>
      </c>
      <c r="AD81" s="48" t="n">
        <f aca="false">IF(AD45=1,$D$22*$D$21*$D$24,0)</f>
        <v>45.6</v>
      </c>
      <c r="AE81" s="48" t="n">
        <f aca="false">IF(AE45=1,$D$22*$D$21*$D$24,0)</f>
        <v>45.6</v>
      </c>
      <c r="AF81" s="48" t="n">
        <f aca="false">IF(AF45=1,$D$22*$D$21*$D$24,0)</f>
        <v>45.6</v>
      </c>
      <c r="AG81" s="48" t="n">
        <f aca="false">IF(AG45=1,$D$22*$D$21*$D$24,0)</f>
        <v>45.6</v>
      </c>
      <c r="AH81" s="48" t="n">
        <f aca="false">IF(AH45=1,$D$22*$D$21*$D$24,0)</f>
        <v>45.6</v>
      </c>
      <c r="AI81" s="48" t="n">
        <f aca="false">IF(AI45=1,$D$22*$D$21*$D$24,0)</f>
        <v>45.6</v>
      </c>
      <c r="AJ81" s="48" t="n">
        <f aca="false">IF(AJ45=1,$D$22*$D$21*$D$24,0)</f>
        <v>45.6</v>
      </c>
      <c r="AK81" s="48" t="n">
        <f aca="false">IF(AK45=1,$D$22*$D$21*$D$24,0)</f>
        <v>45.6</v>
      </c>
      <c r="AL81" s="48" t="n">
        <f aca="false">IF(AL45=1,$D$22*$D$21*$D$24,0)</f>
        <v>45.6</v>
      </c>
      <c r="AM81" s="48" t="n">
        <f aca="false">IF(AM45=1,$D$22*$D$21*$D$24,0)</f>
        <v>45.6</v>
      </c>
      <c r="AN81" s="48" t="n">
        <f aca="false">IF(AN45=1,$D$22*$D$21*$D$24,0)</f>
        <v>45.6</v>
      </c>
      <c r="AO81" s="48" t="n">
        <f aca="false">IF(AO45=1,$D$22*$D$21*$D$24,0)</f>
        <v>45.6</v>
      </c>
      <c r="AP81" s="48" t="n">
        <f aca="false">IF(AP45=1,$D$22*$D$21*$D$24,0)</f>
        <v>45.6</v>
      </c>
      <c r="AQ81" s="48" t="n">
        <f aca="false">IF(AQ45=1,$D$22*$D$21*$D$24,0)</f>
        <v>45.6</v>
      </c>
      <c r="AR81" s="48" t="n">
        <f aca="false">IF(AR45=1,$D$22*$D$21*$D$24,0)</f>
        <v>45.6</v>
      </c>
      <c r="AS81" s="48" t="n">
        <f aca="false">IF(AS45=1,$D$22*$D$21*$D$24,0)</f>
        <v>45.6</v>
      </c>
      <c r="AT81" s="48" t="n">
        <f aca="false">IF(AT45=1,$D$22*$D$21*$D$24,0)</f>
        <v>45.6</v>
      </c>
      <c r="AU81" s="48" t="n">
        <f aca="false">IF(AU45=1,$D$22*$D$21*$D$24,0)</f>
        <v>45.6</v>
      </c>
      <c r="AV81" s="48" t="n">
        <f aca="false">IF(AV45=1,$D$22*$D$21*$D$24,0)</f>
        <v>45.6</v>
      </c>
      <c r="AW81" s="48" t="n">
        <f aca="false">IF(AW45=1,$D$22*$D$21*$D$24,0)</f>
        <v>45.6</v>
      </c>
      <c r="AX81" s="48" t="n">
        <f aca="false">IF(AX45=1,$D$22*$D$21*$D$24,0)</f>
        <v>45.6</v>
      </c>
      <c r="AY81" s="48" t="n">
        <f aca="false">IF(AY45=1,$D$22*$D$21*$D$24,0)</f>
        <v>45.6</v>
      </c>
      <c r="AZ81" s="48" t="n">
        <f aca="false">IF(AZ45=1,$D$22*$D$21*$D$24,0)</f>
        <v>45.6</v>
      </c>
      <c r="BA81" s="48" t="n">
        <f aca="false">IF(BA45=1,$D$22*$D$21*$D$24,0)</f>
        <v>45.6</v>
      </c>
      <c r="BB81" s="48" t="n">
        <f aca="false">IF(BB45=1,$D$22*$D$21*$D$24,0)</f>
        <v>45.6</v>
      </c>
      <c r="BC81" s="48" t="n">
        <f aca="false">IF(BC45=1,$D$22*$D$21*$D$24,0)</f>
        <v>45.6</v>
      </c>
      <c r="BD81" s="48" t="n">
        <f aca="false">IF(BD45=1,$D$22*$D$21*$D$24,0)</f>
        <v>45.6</v>
      </c>
      <c r="BE81" s="48" t="n">
        <f aca="false">IF(BE45=1,$D$22*$D$21*$D$24,0)</f>
        <v>45.6</v>
      </c>
      <c r="BF81" s="48" t="n">
        <f aca="false">IF(BF45=1,$D$22*$D$21*$D$24,0)</f>
        <v>45.6</v>
      </c>
      <c r="BG81" s="48" t="n">
        <f aca="false">IF(BG45=1,$D$22*$D$21*$D$24,0)</f>
        <v>45.6</v>
      </c>
      <c r="BH81" s="48" t="n">
        <f aca="false">IF(BH45=1,$D$22*$D$21*$D$24,0)</f>
        <v>45.6</v>
      </c>
      <c r="BI81" s="48" t="n">
        <f aca="false">IF(BI45=1,$D$22*$D$21*$D$24,0)</f>
        <v>45.6</v>
      </c>
      <c r="BJ81" s="48" t="n">
        <f aca="false">IF(BJ45=1,$D$22*$D$21*$D$24,0)</f>
        <v>45.6</v>
      </c>
      <c r="BK81" s="48" t="n">
        <f aca="false">IF(BK45=1,$D$22*$D$21*$D$24,0)</f>
        <v>45.6</v>
      </c>
      <c r="BL81" s="48" t="n">
        <f aca="false">IF(BL45=1,$D$22*$D$21*$D$24,0)</f>
        <v>45.6</v>
      </c>
      <c r="BM81" s="48" t="n">
        <f aca="false">IF(BM45=1,$D$22*$D$21*$D$24,0)</f>
        <v>45.6</v>
      </c>
      <c r="BN81" s="48" t="n">
        <f aca="false">IF(BN45=1,$D$22*$D$21*$D$24,0)</f>
        <v>45.6</v>
      </c>
      <c r="BO81" s="48" t="n">
        <f aca="false">IF(BO45=1,$D$22*$D$21*$D$24,0)</f>
        <v>45.6</v>
      </c>
      <c r="BP81" s="48" t="n">
        <f aca="false">IF(BP45=1,$D$22*$D$21*$D$24,0)</f>
        <v>45.6</v>
      </c>
      <c r="BQ81" s="48" t="n">
        <f aca="false">IF(BQ45=1,$D$22*$D$21*$D$24,0)</f>
        <v>45.6</v>
      </c>
      <c r="BR81" s="48" t="n">
        <f aca="false">IF(BR45=1,$D$22*$D$21*$D$24,0)</f>
        <v>45.6</v>
      </c>
      <c r="BS81" s="48" t="n">
        <f aca="false">IF(BS45=1,$D$22*$D$21*$D$24,0)</f>
        <v>45.6</v>
      </c>
      <c r="BT81" s="48" t="n">
        <f aca="false">IF(BT45=1,$D$22*$D$21*$D$24,0)</f>
        <v>45.6</v>
      </c>
      <c r="BU81" s="48" t="n">
        <f aca="false">IF(BU45=1,$D$22*$D$21*$D$24,0)</f>
        <v>45.6</v>
      </c>
      <c r="BV81" s="48" t="n">
        <f aca="false">IF(BV45=1,$D$22*$D$21*$D$24,0)</f>
        <v>45.6</v>
      </c>
      <c r="BW81" s="48" t="n">
        <f aca="false">IF(BW45=1,$D$22*$D$21*$D$24,0)</f>
        <v>0</v>
      </c>
      <c r="BX81" s="48" t="n">
        <f aca="false">IF(BX45=1,$D$22*$D$21*$D$24,0)</f>
        <v>0</v>
      </c>
    </row>
    <row r="82" customFormat="false" ht="15" hidden="false" customHeight="false" outlineLevel="0" collapsed="false">
      <c r="A82" s="1"/>
      <c r="B82" s="8" t="s">
        <v>343</v>
      </c>
      <c r="C82" s="8" t="s">
        <v>126</v>
      </c>
      <c r="D82" s="44" t="n">
        <f aca="false">SUM(G82:BX82)</f>
        <v>357.909621677828</v>
      </c>
      <c r="E82" s="1"/>
      <c r="F82" s="1"/>
      <c r="G82" s="48" t="n">
        <f aca="false">IF(G45=1,$D$18*MAX(G69,0),0)</f>
        <v>0</v>
      </c>
      <c r="H82" s="48" t="n">
        <f aca="false">IF(H45=1,$D$18*MAX(H69,0),0)</f>
        <v>0</v>
      </c>
      <c r="I82" s="48" t="n">
        <f aca="false">IF(I45=1,$D$18*MAX(I69,0),0)</f>
        <v>0</v>
      </c>
      <c r="J82" s="48" t="n">
        <f aca="false">IF(J45=1,$D$18*MAX(J69,0),0)</f>
        <v>0</v>
      </c>
      <c r="K82" s="48" t="n">
        <f aca="false">IF(K45=1,$D$18*MAX(K69,0),0)</f>
        <v>0</v>
      </c>
      <c r="L82" s="48" t="n">
        <f aca="false">IF(L45=1,$D$18*MAX(L69,0),0)</f>
        <v>0</v>
      </c>
      <c r="M82" s="48" t="n">
        <f aca="false">IF(M45=1,$D$18*MAX(M69,0),0)</f>
        <v>0</v>
      </c>
      <c r="N82" s="48" t="n">
        <f aca="false">IF(N45=1,$D$18*MAX(N69,0),0)</f>
        <v>0</v>
      </c>
      <c r="O82" s="48" t="n">
        <f aca="false">IF(O45=1,$D$18*MAX(O69,0),0)</f>
        <v>6.65982639503786</v>
      </c>
      <c r="P82" s="48" t="n">
        <f aca="false">IF(P45=1,$D$18*MAX(P69,0),0)</f>
        <v>6.38626519000546</v>
      </c>
      <c r="Q82" s="48" t="n">
        <f aca="false">IF(Q45=1,$D$18*MAX(Q69,0),0)</f>
        <v>6.38620836573506</v>
      </c>
      <c r="R82" s="48" t="n">
        <f aca="false">IF(R45=1,$D$18*MAX(R69,0),0)</f>
        <v>6.87227257322017</v>
      </c>
      <c r="S82" s="48" t="n">
        <f aca="false">IF(S45=1,$D$18*MAX(S69,0),0)</f>
        <v>6.58997874813717</v>
      </c>
      <c r="T82" s="48" t="n">
        <f aca="false">IF(T45=1,$D$18*MAX(T69,0),0)</f>
        <v>6.58993357672656</v>
      </c>
      <c r="U82" s="48" t="n">
        <f aca="false">IF(U45=1,$D$18*MAX(U69,0),0)</f>
        <v>6.87219538231746</v>
      </c>
      <c r="V82" s="48" t="n">
        <f aca="false">IF(V45=1,$D$18*MAX(V69,0),0)</f>
        <v>6.58992766399758</v>
      </c>
      <c r="W82" s="48" t="n">
        <f aca="false">IF(W45=1,$D$18*MAX(W69,0),0)</f>
        <v>6.58995173364341</v>
      </c>
      <c r="X82" s="48" t="n">
        <f aca="false">IF(X45=1,$D$18*MAX(X69,0),0)</f>
        <v>6.40178128826829</v>
      </c>
      <c r="Y82" s="48" t="n">
        <f aca="false">IF(Y45=1,$D$18*MAX(Y69,0),0)</f>
        <v>6.58997743184966</v>
      </c>
      <c r="Z82" s="48" t="n">
        <f aca="false">IF(Z45=1,$D$18*MAX(Z69,0),0)</f>
        <v>6.58997958957575</v>
      </c>
      <c r="AA82" s="48" t="n">
        <f aca="false">IF(AA45=1,$D$18*MAX(AA69,0),0)</f>
        <v>6.87221871572182</v>
      </c>
      <c r="AB82" s="48" t="n">
        <f aca="false">IF(AB45=1,$D$18*MAX(AB69,0),0)</f>
        <v>6.58999295716847</v>
      </c>
      <c r="AC82" s="48" t="n">
        <f aca="false">IF(AC45=1,$D$18*MAX(AC69,0),0)</f>
        <v>6.59004467612621</v>
      </c>
      <c r="AD82" s="48" t="n">
        <f aca="false">IF(AD45=1,$D$18*MAX(AD69,0),0)</f>
        <v>6.87228113124649</v>
      </c>
      <c r="AE82" s="48" t="n">
        <f aca="false">IF(AE45=1,$D$18*MAX(AE69,0),0)</f>
        <v>6.59003749936998</v>
      </c>
      <c r="AF82" s="48" t="n">
        <f aca="false">IF(AF45=1,$D$18*MAX(AF69,0),0)</f>
        <v>6.59010245640019</v>
      </c>
      <c r="AG82" s="48" t="n">
        <f aca="false">IF(AG45=1,$D$18*MAX(AG69,0),0)</f>
        <v>6.87240522581754</v>
      </c>
      <c r="AH82" s="48" t="n">
        <f aca="false">IF(AH45=1,$D$18*MAX(AH69,0),0)</f>
        <v>6.30795327682528</v>
      </c>
      <c r="AI82" s="48" t="n">
        <f aca="false">IF(AI45=1,$D$18*MAX(AI69,0),0)</f>
        <v>6.59029968695529</v>
      </c>
      <c r="AJ82" s="48" t="n">
        <f aca="false">IF(AJ45=1,$D$18*MAX(AJ69,0),0)</f>
        <v>6.87258965473263</v>
      </c>
      <c r="AK82" s="48" t="n">
        <f aca="false">IF(AK45=1,$D$18*MAX(AK69,0),0)</f>
        <v>6.59039762743279</v>
      </c>
      <c r="AL82" s="48" t="n">
        <f aca="false">IF(AL45=1,$D$18*MAX(AL69,0),0)</f>
        <v>6.59044307506224</v>
      </c>
      <c r="AM82" s="48" t="n">
        <f aca="false">IF(AM45=1,$D$18*MAX(AM69,0),0)</f>
        <v>6.87276949113291</v>
      </c>
      <c r="AN82" s="48" t="n">
        <f aca="false">IF(AN45=1,$D$18*MAX(AN69,0),0)</f>
        <v>6.59057826182359</v>
      </c>
      <c r="AO82" s="48" t="n">
        <f aca="false">IF(AO45=1,$D$18*MAX(AO69,0),0)</f>
        <v>6.59064585520426</v>
      </c>
      <c r="AP82" s="48" t="n">
        <f aca="false">IF(AP45=1,$D$18*MAX(AP69,0),0)</f>
        <v>6.87290467789426</v>
      </c>
      <c r="AQ82" s="48" t="n">
        <f aca="false">IF(AQ45=1,$D$18*MAX(AQ69,0),0)</f>
        <v>6.59064585520426</v>
      </c>
      <c r="AR82" s="48" t="n">
        <f aca="false">IF(AR45=1,$D$18*MAX(AR69,0),0)</f>
        <v>6.30838703251426</v>
      </c>
      <c r="AS82" s="48" t="n">
        <f aca="false">IF(AS45=1,$D$18*MAX(AS69,0),0)</f>
        <v>6.87290467789426</v>
      </c>
      <c r="AT82" s="48" t="n">
        <f aca="false">IF(AT45=1,$D$18*MAX(AT69,0),0)</f>
        <v>6.59064585520426</v>
      </c>
      <c r="AU82" s="48" t="n">
        <f aca="false">IF(AU45=1,$D$18*MAX(AU69,0),0)</f>
        <v>6.59064585520426</v>
      </c>
      <c r="AV82" s="48" t="n">
        <f aca="false">IF(AV45=1,$D$18*MAX(AV69,0),0)</f>
        <v>6.87290467789426</v>
      </c>
      <c r="AW82" s="48" t="n">
        <f aca="false">IF(AW45=1,$D$18*MAX(AW69,0),0)</f>
        <v>6.59064585520426</v>
      </c>
      <c r="AX82" s="48" t="n">
        <f aca="false">IF(AX45=1,$D$18*MAX(AX69,0),0)</f>
        <v>6.59064585520426</v>
      </c>
      <c r="AY82" s="48" t="n">
        <f aca="false">IF(AY45=1,$D$18*MAX(AY69,0),0)</f>
        <v>6.87290467789426</v>
      </c>
      <c r="AZ82" s="48" t="n">
        <f aca="false">IF(AZ45=1,$D$18*MAX(AZ69,0),0)</f>
        <v>6.59064585520426</v>
      </c>
      <c r="BA82" s="48" t="n">
        <f aca="false">IF(BA45=1,$D$18*MAX(BA69,0),0)</f>
        <v>6.59064585520426</v>
      </c>
      <c r="BB82" s="48" t="n">
        <f aca="false">IF(BB45=1,$D$18*MAX(BB69,0),0)</f>
        <v>6.40247330674426</v>
      </c>
      <c r="BC82" s="48" t="n">
        <f aca="false">IF(BC45=1,$D$18*MAX(BC69,0),0)</f>
        <v>4.57522135991752</v>
      </c>
      <c r="BD82" s="48" t="n">
        <f aca="false">IF(BD45=1,$D$18*MAX(BD69,0),0)</f>
        <v>4.57522135991752</v>
      </c>
      <c r="BE82" s="48" t="n">
        <f aca="false">IF(BE45=1,$D$18*MAX(BE69,0),0)</f>
        <v>4.80068342098639</v>
      </c>
      <c r="BF82" s="48" t="n">
        <f aca="false">IF(BF45=1,$D$18*MAX(BF69,0),0)</f>
        <v>4.57522135991752</v>
      </c>
      <c r="BG82" s="48" t="n">
        <f aca="false">IF(BG45=1,$D$18*MAX(BG69,0),0)</f>
        <v>4.57522135991752</v>
      </c>
      <c r="BH82" s="48" t="n">
        <f aca="false">IF(BH45=1,$D$18*MAX(BH69,0),0)</f>
        <v>4.80068342098639</v>
      </c>
      <c r="BI82" s="48" t="n">
        <f aca="false">IF(BI45=1,$D$18*MAX(BI69,0),0)</f>
        <v>4.57522135991752</v>
      </c>
      <c r="BJ82" s="48" t="n">
        <f aca="false">IF(BJ45=1,$D$18*MAX(BJ69,0),0)</f>
        <v>4.57522135991752</v>
      </c>
      <c r="BK82" s="48" t="n">
        <f aca="false">IF(BK45=1,$D$18*MAX(BK69,0),0)</f>
        <v>4.80068342098639</v>
      </c>
      <c r="BL82" s="48" t="n">
        <f aca="false">IF(BL45=1,$D$18*MAX(BL69,0),0)</f>
        <v>4.38240363305021</v>
      </c>
      <c r="BM82" s="48" t="n">
        <f aca="false">IF(BM45=1,$D$18*MAX(BM69,0),0)</f>
        <v>4.57522135991752</v>
      </c>
      <c r="BN82" s="48" t="n">
        <f aca="false">IF(BN45=1,$D$18*MAX(BN69,0),0)</f>
        <v>4.80068342098639</v>
      </c>
      <c r="BO82" s="48" t="n">
        <f aca="false">IF(BO45=1,$D$18*MAX(BO69,0),0)</f>
        <v>4.57522135991752</v>
      </c>
      <c r="BP82" s="48" t="n">
        <f aca="false">IF(BP45=1,$D$18*MAX(BP69,0),0)</f>
        <v>4.57522135991752</v>
      </c>
      <c r="BQ82" s="48" t="n">
        <f aca="false">IF(BQ45=1,$D$18*MAX(BQ69,0),0)</f>
        <v>4.80068342098639</v>
      </c>
      <c r="BR82" s="48" t="n">
        <f aca="false">IF(BR45=1,$D$18*MAX(BR69,0),0)</f>
        <v>4.57522135991752</v>
      </c>
      <c r="BS82" s="48" t="n">
        <f aca="false">IF(BS45=1,$D$18*MAX(BS69,0),0)</f>
        <v>4.57522135991752</v>
      </c>
      <c r="BT82" s="48" t="n">
        <f aca="false">IF(BT45=1,$D$18*MAX(BT69,0),0)</f>
        <v>4.80068342098639</v>
      </c>
      <c r="BU82" s="48" t="n">
        <f aca="false">IF(BU45=1,$D$18*MAX(BU69,0),0)</f>
        <v>4.57522135991752</v>
      </c>
      <c r="BV82" s="48" t="n">
        <f aca="false">IF(BV45=1,$D$18*MAX(BV69,0),0)</f>
        <v>4.38240363305021</v>
      </c>
      <c r="BW82" s="48" t="n">
        <f aca="false">IF(BW45=1,$D$18*MAX(BW69,0),0)</f>
        <v>0</v>
      </c>
      <c r="BX82" s="48" t="n">
        <f aca="false">IF(BX45=1,$D$18*MAX(BX69,0),0)</f>
        <v>0</v>
      </c>
    </row>
    <row r="83" customFormat="false" ht="15" hidden="false" customHeight="false" outlineLevel="0" collapsed="false">
      <c r="A83" s="1"/>
      <c r="B83" s="4" t="s">
        <v>344</v>
      </c>
      <c r="C83" s="8" t="s">
        <v>126</v>
      </c>
      <c r="D83" s="44" t="n">
        <f aca="false">SUM(G83:BX83)</f>
        <v>26111.3467811175</v>
      </c>
      <c r="E83" s="1"/>
      <c r="F83" s="1"/>
      <c r="G83" s="44" t="n">
        <f aca="false">G72+G73+G74+G75+G76+G77+G79+G80+G81+G82</f>
        <v>0</v>
      </c>
      <c r="H83" s="44" t="n">
        <f aca="false">H72+H73+H74+H75+H76+H77+H79+H80+H81+H82</f>
        <v>0</v>
      </c>
      <c r="I83" s="44" t="n">
        <f aca="false">I72+I73+I74+I75+I76+I77+I79+I80+I81+I82</f>
        <v>0</v>
      </c>
      <c r="J83" s="44" t="n">
        <f aca="false">J72+J73+J74+J75+J76+J77+J79+J80+J81+J82</f>
        <v>0</v>
      </c>
      <c r="K83" s="44" t="n">
        <f aca="false">K72+K73+K74+K75+K76+K77+K79+K80+K81+K82</f>
        <v>0</v>
      </c>
      <c r="L83" s="44" t="n">
        <f aca="false">L72+L73+L74+L75+L76+L77+L79+L80+L81+L82</f>
        <v>0</v>
      </c>
      <c r="M83" s="44" t="n">
        <f aca="false">M72+M73+M74+M75+M76+M77+M79+M80+M81+M82</f>
        <v>0</v>
      </c>
      <c r="N83" s="44" t="n">
        <f aca="false">N72+N73+N74+N75+N76+N77+N79+N80+N81+N82</f>
        <v>0</v>
      </c>
      <c r="O83" s="44" t="n">
        <f aca="false">O72+O73+O74+O75+O76+O77+O79+O80+O81+O82</f>
        <v>513.208393387653</v>
      </c>
      <c r="P83" s="44" t="n">
        <f aca="false">P72+P73+P74+P75+P76+P77+P79+P80+P81+P82</f>
        <v>506.1190502196</v>
      </c>
      <c r="Q83" s="44" t="n">
        <f aca="false">Q72+Q73+Q74+Q75+Q76+Q77+Q79+Q80+Q81+Q82</f>
        <v>506.11899339533</v>
      </c>
      <c r="R83" s="44" t="n">
        <f aca="false">R72+R73+R74+R75+R76+R77+R79+R80+R81+R82</f>
        <v>439.94187057534</v>
      </c>
      <c r="S83" s="44" t="n">
        <f aca="false">S72+S73+S74+S75+S76+S77+S79+S80+S81+S82</f>
        <v>432.625623686553</v>
      </c>
      <c r="T83" s="44" t="n">
        <f aca="false">T72+T73+T74+T75+T76+T77+T79+T80+T81+T82</f>
        <v>432.628281427403</v>
      </c>
      <c r="U83" s="44" t="n">
        <f aca="false">U72+U73+U74+U75+U76+U77+U79+U80+U81+U82</f>
        <v>439.948739072994</v>
      </c>
      <c r="V83" s="44" t="n">
        <f aca="false">V72+V73+V74+V75+V76+V77+V79+V80+V81+V82</f>
        <v>432.625572602413</v>
      </c>
      <c r="W83" s="44" t="n">
        <f aca="false">W72+W73+W74+W75+W76+W77+W79+W80+W81+W82</f>
        <v>432.629839448355</v>
      </c>
      <c r="X83" s="44" t="n">
        <f aca="false">X72+X73+X74+X75+X76+X77+X79+X80+X81+X82</f>
        <v>427.74953844298</v>
      </c>
      <c r="Y83" s="44" t="n">
        <f aca="false">Y72+Y73+Y74+Y75+Y76+Y77+Y79+Y80+Y81+Y82</f>
        <v>432.634107922857</v>
      </c>
      <c r="Z83" s="44" t="n">
        <f aca="false">Z72+Z73+Z74+Z75+Z76+Z77+Z79+Z80+Z81+Z82</f>
        <v>432.634110080583</v>
      </c>
      <c r="AA83" s="44" t="n">
        <f aca="false">AA72+AA73+AA74+AA75+AA76+AA77+AA79+AA80+AA81+AA82</f>
        <v>439.950302270433</v>
      </c>
      <c r="AB83" s="44" t="n">
        <f aca="false">AB72+AB73+AB74+AB75+AB76+AB77+AB79+AB80+AB81+AB82</f>
        <v>432.636750363277</v>
      </c>
      <c r="AC83" s="44" t="n">
        <f aca="false">AC72+AC73+AC74+AC75+AC76+AC77+AC79+AC80+AC81+AC82</f>
        <v>432.646374685893</v>
      </c>
      <c r="AD83" s="44" t="n">
        <f aca="false">AD72+AD73+AD74+AD75+AD76+AD77+AD79+AD80+AD81+AD82</f>
        <v>439.961477153651</v>
      </c>
      <c r="AE83" s="44" t="n">
        <f aca="false">AE72+AE73+AE74+AE75+AE76+AE77+AE79+AE80+AE81+AE82</f>
        <v>432.631465078116</v>
      </c>
      <c r="AF83" s="44" t="n">
        <f aca="false">AF72+AF73+AF74+AF75+AF76+AF77+AF79+AF80+AF81+AF82</f>
        <v>432.631530035146</v>
      </c>
      <c r="AG83" s="44" t="n">
        <f aca="false">AG72+AG73+AG74+AG75+AG76+AG77+AG79+AG80+AG81+AG82</f>
        <v>439.947785868268</v>
      </c>
      <c r="AH83" s="44" t="n">
        <f aca="false">AH72+AH73+AH74+AH75+AH76+AH77+AH79+AH80+AH81+AH82</f>
        <v>425.306942239276</v>
      </c>
      <c r="AI83" s="44" t="n">
        <f aca="false">AI72+AI73+AI74+AI75+AI76+AI77+AI79+AI80+AI81+AI82</f>
        <v>432.631727265702</v>
      </c>
      <c r="AJ83" s="44" t="n">
        <f aca="false">AJ72+AJ73+AJ74+AJ75+AJ76+AJ77+AJ79+AJ80+AJ81+AJ82</f>
        <v>439.945343382082</v>
      </c>
      <c r="AK83" s="44" t="n">
        <f aca="false">AK72+AK73+AK74+AK75+AK76+AK77+AK79+AK80+AK81+AK82</f>
        <v>432.624955514782</v>
      </c>
      <c r="AL83" s="44" t="n">
        <f aca="false">AL72+AL73+AL74+AL75+AL76+AL77+AL79+AL80+AL81+AL82</f>
        <v>432.620758186115</v>
      </c>
      <c r="AM83" s="44" t="n">
        <f aca="false">AM72+AM73+AM74+AM75+AM76+AM77+AM79+AM80+AM81+AM82</f>
        <v>439.941280442186</v>
      </c>
      <c r="AN83" s="44" t="n">
        <f aca="false">AN72+AN73+AN74+AN75+AN76+AN77+AN79+AN80+AN81+AN82</f>
        <v>432.620893372877</v>
      </c>
      <c r="AO83" s="44" t="n">
        <f aca="false">AO72+AO73+AO74+AO75+AO76+AO77+AO79+AO80+AO81+AO82</f>
        <v>432.620960966257</v>
      </c>
      <c r="AP83" s="44" t="n">
        <f aca="false">AP72+AP73+AP74+AP75+AP76+AP77+AP79+AP80+AP81+AP82</f>
        <v>439.941415628948</v>
      </c>
      <c r="AQ83" s="44" t="n">
        <f aca="false">AQ72+AQ73+AQ74+AQ75+AQ76+AQ77+AQ79+AQ80+AQ81+AQ82</f>
        <v>432.620960966257</v>
      </c>
      <c r="AR83" s="44" t="n">
        <f aca="false">AR72+AR73+AR74+AR75+AR76+AR77+AR79+AR80+AR81+AR82</f>
        <v>425.300506303568</v>
      </c>
      <c r="AS83" s="44" t="n">
        <f aca="false">AS72+AS73+AS74+AS75+AS76+AS77+AS79+AS80+AS81+AS82</f>
        <v>439.941415628948</v>
      </c>
      <c r="AT83" s="44" t="n">
        <f aca="false">AT72+AT73+AT74+AT75+AT76+AT77+AT79+AT80+AT81+AT82</f>
        <v>432.620960966257</v>
      </c>
      <c r="AU83" s="44" t="n">
        <f aca="false">AU72+AU73+AU74+AU75+AU76+AU77+AU79+AU80+AU81+AU82</f>
        <v>432.620960966257</v>
      </c>
      <c r="AV83" s="44" t="n">
        <f aca="false">AV72+AV73+AV74+AV75+AV76+AV77+AV79+AV80+AV81+AV82</f>
        <v>439.941415628948</v>
      </c>
      <c r="AW83" s="44" t="n">
        <f aca="false">AW72+AW73+AW74+AW75+AW76+AW77+AW79+AW80+AW81+AW82</f>
        <v>432.620960966257</v>
      </c>
      <c r="AX83" s="44" t="n">
        <f aca="false">AX72+AX73+AX74+AX75+AX76+AX77+AX79+AX80+AX81+AX82</f>
        <v>432.620960966257</v>
      </c>
      <c r="AY83" s="44" t="n">
        <f aca="false">AY72+AY73+AY74+AY75+AY76+AY77+AY79+AY80+AY81+AY82</f>
        <v>439.941415628948</v>
      </c>
      <c r="AZ83" s="44" t="n">
        <f aca="false">AZ72+AZ73+AZ74+AZ75+AZ76+AZ77+AZ79+AZ80+AZ81+AZ82</f>
        <v>432.620960966257</v>
      </c>
      <c r="BA83" s="44" t="n">
        <f aca="false">BA72+BA73+BA74+BA75+BA76+BA77+BA79+BA80+BA81+BA82</f>
        <v>432.620960966257</v>
      </c>
      <c r="BB83" s="44" t="n">
        <f aca="false">BB72+BB73+BB74+BB75+BB76+BB77+BB79+BB80+BB81+BB82</f>
        <v>427.740657857798</v>
      </c>
      <c r="BC83" s="44" t="n">
        <f aca="false">BC72+BC73+BC74+BC75+BC76+BC77+BC79+BC80+BC81+BC82</f>
        <v>424.674532015887</v>
      </c>
      <c r="BD83" s="44" t="n">
        <f aca="false">BD72+BD73+BD74+BD75+BD76+BD77+BD79+BD80+BD81+BD82</f>
        <v>424.674532015887</v>
      </c>
      <c r="BE83" s="44" t="n">
        <f aca="false">BE72+BE73+BE74+BE75+BE76+BE77+BE79+BE80+BE81+BE82</f>
        <v>431.938189916956</v>
      </c>
      <c r="BF83" s="44" t="n">
        <f aca="false">BF72+BF73+BF74+BF75+BF76+BF77+BF79+BF80+BF81+BF82</f>
        <v>424.674532015887</v>
      </c>
      <c r="BG83" s="44" t="n">
        <f aca="false">BG72+BG73+BG74+BG75+BG76+BG77+BG79+BG80+BG81+BG82</f>
        <v>424.674532015887</v>
      </c>
      <c r="BH83" s="44" t="n">
        <f aca="false">BH72+BH73+BH74+BH75+BH76+BH77+BH79+BH80+BH81+BH82</f>
        <v>431.938189916956</v>
      </c>
      <c r="BI83" s="44" t="n">
        <f aca="false">BI72+BI73+BI74+BI75+BI76+BI77+BI79+BI80+BI81+BI82</f>
        <v>424.674532015887</v>
      </c>
      <c r="BJ83" s="44" t="n">
        <f aca="false">BJ72+BJ73+BJ74+BJ75+BJ76+BJ77+BJ79+BJ80+BJ81+BJ82</f>
        <v>424.674532015887</v>
      </c>
      <c r="BK83" s="44" t="n">
        <f aca="false">BK72+BK73+BK74+BK75+BK76+BK77+BK79+BK80+BK81+BK82</f>
        <v>431.938189916956</v>
      </c>
      <c r="BL83" s="44" t="n">
        <f aca="false">BL72+BL73+BL74+BL75+BL76+BL77+BL79+BL80+BL81+BL82</f>
        <v>417.443518449019</v>
      </c>
      <c r="BM83" s="44" t="n">
        <f aca="false">BM72+BM73+BM74+BM75+BM76+BM77+BM79+BM80+BM81+BM82</f>
        <v>424.674532015887</v>
      </c>
      <c r="BN83" s="44" t="n">
        <f aca="false">BN72+BN73+BN74+BN75+BN76+BN77+BN79+BN80+BN81+BN82</f>
        <v>431.938189916956</v>
      </c>
      <c r="BO83" s="44" t="n">
        <f aca="false">BO72+BO73+BO74+BO75+BO76+BO77+BO79+BO80+BO81+BO82</f>
        <v>424.674532015887</v>
      </c>
      <c r="BP83" s="44" t="n">
        <f aca="false">BP72+BP73+BP74+BP75+BP76+BP77+BP79+BP80+BP81+BP82</f>
        <v>424.674532015887</v>
      </c>
      <c r="BQ83" s="44" t="n">
        <f aca="false">BQ72+BQ73+BQ74+BQ75+BQ76+BQ77+BQ79+BQ80+BQ81+BQ82</f>
        <v>431.938189916956</v>
      </c>
      <c r="BR83" s="44" t="n">
        <f aca="false">BR72+BR73+BR74+BR75+BR76+BR77+BR79+BR80+BR81+BR82</f>
        <v>424.674532015887</v>
      </c>
      <c r="BS83" s="44" t="n">
        <f aca="false">BS72+BS73+BS74+BS75+BS76+BS77+BS79+BS80+BS81+BS82</f>
        <v>424.674532015887</v>
      </c>
      <c r="BT83" s="44" t="n">
        <f aca="false">BT72+BT73+BT74+BT75+BT76+BT77+BT79+BT80+BT81+BT82</f>
        <v>431.938189916956</v>
      </c>
      <c r="BU83" s="44" t="n">
        <f aca="false">BU72+BU73+BU74+BU75+BU76+BU77+BU79+BU80+BU81+BU82</f>
        <v>424.674532015887</v>
      </c>
      <c r="BV83" s="44" t="n">
        <f aca="false">BV72+BV73+BV74+BV75+BV76+BV77+BV79+BV80+BV81+BV82</f>
        <v>417.443518449019</v>
      </c>
      <c r="BW83" s="44" t="n">
        <f aca="false">BW72+BW73+BW74+BW75+BW76+BW77+BW79+BW80+BW81+BW82</f>
        <v>0</v>
      </c>
      <c r="BX83" s="44" t="n">
        <f aca="false">BX72+BX73+BX74+BX75+BX76+BX77+BX79+BX80+BX81+BX82</f>
        <v>0</v>
      </c>
    </row>
    <row r="84" customFormat="false" ht="15" hidden="false" customHeight="false" outlineLevel="0" collapsed="false">
      <c r="A84" s="1"/>
      <c r="B84" s="4" t="s">
        <v>345</v>
      </c>
      <c r="C84" s="8" t="s">
        <v>126</v>
      </c>
      <c r="D84" s="44" t="n">
        <f aca="false">SUM(G84:BX84)</f>
        <v>45470.5775544482</v>
      </c>
      <c r="E84" s="1"/>
      <c r="F84" s="1"/>
      <c r="G84" s="44" t="n">
        <f aca="false">G69-G83</f>
        <v>0</v>
      </c>
      <c r="H84" s="44" t="n">
        <f aca="false">H69-H83</f>
        <v>0</v>
      </c>
      <c r="I84" s="44" t="n">
        <f aca="false">I69-I83</f>
        <v>0</v>
      </c>
      <c r="J84" s="44" t="n">
        <f aca="false">J69-J83</f>
        <v>0</v>
      </c>
      <c r="K84" s="44" t="n">
        <f aca="false">K69-K83</f>
        <v>0</v>
      </c>
      <c r="L84" s="44" t="n">
        <f aca="false">L69-L83</f>
        <v>0</v>
      </c>
      <c r="M84" s="44" t="n">
        <f aca="false">M69-M83</f>
        <v>0</v>
      </c>
      <c r="N84" s="44" t="n">
        <f aca="false">N69-N83</f>
        <v>0</v>
      </c>
      <c r="O84" s="44" t="n">
        <f aca="false">O69-O83</f>
        <v>818.756885619919</v>
      </c>
      <c r="P84" s="44" t="n">
        <f aca="false">P69-P83</f>
        <v>771.133987781491</v>
      </c>
      <c r="Q84" s="44" t="n">
        <f aca="false">Q69-Q83</f>
        <v>771.122679751682</v>
      </c>
      <c r="R84" s="44" t="n">
        <f aca="false">R69-R83</f>
        <v>934.512644068694</v>
      </c>
      <c r="S84" s="44" t="n">
        <f aca="false">S69-S83</f>
        <v>885.370125940881</v>
      </c>
      <c r="T84" s="44" t="n">
        <f aca="false">T69-T83</f>
        <v>885.35843391791</v>
      </c>
      <c r="U84" s="44" t="n">
        <f aca="false">U69-U83</f>
        <v>934.490337390499</v>
      </c>
      <c r="V84" s="44" t="n">
        <f aca="false">V69-V83</f>
        <v>885.359960197103</v>
      </c>
      <c r="W84" s="44" t="n">
        <f aca="false">W69-W83</f>
        <v>885.360507280327</v>
      </c>
      <c r="X84" s="44" t="n">
        <f aca="false">X69-X83</f>
        <v>852.606719210678</v>
      </c>
      <c r="Y84" s="44" t="n">
        <f aca="false">Y69-Y83</f>
        <v>885.361378447076</v>
      </c>
      <c r="Z84" s="44" t="n">
        <f aca="false">Z69-Z83</f>
        <v>885.361807834568</v>
      </c>
      <c r="AA84" s="44" t="n">
        <f aca="false">AA69-AA83</f>
        <v>934.49344087393</v>
      </c>
      <c r="AB84" s="44" t="n">
        <f aca="false">AB69-AB83</f>
        <v>885.361841070417</v>
      </c>
      <c r="AC84" s="44" t="n">
        <f aca="false">AC69-AC83</f>
        <v>885.362560539349</v>
      </c>
      <c r="AD84" s="44" t="n">
        <f aca="false">AD69-AD83</f>
        <v>934.494749095647</v>
      </c>
      <c r="AE84" s="44" t="n">
        <f aca="false">AE69-AE83</f>
        <v>885.37603479588</v>
      </c>
      <c r="AF84" s="44" t="n">
        <f aca="false">AF69-AF83</f>
        <v>885.388961244892</v>
      </c>
      <c r="AG84" s="44" t="n">
        <f aca="false">AG69-AG83</f>
        <v>934.533259295239</v>
      </c>
      <c r="AH84" s="44" t="n">
        <f aca="false">AH69-AH83</f>
        <v>836.28371312578</v>
      </c>
      <c r="AI84" s="44" t="n">
        <f aca="false">AI69-AI83</f>
        <v>885.428210125356</v>
      </c>
      <c r="AJ84" s="44" t="n">
        <f aca="false">AJ69-AJ83</f>
        <v>934.572587564444</v>
      </c>
      <c r="AK84" s="44" t="n">
        <f aca="false">AK69-AK83</f>
        <v>885.454569971776</v>
      </c>
      <c r="AL84" s="44" t="n">
        <f aca="false">AL69-AL83</f>
        <v>885.467856826332</v>
      </c>
      <c r="AM84" s="44" t="n">
        <f aca="false">AM69-AM83</f>
        <v>934.612617784396</v>
      </c>
      <c r="AN84" s="44" t="n">
        <f aca="false">AN69-AN83</f>
        <v>885.49475899184</v>
      </c>
      <c r="AO84" s="44" t="n">
        <f aca="false">AO69-AO83</f>
        <v>885.508210074594</v>
      </c>
      <c r="AP84" s="44" t="n">
        <f aca="false">AP69-AP83</f>
        <v>934.639519949904</v>
      </c>
      <c r="AQ84" s="44" t="n">
        <f aca="false">AQ69-AQ83</f>
        <v>885.508210074594</v>
      </c>
      <c r="AR84" s="44" t="n">
        <f aca="false">AR69-AR83</f>
        <v>836.376900199284</v>
      </c>
      <c r="AS84" s="44" t="n">
        <f aca="false">AS69-AS83</f>
        <v>934.639519949904</v>
      </c>
      <c r="AT84" s="44" t="n">
        <f aca="false">AT69-AT83</f>
        <v>885.508210074594</v>
      </c>
      <c r="AU84" s="44" t="n">
        <f aca="false">AU69-AU83</f>
        <v>885.508210074594</v>
      </c>
      <c r="AV84" s="44" t="n">
        <f aca="false">AV69-AV83</f>
        <v>934.639519949904</v>
      </c>
      <c r="AW84" s="44" t="n">
        <f aca="false">AW69-AW83</f>
        <v>885.508210074594</v>
      </c>
      <c r="AX84" s="44" t="n">
        <f aca="false">AX69-AX83</f>
        <v>885.508210074594</v>
      </c>
      <c r="AY84" s="44" t="n">
        <f aca="false">AY69-AY83</f>
        <v>934.639519949904</v>
      </c>
      <c r="AZ84" s="44" t="n">
        <f aca="false">AZ69-AZ83</f>
        <v>885.508210074594</v>
      </c>
      <c r="BA84" s="44" t="n">
        <f aca="false">BA69-BA83</f>
        <v>885.508210074594</v>
      </c>
      <c r="BB84" s="44" t="n">
        <f aca="false">BB69-BB83</f>
        <v>852.754003491054</v>
      </c>
      <c r="BC84" s="44" t="n">
        <f aca="false">BC69-BC83</f>
        <v>490.369739967617</v>
      </c>
      <c r="BD84" s="44" t="n">
        <f aca="false">BD69-BD83</f>
        <v>490.369739967617</v>
      </c>
      <c r="BE84" s="44" t="n">
        <f aca="false">BE69-BE83</f>
        <v>528.198494280322</v>
      </c>
      <c r="BF84" s="44" t="n">
        <f aca="false">BF69-BF83</f>
        <v>490.369739967617</v>
      </c>
      <c r="BG84" s="44" t="n">
        <f aca="false">BG69-BG83</f>
        <v>490.369739967617</v>
      </c>
      <c r="BH84" s="44" t="n">
        <f aca="false">BH69-BH83</f>
        <v>528.198494280322</v>
      </c>
      <c r="BI84" s="44" t="n">
        <f aca="false">BI69-BI83</f>
        <v>490.369739967617</v>
      </c>
      <c r="BJ84" s="44" t="n">
        <f aca="false">BJ69-BJ83</f>
        <v>490.369739967617</v>
      </c>
      <c r="BK84" s="44" t="n">
        <f aca="false">BK69-BK83</f>
        <v>528.198494280322</v>
      </c>
      <c r="BL84" s="44" t="n">
        <f aca="false">BL69-BL83</f>
        <v>459.037208161022</v>
      </c>
      <c r="BM84" s="44" t="n">
        <f aca="false">BM69-BM83</f>
        <v>490.369739967617</v>
      </c>
      <c r="BN84" s="44" t="n">
        <f aca="false">BN69-BN83</f>
        <v>528.198494280322</v>
      </c>
      <c r="BO84" s="44" t="n">
        <f aca="false">BO69-BO83</f>
        <v>490.369739967617</v>
      </c>
      <c r="BP84" s="44" t="n">
        <f aca="false">BP69-BP83</f>
        <v>490.369739967617</v>
      </c>
      <c r="BQ84" s="44" t="n">
        <f aca="false">BQ69-BQ83</f>
        <v>528.198494280322</v>
      </c>
      <c r="BR84" s="44" t="n">
        <f aca="false">BR69-BR83</f>
        <v>490.369739967617</v>
      </c>
      <c r="BS84" s="44" t="n">
        <f aca="false">BS69-BS83</f>
        <v>490.369739967617</v>
      </c>
      <c r="BT84" s="44" t="n">
        <f aca="false">BT69-BT83</f>
        <v>528.198494280322</v>
      </c>
      <c r="BU84" s="44" t="n">
        <f aca="false">BU69-BU83</f>
        <v>490.369739967617</v>
      </c>
      <c r="BV84" s="44" t="n">
        <f aca="false">BV69-BV83</f>
        <v>459.037208161022</v>
      </c>
      <c r="BW84" s="44" t="n">
        <f aca="false">BW69-BW83</f>
        <v>0</v>
      </c>
      <c r="BX84" s="44" t="n">
        <f aca="false">BX69-BX83</f>
        <v>0</v>
      </c>
    </row>
    <row r="85" customFormat="false" ht="15" hidden="false" customHeight="false" outlineLevel="0" collapsed="false">
      <c r="A85" s="1"/>
      <c r="B85" s="8" t="s">
        <v>346</v>
      </c>
      <c r="C85" s="8" t="s">
        <v>126</v>
      </c>
      <c r="D85" s="44" t="n">
        <f aca="false">SUM(G85:BX85)</f>
        <v>0</v>
      </c>
      <c r="E85" s="1"/>
      <c r="F85" s="1"/>
      <c r="G85" s="48" t="n">
        <f aca="false">0</f>
        <v>0</v>
      </c>
      <c r="H85" s="48" t="n">
        <f aca="false">0</f>
        <v>0</v>
      </c>
      <c r="I85" s="48" t="n">
        <f aca="false">0</f>
        <v>0</v>
      </c>
      <c r="J85" s="48" t="n">
        <f aca="false">0</f>
        <v>0</v>
      </c>
      <c r="K85" s="48" t="n">
        <f aca="false">0</f>
        <v>0</v>
      </c>
      <c r="L85" s="48" t="n">
        <f aca="false">0</f>
        <v>0</v>
      </c>
      <c r="M85" s="48" t="n">
        <f aca="false">0</f>
        <v>0</v>
      </c>
      <c r="N85" s="48" t="n">
        <f aca="false">0</f>
        <v>0</v>
      </c>
      <c r="O85" s="48" t="n">
        <f aca="false">0</f>
        <v>0</v>
      </c>
      <c r="P85" s="48" t="n">
        <f aca="false">0</f>
        <v>0</v>
      </c>
      <c r="Q85" s="48" t="n">
        <f aca="false">0</f>
        <v>0</v>
      </c>
      <c r="R85" s="48" t="n">
        <f aca="false">0</f>
        <v>0</v>
      </c>
      <c r="S85" s="48" t="n">
        <f aca="false">0</f>
        <v>0</v>
      </c>
      <c r="T85" s="48" t="n">
        <f aca="false">0</f>
        <v>0</v>
      </c>
      <c r="U85" s="48" t="n">
        <f aca="false">0</f>
        <v>0</v>
      </c>
      <c r="V85" s="48" t="n">
        <f aca="false">0</f>
        <v>0</v>
      </c>
      <c r="W85" s="48" t="n">
        <f aca="false">0</f>
        <v>0</v>
      </c>
      <c r="X85" s="48" t="n">
        <f aca="false">0</f>
        <v>0</v>
      </c>
      <c r="Y85" s="48" t="n">
        <f aca="false">0</f>
        <v>0</v>
      </c>
      <c r="Z85" s="48" t="n">
        <f aca="false">0</f>
        <v>0</v>
      </c>
      <c r="AA85" s="48" t="n">
        <f aca="false">0</f>
        <v>0</v>
      </c>
      <c r="AB85" s="48" t="n">
        <f aca="false">0</f>
        <v>0</v>
      </c>
      <c r="AC85" s="48" t="n">
        <f aca="false">0</f>
        <v>0</v>
      </c>
      <c r="AD85" s="48" t="n">
        <f aca="false">0</f>
        <v>0</v>
      </c>
      <c r="AE85" s="48" t="n">
        <f aca="false">0</f>
        <v>0</v>
      </c>
      <c r="AF85" s="48" t="n">
        <f aca="false">0</f>
        <v>0</v>
      </c>
      <c r="AG85" s="48" t="n">
        <f aca="false">0</f>
        <v>0</v>
      </c>
      <c r="AH85" s="48" t="n">
        <f aca="false">0</f>
        <v>0</v>
      </c>
      <c r="AI85" s="48" t="n">
        <f aca="false">0</f>
        <v>0</v>
      </c>
      <c r="AJ85" s="48" t="n">
        <f aca="false">0</f>
        <v>0</v>
      </c>
      <c r="AK85" s="48" t="n">
        <f aca="false">0</f>
        <v>0</v>
      </c>
      <c r="AL85" s="48" t="n">
        <f aca="false">0</f>
        <v>0</v>
      </c>
      <c r="AM85" s="48" t="n">
        <f aca="false">0</f>
        <v>0</v>
      </c>
      <c r="AN85" s="48" t="n">
        <f aca="false">0</f>
        <v>0</v>
      </c>
      <c r="AO85" s="48" t="n">
        <f aca="false">0</f>
        <v>0</v>
      </c>
      <c r="AP85" s="48" t="n">
        <f aca="false">0</f>
        <v>0</v>
      </c>
      <c r="AQ85" s="48" t="n">
        <f aca="false">0</f>
        <v>0</v>
      </c>
      <c r="AR85" s="48" t="n">
        <f aca="false">0</f>
        <v>0</v>
      </c>
      <c r="AS85" s="48" t="n">
        <f aca="false">0</f>
        <v>0</v>
      </c>
      <c r="AT85" s="48" t="n">
        <f aca="false">0</f>
        <v>0</v>
      </c>
      <c r="AU85" s="48" t="n">
        <f aca="false">0</f>
        <v>0</v>
      </c>
      <c r="AV85" s="48" t="n">
        <f aca="false">0</f>
        <v>0</v>
      </c>
      <c r="AW85" s="48" t="n">
        <f aca="false">0</f>
        <v>0</v>
      </c>
      <c r="AX85" s="48" t="n">
        <f aca="false">0</f>
        <v>0</v>
      </c>
      <c r="AY85" s="48" t="n">
        <f aca="false">0</f>
        <v>0</v>
      </c>
      <c r="AZ85" s="48" t="n">
        <f aca="false">0</f>
        <v>0</v>
      </c>
      <c r="BA85" s="48" t="n">
        <f aca="false">0</f>
        <v>0</v>
      </c>
      <c r="BB85" s="48" t="n">
        <f aca="false">0</f>
        <v>0</v>
      </c>
      <c r="BC85" s="48" t="n">
        <f aca="false">0</f>
        <v>0</v>
      </c>
      <c r="BD85" s="48" t="n">
        <f aca="false">0</f>
        <v>0</v>
      </c>
      <c r="BE85" s="48" t="n">
        <f aca="false">0</f>
        <v>0</v>
      </c>
      <c r="BF85" s="48" t="n">
        <f aca="false">0</f>
        <v>0</v>
      </c>
      <c r="BG85" s="48" t="n">
        <f aca="false">0</f>
        <v>0</v>
      </c>
      <c r="BH85" s="48" t="n">
        <f aca="false">0</f>
        <v>0</v>
      </c>
      <c r="BI85" s="48" t="n">
        <f aca="false">0</f>
        <v>0</v>
      </c>
      <c r="BJ85" s="48" t="n">
        <f aca="false">0</f>
        <v>0</v>
      </c>
      <c r="BK85" s="48" t="n">
        <f aca="false">0</f>
        <v>0</v>
      </c>
      <c r="BL85" s="48" t="n">
        <f aca="false">0</f>
        <v>0</v>
      </c>
      <c r="BM85" s="48" t="n">
        <f aca="false">0</f>
        <v>0</v>
      </c>
      <c r="BN85" s="48" t="n">
        <f aca="false">0</f>
        <v>0</v>
      </c>
      <c r="BO85" s="48" t="n">
        <f aca="false">0</f>
        <v>0</v>
      </c>
      <c r="BP85" s="48" t="n">
        <f aca="false">0</f>
        <v>0</v>
      </c>
      <c r="BQ85" s="48" t="n">
        <f aca="false">0</f>
        <v>0</v>
      </c>
      <c r="BR85" s="48" t="n">
        <f aca="false">0</f>
        <v>0</v>
      </c>
      <c r="BS85" s="48" t="n">
        <f aca="false">0</f>
        <v>0</v>
      </c>
      <c r="BT85" s="48" t="n">
        <f aca="false">0</f>
        <v>0</v>
      </c>
      <c r="BU85" s="48" t="n">
        <f aca="false">0</f>
        <v>0</v>
      </c>
      <c r="BV85" s="48" t="n">
        <f aca="false">0</f>
        <v>0</v>
      </c>
      <c r="BW85" s="48" t="n">
        <f aca="false">0</f>
        <v>0</v>
      </c>
      <c r="BX85" s="48" t="n">
        <f aca="false">0</f>
        <v>0</v>
      </c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</row>
    <row r="87" customFormat="false" ht="15" hidden="false" customHeight="false" outlineLevel="0" collapsed="false">
      <c r="A87" s="1"/>
      <c r="B87" s="13" t="s">
        <v>347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</row>
    <row r="88" customFormat="false" ht="15" hidden="false" customHeight="false" outlineLevel="0" collapsed="false">
      <c r="A88" s="1"/>
      <c r="B88" s="8" t="s">
        <v>348</v>
      </c>
      <c r="C88" s="8" t="s">
        <v>126</v>
      </c>
      <c r="D88" s="44" t="n">
        <f aca="false">SUM(G88:BX88)</f>
        <v>2515</v>
      </c>
      <c r="E88" s="1"/>
      <c r="F88" s="1"/>
      <c r="G88" s="48" t="n">
        <f aca="false">IF(AND(G45=1,G46&lt;=ROUNDUP(1/Input!$H$142,0)),MIN($D$55*Input!$H$76*Input!$H$142,MAX($D$55*Input!$H$76-$D$55*Input!$H$76*Input!$H$142*(G46-1),0)),0)</f>
        <v>0</v>
      </c>
      <c r="H88" s="48" t="n">
        <f aca="false">IF(AND(H45=1,H46&lt;=ROUNDUP(1/Input!$H$142,0)),MIN($D$55*Input!$H$76*Input!$H$142,MAX($D$55*Input!$H$76-$D$55*Input!$H$76*Input!$H$142*(H46-1),0)),0)</f>
        <v>0</v>
      </c>
      <c r="I88" s="48" t="n">
        <f aca="false">IF(AND(I45=1,I46&lt;=ROUNDUP(1/Input!$H$142,0)),MIN($D$55*Input!$H$76*Input!$H$142,MAX($D$55*Input!$H$76-$D$55*Input!$H$76*Input!$H$142*(I46-1),0)),0)</f>
        <v>0</v>
      </c>
      <c r="J88" s="48" t="n">
        <f aca="false">IF(AND(J45=1,J46&lt;=ROUNDUP(1/Input!$H$142,0)),MIN($D$55*Input!$H$76*Input!$H$142,MAX($D$55*Input!$H$76-$D$55*Input!$H$76*Input!$H$142*(J46-1),0)),0)</f>
        <v>0</v>
      </c>
      <c r="K88" s="48" t="n">
        <f aca="false">IF(AND(K45=1,K46&lt;=ROUNDUP(1/Input!$H$142,0)),MIN($D$55*Input!$H$76*Input!$H$142,MAX($D$55*Input!$H$76-$D$55*Input!$H$76*Input!$H$142*(K46-1),0)),0)</f>
        <v>0</v>
      </c>
      <c r="L88" s="48" t="n">
        <f aca="false">IF(AND(L45=1,L46&lt;=ROUNDUP(1/Input!$H$142,0)),MIN($D$55*Input!$H$76*Input!$H$142,MAX($D$55*Input!$H$76-$D$55*Input!$H$76*Input!$H$142*(L46-1),0)),0)</f>
        <v>0</v>
      </c>
      <c r="M88" s="48" t="n">
        <f aca="false">IF(AND(M45=1,M46&lt;=ROUNDUP(1/Input!$H$142,0)),MIN($D$55*Input!$H$76*Input!$H$142,MAX($D$55*Input!$H$76-$D$55*Input!$H$76*Input!$H$142*(M46-1),0)),0)</f>
        <v>0</v>
      </c>
      <c r="N88" s="48" t="n">
        <f aca="false">IF(AND(N45=1,N46&lt;=ROUNDUP(1/Input!$H$142,0)),MIN($D$55*Input!$H$76*Input!$H$142,MAX($D$55*Input!$H$76-$D$55*Input!$H$76*Input!$H$142*(N46-1),0)),0)</f>
        <v>0</v>
      </c>
      <c r="O88" s="48" t="n">
        <f aca="false">IF(AND(O45=1,O46&lt;=ROUNDUP(1/Input!$H$142,0)),MIN($D$55*Input!$H$76*Input!$H$142,MAX($D$55*Input!$H$76-$D$55*Input!$H$76*Input!$H$142*(O46-1),0)),0)</f>
        <v>62.875</v>
      </c>
      <c r="P88" s="48" t="n">
        <f aca="false">IF(AND(P45=1,P46&lt;=ROUNDUP(1/Input!$H$142,0)),MIN($D$55*Input!$H$76*Input!$H$142,MAX($D$55*Input!$H$76-$D$55*Input!$H$76*Input!$H$142*(P46-1),0)),0)</f>
        <v>62.875</v>
      </c>
      <c r="Q88" s="48" t="n">
        <f aca="false">IF(AND(Q45=1,Q46&lt;=ROUNDUP(1/Input!$H$142,0)),MIN($D$55*Input!$H$76*Input!$H$142,MAX($D$55*Input!$H$76-$D$55*Input!$H$76*Input!$H$142*(Q46-1),0)),0)</f>
        <v>62.875</v>
      </c>
      <c r="R88" s="48" t="n">
        <f aca="false">IF(AND(R45=1,R46&lt;=ROUNDUP(1/Input!$H$142,0)),MIN($D$55*Input!$H$76*Input!$H$142,MAX($D$55*Input!$H$76-$D$55*Input!$H$76*Input!$H$142*(R46-1),0)),0)</f>
        <v>62.875</v>
      </c>
      <c r="S88" s="48" t="n">
        <f aca="false">IF(AND(S45=1,S46&lt;=ROUNDUP(1/Input!$H$142,0)),MIN($D$55*Input!$H$76*Input!$H$142,MAX($D$55*Input!$H$76-$D$55*Input!$H$76*Input!$H$142*(S46-1),0)),0)</f>
        <v>62.875</v>
      </c>
      <c r="T88" s="48" t="n">
        <f aca="false">IF(AND(T45=1,T46&lt;=ROUNDUP(1/Input!$H$142,0)),MIN($D$55*Input!$H$76*Input!$H$142,MAX($D$55*Input!$H$76-$D$55*Input!$H$76*Input!$H$142*(T46-1),0)),0)</f>
        <v>62.875</v>
      </c>
      <c r="U88" s="48" t="n">
        <f aca="false">IF(AND(U45=1,U46&lt;=ROUNDUP(1/Input!$H$142,0)),MIN($D$55*Input!$H$76*Input!$H$142,MAX($D$55*Input!$H$76-$D$55*Input!$H$76*Input!$H$142*(U46-1),0)),0)</f>
        <v>62.875</v>
      </c>
      <c r="V88" s="48" t="n">
        <f aca="false">IF(AND(V45=1,V46&lt;=ROUNDUP(1/Input!$H$142,0)),MIN($D$55*Input!$H$76*Input!$H$142,MAX($D$55*Input!$H$76-$D$55*Input!$H$76*Input!$H$142*(V46-1),0)),0)</f>
        <v>62.875</v>
      </c>
      <c r="W88" s="48" t="n">
        <f aca="false">IF(AND(W45=1,W46&lt;=ROUNDUP(1/Input!$H$142,0)),MIN($D$55*Input!$H$76*Input!$H$142,MAX($D$55*Input!$H$76-$D$55*Input!$H$76*Input!$H$142*(W46-1),0)),0)</f>
        <v>62.875</v>
      </c>
      <c r="X88" s="48" t="n">
        <f aca="false">IF(AND(X45=1,X46&lt;=ROUNDUP(1/Input!$H$142,0)),MIN($D$55*Input!$H$76*Input!$H$142,MAX($D$55*Input!$H$76-$D$55*Input!$H$76*Input!$H$142*(X46-1),0)),0)</f>
        <v>62.875</v>
      </c>
      <c r="Y88" s="48" t="n">
        <f aca="false">IF(AND(Y45=1,Y46&lt;=ROUNDUP(1/Input!$H$142,0)),MIN($D$55*Input!$H$76*Input!$H$142,MAX($D$55*Input!$H$76-$D$55*Input!$H$76*Input!$H$142*(Y46-1),0)),0)</f>
        <v>62.875</v>
      </c>
      <c r="Z88" s="48" t="n">
        <f aca="false">IF(AND(Z45=1,Z46&lt;=ROUNDUP(1/Input!$H$142,0)),MIN($D$55*Input!$H$76*Input!$H$142,MAX($D$55*Input!$H$76-$D$55*Input!$H$76*Input!$H$142*(Z46-1),0)),0)</f>
        <v>62.875</v>
      </c>
      <c r="AA88" s="48" t="n">
        <f aca="false">IF(AND(AA45=1,AA46&lt;=ROUNDUP(1/Input!$H$142,0)),MIN($D$55*Input!$H$76*Input!$H$142,MAX($D$55*Input!$H$76-$D$55*Input!$H$76*Input!$H$142*(AA46-1),0)),0)</f>
        <v>62.875</v>
      </c>
      <c r="AB88" s="48" t="n">
        <f aca="false">IF(AND(AB45=1,AB46&lt;=ROUNDUP(1/Input!$H$142,0)),MIN($D$55*Input!$H$76*Input!$H$142,MAX($D$55*Input!$H$76-$D$55*Input!$H$76*Input!$H$142*(AB46-1),0)),0)</f>
        <v>62.875</v>
      </c>
      <c r="AC88" s="48" t="n">
        <f aca="false">IF(AND(AC45=1,AC46&lt;=ROUNDUP(1/Input!$H$142,0)),MIN($D$55*Input!$H$76*Input!$H$142,MAX($D$55*Input!$H$76-$D$55*Input!$H$76*Input!$H$142*(AC46-1),0)),0)</f>
        <v>62.875</v>
      </c>
      <c r="AD88" s="48" t="n">
        <f aca="false">IF(AND(AD45=1,AD46&lt;=ROUNDUP(1/Input!$H$142,0)),MIN($D$55*Input!$H$76*Input!$H$142,MAX($D$55*Input!$H$76-$D$55*Input!$H$76*Input!$H$142*(AD46-1),0)),0)</f>
        <v>62.875</v>
      </c>
      <c r="AE88" s="48" t="n">
        <f aca="false">IF(AND(AE45=1,AE46&lt;=ROUNDUP(1/Input!$H$142,0)),MIN($D$55*Input!$H$76*Input!$H$142,MAX($D$55*Input!$H$76-$D$55*Input!$H$76*Input!$H$142*(AE46-1),0)),0)</f>
        <v>62.875</v>
      </c>
      <c r="AF88" s="48" t="n">
        <f aca="false">IF(AND(AF45=1,AF46&lt;=ROUNDUP(1/Input!$H$142,0)),MIN($D$55*Input!$H$76*Input!$H$142,MAX($D$55*Input!$H$76-$D$55*Input!$H$76*Input!$H$142*(AF46-1),0)),0)</f>
        <v>62.875</v>
      </c>
      <c r="AG88" s="48" t="n">
        <f aca="false">IF(AND(AG45=1,AG46&lt;=ROUNDUP(1/Input!$H$142,0)),MIN($D$55*Input!$H$76*Input!$H$142,MAX($D$55*Input!$H$76-$D$55*Input!$H$76*Input!$H$142*(AG46-1),0)),0)</f>
        <v>62.875</v>
      </c>
      <c r="AH88" s="48" t="n">
        <f aca="false">IF(AND(AH45=1,AH46&lt;=ROUNDUP(1/Input!$H$142,0)),MIN($D$55*Input!$H$76*Input!$H$142,MAX($D$55*Input!$H$76-$D$55*Input!$H$76*Input!$H$142*(AH46-1),0)),0)</f>
        <v>62.875</v>
      </c>
      <c r="AI88" s="48" t="n">
        <f aca="false">IF(AND(AI45=1,AI46&lt;=ROUNDUP(1/Input!$H$142,0)),MIN($D$55*Input!$H$76*Input!$H$142,MAX($D$55*Input!$H$76-$D$55*Input!$H$76*Input!$H$142*(AI46-1),0)),0)</f>
        <v>62.875</v>
      </c>
      <c r="AJ88" s="48" t="n">
        <f aca="false">IF(AND(AJ45=1,AJ46&lt;=ROUNDUP(1/Input!$H$142,0)),MIN($D$55*Input!$H$76*Input!$H$142,MAX($D$55*Input!$H$76-$D$55*Input!$H$76*Input!$H$142*(AJ46-1),0)),0)</f>
        <v>62.875</v>
      </c>
      <c r="AK88" s="48" t="n">
        <f aca="false">IF(AND(AK45=1,AK46&lt;=ROUNDUP(1/Input!$H$142,0)),MIN($D$55*Input!$H$76*Input!$H$142,MAX($D$55*Input!$H$76-$D$55*Input!$H$76*Input!$H$142*(AK46-1),0)),0)</f>
        <v>62.875</v>
      </c>
      <c r="AL88" s="48" t="n">
        <f aca="false">IF(AND(AL45=1,AL46&lt;=ROUNDUP(1/Input!$H$142,0)),MIN($D$55*Input!$H$76*Input!$H$142,MAX($D$55*Input!$H$76-$D$55*Input!$H$76*Input!$H$142*(AL46-1),0)),0)</f>
        <v>62.875</v>
      </c>
      <c r="AM88" s="48" t="n">
        <f aca="false">IF(AND(AM45=1,AM46&lt;=ROUNDUP(1/Input!$H$142,0)),MIN($D$55*Input!$H$76*Input!$H$142,MAX($D$55*Input!$H$76-$D$55*Input!$H$76*Input!$H$142*(AM46-1),0)),0)</f>
        <v>62.875</v>
      </c>
      <c r="AN88" s="48" t="n">
        <f aca="false">IF(AND(AN45=1,AN46&lt;=ROUNDUP(1/Input!$H$142,0)),MIN($D$55*Input!$H$76*Input!$H$142,MAX($D$55*Input!$H$76-$D$55*Input!$H$76*Input!$H$142*(AN46-1),0)),0)</f>
        <v>62.875</v>
      </c>
      <c r="AO88" s="48" t="n">
        <f aca="false">IF(AND(AO45=1,AO46&lt;=ROUNDUP(1/Input!$H$142,0)),MIN($D$55*Input!$H$76*Input!$H$142,MAX($D$55*Input!$H$76-$D$55*Input!$H$76*Input!$H$142*(AO46-1),0)),0)</f>
        <v>62.875</v>
      </c>
      <c r="AP88" s="48" t="n">
        <f aca="false">IF(AND(AP45=1,AP46&lt;=ROUNDUP(1/Input!$H$142,0)),MIN($D$55*Input!$H$76*Input!$H$142,MAX($D$55*Input!$H$76-$D$55*Input!$H$76*Input!$H$142*(AP46-1),0)),0)</f>
        <v>62.875</v>
      </c>
      <c r="AQ88" s="48" t="n">
        <f aca="false">IF(AND(AQ45=1,AQ46&lt;=ROUNDUP(1/Input!$H$142,0)),MIN($D$55*Input!$H$76*Input!$H$142,MAX($D$55*Input!$H$76-$D$55*Input!$H$76*Input!$H$142*(AQ46-1),0)),0)</f>
        <v>62.875</v>
      </c>
      <c r="AR88" s="48" t="n">
        <f aca="false">IF(AND(AR45=1,AR46&lt;=ROUNDUP(1/Input!$H$142,0)),MIN($D$55*Input!$H$76*Input!$H$142,MAX($D$55*Input!$H$76-$D$55*Input!$H$76*Input!$H$142*(AR46-1),0)),0)</f>
        <v>62.875</v>
      </c>
      <c r="AS88" s="48" t="n">
        <f aca="false">IF(AND(AS45=1,AS46&lt;=ROUNDUP(1/Input!$H$142,0)),MIN($D$55*Input!$H$76*Input!$H$142,MAX($D$55*Input!$H$76-$D$55*Input!$H$76*Input!$H$142*(AS46-1),0)),0)</f>
        <v>62.875</v>
      </c>
      <c r="AT88" s="48" t="n">
        <f aca="false">IF(AND(AT45=1,AT46&lt;=ROUNDUP(1/Input!$H$142,0)),MIN($D$55*Input!$H$76*Input!$H$142,MAX($D$55*Input!$H$76-$D$55*Input!$H$76*Input!$H$142*(AT46-1),0)),0)</f>
        <v>62.875</v>
      </c>
      <c r="AU88" s="48" t="n">
        <f aca="false">IF(AND(AU45=1,AU46&lt;=ROUNDUP(1/Input!$H$142,0)),MIN($D$55*Input!$H$76*Input!$H$142,MAX($D$55*Input!$H$76-$D$55*Input!$H$76*Input!$H$142*(AU46-1),0)),0)</f>
        <v>62.875</v>
      </c>
      <c r="AV88" s="48" t="n">
        <f aca="false">IF(AND(AV45=1,AV46&lt;=ROUNDUP(1/Input!$H$142,0)),MIN($D$55*Input!$H$76*Input!$H$142,MAX($D$55*Input!$H$76-$D$55*Input!$H$76*Input!$H$142*(AV46-1),0)),0)</f>
        <v>62.875</v>
      </c>
      <c r="AW88" s="48" t="n">
        <f aca="false">IF(AND(AW45=1,AW46&lt;=ROUNDUP(1/Input!$H$142,0)),MIN($D$55*Input!$H$76*Input!$H$142,MAX($D$55*Input!$H$76-$D$55*Input!$H$76*Input!$H$142*(AW46-1),0)),0)</f>
        <v>62.875</v>
      </c>
      <c r="AX88" s="48" t="n">
        <f aca="false">IF(AND(AX45=1,AX46&lt;=ROUNDUP(1/Input!$H$142,0)),MIN($D$55*Input!$H$76*Input!$H$142,MAX($D$55*Input!$H$76-$D$55*Input!$H$76*Input!$H$142*(AX46-1),0)),0)</f>
        <v>62.875</v>
      </c>
      <c r="AY88" s="48" t="n">
        <f aca="false">IF(AND(AY45=1,AY46&lt;=ROUNDUP(1/Input!$H$142,0)),MIN($D$55*Input!$H$76*Input!$H$142,MAX($D$55*Input!$H$76-$D$55*Input!$H$76*Input!$H$142*(AY46-1),0)),0)</f>
        <v>62.875</v>
      </c>
      <c r="AZ88" s="48" t="n">
        <f aca="false">IF(AND(AZ45=1,AZ46&lt;=ROUNDUP(1/Input!$H$142,0)),MIN($D$55*Input!$H$76*Input!$H$142,MAX($D$55*Input!$H$76-$D$55*Input!$H$76*Input!$H$142*(AZ46-1),0)),0)</f>
        <v>62.875</v>
      </c>
      <c r="BA88" s="48" t="n">
        <f aca="false">IF(AND(BA45=1,BA46&lt;=ROUNDUP(1/Input!$H$142,0)),MIN($D$55*Input!$H$76*Input!$H$142,MAX($D$55*Input!$H$76-$D$55*Input!$H$76*Input!$H$142*(BA46-1),0)),0)</f>
        <v>62.875</v>
      </c>
      <c r="BB88" s="48" t="n">
        <f aca="false">IF(AND(BB45=1,BB46&lt;=ROUNDUP(1/Input!$H$142,0)),MIN($D$55*Input!$H$76*Input!$H$142,MAX($D$55*Input!$H$76-$D$55*Input!$H$76*Input!$H$142*(BB46-1),0)),0)</f>
        <v>62.875</v>
      </c>
      <c r="BC88" s="48" t="n">
        <f aca="false">IF(AND(BC45=1,BC46&lt;=ROUNDUP(1/Input!$H$142,0)),MIN($D$55*Input!$H$76*Input!$H$142,MAX($D$55*Input!$H$76-$D$55*Input!$H$76*Input!$H$142*(BC46-1),0)),0)</f>
        <v>0</v>
      </c>
      <c r="BD88" s="48" t="n">
        <f aca="false">IF(AND(BD45=1,BD46&lt;=ROUNDUP(1/Input!$H$142,0)),MIN($D$55*Input!$H$76*Input!$H$142,MAX($D$55*Input!$H$76-$D$55*Input!$H$76*Input!$H$142*(BD46-1),0)),0)</f>
        <v>0</v>
      </c>
      <c r="BE88" s="48" t="n">
        <f aca="false">IF(AND(BE45=1,BE46&lt;=ROUNDUP(1/Input!$H$142,0)),MIN($D$55*Input!$H$76*Input!$H$142,MAX($D$55*Input!$H$76-$D$55*Input!$H$76*Input!$H$142*(BE46-1),0)),0)</f>
        <v>0</v>
      </c>
      <c r="BF88" s="48" t="n">
        <f aca="false">IF(AND(BF45=1,BF46&lt;=ROUNDUP(1/Input!$H$142,0)),MIN($D$55*Input!$H$76*Input!$H$142,MAX($D$55*Input!$H$76-$D$55*Input!$H$76*Input!$H$142*(BF46-1),0)),0)</f>
        <v>0</v>
      </c>
      <c r="BG88" s="48" t="n">
        <f aca="false">IF(AND(BG45=1,BG46&lt;=ROUNDUP(1/Input!$H$142,0)),MIN($D$55*Input!$H$76*Input!$H$142,MAX($D$55*Input!$H$76-$D$55*Input!$H$76*Input!$H$142*(BG46-1),0)),0)</f>
        <v>0</v>
      </c>
      <c r="BH88" s="48" t="n">
        <f aca="false">IF(AND(BH45=1,BH46&lt;=ROUNDUP(1/Input!$H$142,0)),MIN($D$55*Input!$H$76*Input!$H$142,MAX($D$55*Input!$H$76-$D$55*Input!$H$76*Input!$H$142*(BH46-1),0)),0)</f>
        <v>0</v>
      </c>
      <c r="BI88" s="48" t="n">
        <f aca="false">IF(AND(BI45=1,BI46&lt;=ROUNDUP(1/Input!$H$142,0)),MIN($D$55*Input!$H$76*Input!$H$142,MAX($D$55*Input!$H$76-$D$55*Input!$H$76*Input!$H$142*(BI46-1),0)),0)</f>
        <v>0</v>
      </c>
      <c r="BJ88" s="48" t="n">
        <f aca="false">IF(AND(BJ45=1,BJ46&lt;=ROUNDUP(1/Input!$H$142,0)),MIN($D$55*Input!$H$76*Input!$H$142,MAX($D$55*Input!$H$76-$D$55*Input!$H$76*Input!$H$142*(BJ46-1),0)),0)</f>
        <v>0</v>
      </c>
      <c r="BK88" s="48" t="n">
        <f aca="false">IF(AND(BK45=1,BK46&lt;=ROUNDUP(1/Input!$H$142,0)),MIN($D$55*Input!$H$76*Input!$H$142,MAX($D$55*Input!$H$76-$D$55*Input!$H$76*Input!$H$142*(BK46-1),0)),0)</f>
        <v>0</v>
      </c>
      <c r="BL88" s="48" t="n">
        <f aca="false">IF(AND(BL45=1,BL46&lt;=ROUNDUP(1/Input!$H$142,0)),MIN($D$55*Input!$H$76*Input!$H$142,MAX($D$55*Input!$H$76-$D$55*Input!$H$76*Input!$H$142*(BL46-1),0)),0)</f>
        <v>0</v>
      </c>
      <c r="BM88" s="48" t="n">
        <f aca="false">IF(AND(BM45=1,BM46&lt;=ROUNDUP(1/Input!$H$142,0)),MIN($D$55*Input!$H$76*Input!$H$142,MAX($D$55*Input!$H$76-$D$55*Input!$H$76*Input!$H$142*(BM46-1),0)),0)</f>
        <v>0</v>
      </c>
      <c r="BN88" s="48" t="n">
        <f aca="false">IF(AND(BN45=1,BN46&lt;=ROUNDUP(1/Input!$H$142,0)),MIN($D$55*Input!$H$76*Input!$H$142,MAX($D$55*Input!$H$76-$D$55*Input!$H$76*Input!$H$142*(BN46-1),0)),0)</f>
        <v>0</v>
      </c>
      <c r="BO88" s="48" t="n">
        <f aca="false">IF(AND(BO45=1,BO46&lt;=ROUNDUP(1/Input!$H$142,0)),MIN($D$55*Input!$H$76*Input!$H$142,MAX($D$55*Input!$H$76-$D$55*Input!$H$76*Input!$H$142*(BO46-1),0)),0)</f>
        <v>0</v>
      </c>
      <c r="BP88" s="48" t="n">
        <f aca="false">IF(AND(BP45=1,BP46&lt;=ROUNDUP(1/Input!$H$142,0)),MIN($D$55*Input!$H$76*Input!$H$142,MAX($D$55*Input!$H$76-$D$55*Input!$H$76*Input!$H$142*(BP46-1),0)),0)</f>
        <v>0</v>
      </c>
      <c r="BQ88" s="48" t="n">
        <f aca="false">IF(AND(BQ45=1,BQ46&lt;=ROUNDUP(1/Input!$H$142,0)),MIN($D$55*Input!$H$76*Input!$H$142,MAX($D$55*Input!$H$76-$D$55*Input!$H$76*Input!$H$142*(BQ46-1),0)),0)</f>
        <v>0</v>
      </c>
      <c r="BR88" s="48" t="n">
        <f aca="false">IF(AND(BR45=1,BR46&lt;=ROUNDUP(1/Input!$H$142,0)),MIN($D$55*Input!$H$76*Input!$H$142,MAX($D$55*Input!$H$76-$D$55*Input!$H$76*Input!$H$142*(BR46-1),0)),0)</f>
        <v>0</v>
      </c>
      <c r="BS88" s="48" t="n">
        <f aca="false">IF(AND(BS45=1,BS46&lt;=ROUNDUP(1/Input!$H$142,0)),MIN($D$55*Input!$H$76*Input!$H$142,MAX($D$55*Input!$H$76-$D$55*Input!$H$76*Input!$H$142*(BS46-1),0)),0)</f>
        <v>0</v>
      </c>
      <c r="BT88" s="48" t="n">
        <f aca="false">IF(AND(BT45=1,BT46&lt;=ROUNDUP(1/Input!$H$142,0)),MIN($D$55*Input!$H$76*Input!$H$142,MAX($D$55*Input!$H$76-$D$55*Input!$H$76*Input!$H$142*(BT46-1),0)),0)</f>
        <v>0</v>
      </c>
      <c r="BU88" s="48" t="n">
        <f aca="false">IF(AND(BU45=1,BU46&lt;=ROUNDUP(1/Input!$H$142,0)),MIN($D$55*Input!$H$76*Input!$H$142,MAX($D$55*Input!$H$76-$D$55*Input!$H$76*Input!$H$142*(BU46-1),0)),0)</f>
        <v>0</v>
      </c>
      <c r="BV88" s="48" t="n">
        <f aca="false">IF(AND(BV45=1,BV46&lt;=ROUNDUP(1/Input!$H$142,0)),MIN($D$55*Input!$H$76*Input!$H$142,MAX($D$55*Input!$H$76-$D$55*Input!$H$76*Input!$H$142*(BV46-1),0)),0)</f>
        <v>0</v>
      </c>
      <c r="BW88" s="48" t="n">
        <f aca="false">IF(AND(BW45=1,BW46&lt;=ROUNDUP(1/Input!$H$142,0)),MIN($D$55*Input!$H$76*Input!$H$142,MAX($D$55*Input!$H$76-$D$55*Input!$H$76*Input!$H$142*(BW46-1),0)),0)</f>
        <v>0</v>
      </c>
      <c r="BX88" s="48" t="n">
        <f aca="false">IF(AND(BX45=1,BX46&lt;=ROUNDUP(1/Input!$H$142,0)),MIN($D$55*Input!$H$76*Input!$H$142,MAX($D$55*Input!$H$76-$D$55*Input!$H$76*Input!$H$142*(BX46-1),0)),0)</f>
        <v>0</v>
      </c>
    </row>
    <row r="89" customFormat="false" ht="15" hidden="false" customHeight="false" outlineLevel="0" collapsed="false">
      <c r="A89" s="1"/>
      <c r="B89" s="8" t="s">
        <v>349</v>
      </c>
      <c r="C89" s="8" t="s">
        <v>126</v>
      </c>
      <c r="D89" s="44" t="n">
        <f aca="false">SUM(G89:BX89)</f>
        <v>1886.25</v>
      </c>
      <c r="E89" s="1"/>
      <c r="F89" s="1"/>
      <c r="G89" s="48" t="n">
        <f aca="false">IF(AND(G45=1,G46&lt;=ROUNDUP(1/Input!$H$143,0)),MIN($D$55*Input!$H$77*Input!$H$143,MAX($D$55*Input!$H$77-$D$55*Input!$H$77*Input!$H$143*(G46-1),0)),0)</f>
        <v>0</v>
      </c>
      <c r="H89" s="48" t="n">
        <f aca="false">IF(AND(H45=1,H46&lt;=ROUNDUP(1/Input!$H$143,0)),MIN($D$55*Input!$H$77*Input!$H$143,MAX($D$55*Input!$H$77-$D$55*Input!$H$77*Input!$H$143*(H46-1),0)),0)</f>
        <v>0</v>
      </c>
      <c r="I89" s="48" t="n">
        <f aca="false">IF(AND(I45=1,I46&lt;=ROUNDUP(1/Input!$H$143,0)),MIN($D$55*Input!$H$77*Input!$H$143,MAX($D$55*Input!$H$77-$D$55*Input!$H$77*Input!$H$143*(I46-1),0)),0)</f>
        <v>0</v>
      </c>
      <c r="J89" s="48" t="n">
        <f aca="false">IF(AND(J45=1,J46&lt;=ROUNDUP(1/Input!$H$143,0)),MIN($D$55*Input!$H$77*Input!$H$143,MAX($D$55*Input!$H$77-$D$55*Input!$H$77*Input!$H$143*(J46-1),0)),0)</f>
        <v>0</v>
      </c>
      <c r="K89" s="48" t="n">
        <f aca="false">IF(AND(K45=1,K46&lt;=ROUNDUP(1/Input!$H$143,0)),MIN($D$55*Input!$H$77*Input!$H$143,MAX($D$55*Input!$H$77-$D$55*Input!$H$77*Input!$H$143*(K46-1),0)),0)</f>
        <v>0</v>
      </c>
      <c r="L89" s="48" t="n">
        <f aca="false">IF(AND(L45=1,L46&lt;=ROUNDUP(1/Input!$H$143,0)),MIN($D$55*Input!$H$77*Input!$H$143,MAX($D$55*Input!$H$77-$D$55*Input!$H$77*Input!$H$143*(L46-1),0)),0)</f>
        <v>0</v>
      </c>
      <c r="M89" s="48" t="n">
        <f aca="false">IF(AND(M45=1,M46&lt;=ROUNDUP(1/Input!$H$143,0)),MIN($D$55*Input!$H$77*Input!$H$143,MAX($D$55*Input!$H$77-$D$55*Input!$H$77*Input!$H$143*(M46-1),0)),0)</f>
        <v>0</v>
      </c>
      <c r="N89" s="48" t="n">
        <f aca="false">IF(AND(N45=1,N46&lt;=ROUNDUP(1/Input!$H$143,0)),MIN($D$55*Input!$H$77*Input!$H$143,MAX($D$55*Input!$H$77-$D$55*Input!$H$77*Input!$H$143*(N46-1),0)),0)</f>
        <v>0</v>
      </c>
      <c r="O89" s="48" t="n">
        <f aca="false">IF(AND(O45=1,O46&lt;=ROUNDUP(1/Input!$H$143,0)),MIN($D$55*Input!$H$77*Input!$H$143,MAX($D$55*Input!$H$77-$D$55*Input!$H$77*Input!$H$143*(O46-1),0)),0)</f>
        <v>84.88125</v>
      </c>
      <c r="P89" s="48" t="n">
        <f aca="false">IF(AND(P45=1,P46&lt;=ROUNDUP(1/Input!$H$143,0)),MIN($D$55*Input!$H$77*Input!$H$143,MAX($D$55*Input!$H$77-$D$55*Input!$H$77*Input!$H$143*(P46-1),0)),0)</f>
        <v>84.88125</v>
      </c>
      <c r="Q89" s="48" t="n">
        <f aca="false">IF(AND(Q45=1,Q46&lt;=ROUNDUP(1/Input!$H$143,0)),MIN($D$55*Input!$H$77*Input!$H$143,MAX($D$55*Input!$H$77-$D$55*Input!$H$77*Input!$H$143*(Q46-1),0)),0)</f>
        <v>84.88125</v>
      </c>
      <c r="R89" s="48" t="n">
        <f aca="false">IF(AND(R45=1,R46&lt;=ROUNDUP(1/Input!$H$143,0)),MIN($D$55*Input!$H$77*Input!$H$143,MAX($D$55*Input!$H$77-$D$55*Input!$H$77*Input!$H$143*(R46-1),0)),0)</f>
        <v>84.88125</v>
      </c>
      <c r="S89" s="48" t="n">
        <f aca="false">IF(AND(S45=1,S46&lt;=ROUNDUP(1/Input!$H$143,0)),MIN($D$55*Input!$H$77*Input!$H$143,MAX($D$55*Input!$H$77-$D$55*Input!$H$77*Input!$H$143*(S46-1),0)),0)</f>
        <v>84.88125</v>
      </c>
      <c r="T89" s="48" t="n">
        <f aca="false">IF(AND(T45=1,T46&lt;=ROUNDUP(1/Input!$H$143,0)),MIN($D$55*Input!$H$77*Input!$H$143,MAX($D$55*Input!$H$77-$D$55*Input!$H$77*Input!$H$143*(T46-1),0)),0)</f>
        <v>84.88125</v>
      </c>
      <c r="U89" s="48" t="n">
        <f aca="false">IF(AND(U45=1,U46&lt;=ROUNDUP(1/Input!$H$143,0)),MIN($D$55*Input!$H$77*Input!$H$143,MAX($D$55*Input!$H$77-$D$55*Input!$H$77*Input!$H$143*(U46-1),0)),0)</f>
        <v>84.88125</v>
      </c>
      <c r="V89" s="48" t="n">
        <f aca="false">IF(AND(V45=1,V46&lt;=ROUNDUP(1/Input!$H$143,0)),MIN($D$55*Input!$H$77*Input!$H$143,MAX($D$55*Input!$H$77-$D$55*Input!$H$77*Input!$H$143*(V46-1),0)),0)</f>
        <v>84.88125</v>
      </c>
      <c r="W89" s="48" t="n">
        <f aca="false">IF(AND(W45=1,W46&lt;=ROUNDUP(1/Input!$H$143,0)),MIN($D$55*Input!$H$77*Input!$H$143,MAX($D$55*Input!$H$77-$D$55*Input!$H$77*Input!$H$143*(W46-1),0)),0)</f>
        <v>84.88125</v>
      </c>
      <c r="X89" s="48" t="n">
        <f aca="false">IF(AND(X45=1,X46&lt;=ROUNDUP(1/Input!$H$143,0)),MIN($D$55*Input!$H$77*Input!$H$143,MAX($D$55*Input!$H$77-$D$55*Input!$H$77*Input!$H$143*(X46-1),0)),0)</f>
        <v>84.88125</v>
      </c>
      <c r="Y89" s="48" t="n">
        <f aca="false">IF(AND(Y45=1,Y46&lt;=ROUNDUP(1/Input!$H$143,0)),MIN($D$55*Input!$H$77*Input!$H$143,MAX($D$55*Input!$H$77-$D$55*Input!$H$77*Input!$H$143*(Y46-1),0)),0)</f>
        <v>84.88125</v>
      </c>
      <c r="Z89" s="48" t="n">
        <f aca="false">IF(AND(Z45=1,Z46&lt;=ROUNDUP(1/Input!$H$143,0)),MIN($D$55*Input!$H$77*Input!$H$143,MAX($D$55*Input!$H$77-$D$55*Input!$H$77*Input!$H$143*(Z46-1),0)),0)</f>
        <v>84.88125</v>
      </c>
      <c r="AA89" s="48" t="n">
        <f aca="false">IF(AND(AA45=1,AA46&lt;=ROUNDUP(1/Input!$H$143,0)),MIN($D$55*Input!$H$77*Input!$H$143,MAX($D$55*Input!$H$77-$D$55*Input!$H$77*Input!$H$143*(AA46-1),0)),0)</f>
        <v>84.88125</v>
      </c>
      <c r="AB89" s="48" t="n">
        <f aca="false">IF(AND(AB45=1,AB46&lt;=ROUNDUP(1/Input!$H$143,0)),MIN($D$55*Input!$H$77*Input!$H$143,MAX($D$55*Input!$H$77-$D$55*Input!$H$77*Input!$H$143*(AB46-1),0)),0)</f>
        <v>84.88125</v>
      </c>
      <c r="AC89" s="48" t="n">
        <f aca="false">IF(AND(AC45=1,AC46&lt;=ROUNDUP(1/Input!$H$143,0)),MIN($D$55*Input!$H$77*Input!$H$143,MAX($D$55*Input!$H$77-$D$55*Input!$H$77*Input!$H$143*(AC46-1),0)),0)</f>
        <v>84.88125</v>
      </c>
      <c r="AD89" s="48" t="n">
        <f aca="false">IF(AND(AD45=1,AD46&lt;=ROUNDUP(1/Input!$H$143,0)),MIN($D$55*Input!$H$77*Input!$H$143,MAX($D$55*Input!$H$77-$D$55*Input!$H$77*Input!$H$143*(AD46-1),0)),0)</f>
        <v>84.88125</v>
      </c>
      <c r="AE89" s="48" t="n">
        <f aca="false">IF(AND(AE45=1,AE46&lt;=ROUNDUP(1/Input!$H$143,0)),MIN($D$55*Input!$H$77*Input!$H$143,MAX($D$55*Input!$H$77-$D$55*Input!$H$77*Input!$H$143*(AE46-1),0)),0)</f>
        <v>84.88125</v>
      </c>
      <c r="AF89" s="48" t="n">
        <f aca="false">IF(AND(AF45=1,AF46&lt;=ROUNDUP(1/Input!$H$143,0)),MIN($D$55*Input!$H$77*Input!$H$143,MAX($D$55*Input!$H$77-$D$55*Input!$H$77*Input!$H$143*(AF46-1),0)),0)</f>
        <v>84.88125</v>
      </c>
      <c r="AG89" s="48" t="n">
        <f aca="false">IF(AND(AG45=1,AG46&lt;=ROUNDUP(1/Input!$H$143,0)),MIN($D$55*Input!$H$77*Input!$H$143,MAX($D$55*Input!$H$77-$D$55*Input!$H$77*Input!$H$143*(AG46-1),0)),0)</f>
        <v>84.88125</v>
      </c>
      <c r="AH89" s="48" t="n">
        <f aca="false">IF(AND(AH45=1,AH46&lt;=ROUNDUP(1/Input!$H$143,0)),MIN($D$55*Input!$H$77*Input!$H$143,MAX($D$55*Input!$H$77-$D$55*Input!$H$77*Input!$H$143*(AH46-1),0)),0)</f>
        <v>84.88125</v>
      </c>
      <c r="AI89" s="48" t="n">
        <f aca="false">IF(AND(AI45=1,AI46&lt;=ROUNDUP(1/Input!$H$143,0)),MIN($D$55*Input!$H$77*Input!$H$143,MAX($D$55*Input!$H$77-$D$55*Input!$H$77*Input!$H$143*(AI46-1),0)),0)</f>
        <v>84.88125</v>
      </c>
      <c r="AJ89" s="48" t="n">
        <f aca="false">IF(AND(AJ45=1,AJ46&lt;=ROUNDUP(1/Input!$H$143,0)),MIN($D$55*Input!$H$77*Input!$H$143,MAX($D$55*Input!$H$77-$D$55*Input!$H$77*Input!$H$143*(AJ46-1),0)),0)</f>
        <v>84.88125</v>
      </c>
      <c r="AK89" s="48" t="n">
        <f aca="false">IF(AND(AK45=1,AK46&lt;=ROUNDUP(1/Input!$H$143,0)),MIN($D$55*Input!$H$77*Input!$H$143,MAX($D$55*Input!$H$77-$D$55*Input!$H$77*Input!$H$143*(AK46-1),0)),0)</f>
        <v>18.8625000000002</v>
      </c>
      <c r="AL89" s="48" t="n">
        <f aca="false">IF(AND(AL45=1,AL46&lt;=ROUNDUP(1/Input!$H$143,0)),MIN($D$55*Input!$H$77*Input!$H$143,MAX($D$55*Input!$H$77-$D$55*Input!$H$77*Input!$H$143*(AL46-1),0)),0)</f>
        <v>0</v>
      </c>
      <c r="AM89" s="48" t="n">
        <f aca="false">IF(AND(AM45=1,AM46&lt;=ROUNDUP(1/Input!$H$143,0)),MIN($D$55*Input!$H$77*Input!$H$143,MAX($D$55*Input!$H$77-$D$55*Input!$H$77*Input!$H$143*(AM46-1),0)),0)</f>
        <v>0</v>
      </c>
      <c r="AN89" s="48" t="n">
        <f aca="false">IF(AND(AN45=1,AN46&lt;=ROUNDUP(1/Input!$H$143,0)),MIN($D$55*Input!$H$77*Input!$H$143,MAX($D$55*Input!$H$77-$D$55*Input!$H$77*Input!$H$143*(AN46-1),0)),0)</f>
        <v>0</v>
      </c>
      <c r="AO89" s="48" t="n">
        <f aca="false">IF(AND(AO45=1,AO46&lt;=ROUNDUP(1/Input!$H$143,0)),MIN($D$55*Input!$H$77*Input!$H$143,MAX($D$55*Input!$H$77-$D$55*Input!$H$77*Input!$H$143*(AO46-1),0)),0)</f>
        <v>0</v>
      </c>
      <c r="AP89" s="48" t="n">
        <f aca="false">IF(AND(AP45=1,AP46&lt;=ROUNDUP(1/Input!$H$143,0)),MIN($D$55*Input!$H$77*Input!$H$143,MAX($D$55*Input!$H$77-$D$55*Input!$H$77*Input!$H$143*(AP46-1),0)),0)</f>
        <v>0</v>
      </c>
      <c r="AQ89" s="48" t="n">
        <f aca="false">IF(AND(AQ45=1,AQ46&lt;=ROUNDUP(1/Input!$H$143,0)),MIN($D$55*Input!$H$77*Input!$H$143,MAX($D$55*Input!$H$77-$D$55*Input!$H$77*Input!$H$143*(AQ46-1),0)),0)</f>
        <v>0</v>
      </c>
      <c r="AR89" s="48" t="n">
        <f aca="false">IF(AND(AR45=1,AR46&lt;=ROUNDUP(1/Input!$H$143,0)),MIN($D$55*Input!$H$77*Input!$H$143,MAX($D$55*Input!$H$77-$D$55*Input!$H$77*Input!$H$143*(AR46-1),0)),0)</f>
        <v>0</v>
      </c>
      <c r="AS89" s="48" t="n">
        <f aca="false">IF(AND(AS45=1,AS46&lt;=ROUNDUP(1/Input!$H$143,0)),MIN($D$55*Input!$H$77*Input!$H$143,MAX($D$55*Input!$H$77-$D$55*Input!$H$77*Input!$H$143*(AS46-1),0)),0)</f>
        <v>0</v>
      </c>
      <c r="AT89" s="48" t="n">
        <f aca="false">IF(AND(AT45=1,AT46&lt;=ROUNDUP(1/Input!$H$143,0)),MIN($D$55*Input!$H$77*Input!$H$143,MAX($D$55*Input!$H$77-$D$55*Input!$H$77*Input!$H$143*(AT46-1),0)),0)</f>
        <v>0</v>
      </c>
      <c r="AU89" s="48" t="n">
        <f aca="false">IF(AND(AU45=1,AU46&lt;=ROUNDUP(1/Input!$H$143,0)),MIN($D$55*Input!$H$77*Input!$H$143,MAX($D$55*Input!$H$77-$D$55*Input!$H$77*Input!$H$143*(AU46-1),0)),0)</f>
        <v>0</v>
      </c>
      <c r="AV89" s="48" t="n">
        <f aca="false">IF(AND(AV45=1,AV46&lt;=ROUNDUP(1/Input!$H$143,0)),MIN($D$55*Input!$H$77*Input!$H$143,MAX($D$55*Input!$H$77-$D$55*Input!$H$77*Input!$H$143*(AV46-1),0)),0)</f>
        <v>0</v>
      </c>
      <c r="AW89" s="48" t="n">
        <f aca="false">IF(AND(AW45=1,AW46&lt;=ROUNDUP(1/Input!$H$143,0)),MIN($D$55*Input!$H$77*Input!$H$143,MAX($D$55*Input!$H$77-$D$55*Input!$H$77*Input!$H$143*(AW46-1),0)),0)</f>
        <v>0</v>
      </c>
      <c r="AX89" s="48" t="n">
        <f aca="false">IF(AND(AX45=1,AX46&lt;=ROUNDUP(1/Input!$H$143,0)),MIN($D$55*Input!$H$77*Input!$H$143,MAX($D$55*Input!$H$77-$D$55*Input!$H$77*Input!$H$143*(AX46-1),0)),0)</f>
        <v>0</v>
      </c>
      <c r="AY89" s="48" t="n">
        <f aca="false">IF(AND(AY45=1,AY46&lt;=ROUNDUP(1/Input!$H$143,0)),MIN($D$55*Input!$H$77*Input!$H$143,MAX($D$55*Input!$H$77-$D$55*Input!$H$77*Input!$H$143*(AY46-1),0)),0)</f>
        <v>0</v>
      </c>
      <c r="AZ89" s="48" t="n">
        <f aca="false">IF(AND(AZ45=1,AZ46&lt;=ROUNDUP(1/Input!$H$143,0)),MIN($D$55*Input!$H$77*Input!$H$143,MAX($D$55*Input!$H$77-$D$55*Input!$H$77*Input!$H$143*(AZ46-1),0)),0)</f>
        <v>0</v>
      </c>
      <c r="BA89" s="48" t="n">
        <f aca="false">IF(AND(BA45=1,BA46&lt;=ROUNDUP(1/Input!$H$143,0)),MIN($D$55*Input!$H$77*Input!$H$143,MAX($D$55*Input!$H$77-$D$55*Input!$H$77*Input!$H$143*(BA46-1),0)),0)</f>
        <v>0</v>
      </c>
      <c r="BB89" s="48" t="n">
        <f aca="false">IF(AND(BB45=1,BB46&lt;=ROUNDUP(1/Input!$H$143,0)),MIN($D$55*Input!$H$77*Input!$H$143,MAX($D$55*Input!$H$77-$D$55*Input!$H$77*Input!$H$143*(BB46-1),0)),0)</f>
        <v>0</v>
      </c>
      <c r="BC89" s="48" t="n">
        <f aca="false">IF(AND(BC45=1,BC46&lt;=ROUNDUP(1/Input!$H$143,0)),MIN($D$55*Input!$H$77*Input!$H$143,MAX($D$55*Input!$H$77-$D$55*Input!$H$77*Input!$H$143*(BC46-1),0)),0)</f>
        <v>0</v>
      </c>
      <c r="BD89" s="48" t="n">
        <f aca="false">IF(AND(BD45=1,BD46&lt;=ROUNDUP(1/Input!$H$143,0)),MIN($D$55*Input!$H$77*Input!$H$143,MAX($D$55*Input!$H$77-$D$55*Input!$H$77*Input!$H$143*(BD46-1),0)),0)</f>
        <v>0</v>
      </c>
      <c r="BE89" s="48" t="n">
        <f aca="false">IF(AND(BE45=1,BE46&lt;=ROUNDUP(1/Input!$H$143,0)),MIN($D$55*Input!$H$77*Input!$H$143,MAX($D$55*Input!$H$77-$D$55*Input!$H$77*Input!$H$143*(BE46-1),0)),0)</f>
        <v>0</v>
      </c>
      <c r="BF89" s="48" t="n">
        <f aca="false">IF(AND(BF45=1,BF46&lt;=ROUNDUP(1/Input!$H$143,0)),MIN($D$55*Input!$H$77*Input!$H$143,MAX($D$55*Input!$H$77-$D$55*Input!$H$77*Input!$H$143*(BF46-1),0)),0)</f>
        <v>0</v>
      </c>
      <c r="BG89" s="48" t="n">
        <f aca="false">IF(AND(BG45=1,BG46&lt;=ROUNDUP(1/Input!$H$143,0)),MIN($D$55*Input!$H$77*Input!$H$143,MAX($D$55*Input!$H$77-$D$55*Input!$H$77*Input!$H$143*(BG46-1),0)),0)</f>
        <v>0</v>
      </c>
      <c r="BH89" s="48" t="n">
        <f aca="false">IF(AND(BH45=1,BH46&lt;=ROUNDUP(1/Input!$H$143,0)),MIN($D$55*Input!$H$77*Input!$H$143,MAX($D$55*Input!$H$77-$D$55*Input!$H$77*Input!$H$143*(BH46-1),0)),0)</f>
        <v>0</v>
      </c>
      <c r="BI89" s="48" t="n">
        <f aca="false">IF(AND(BI45=1,BI46&lt;=ROUNDUP(1/Input!$H$143,0)),MIN($D$55*Input!$H$77*Input!$H$143,MAX($D$55*Input!$H$77-$D$55*Input!$H$77*Input!$H$143*(BI46-1),0)),0)</f>
        <v>0</v>
      </c>
      <c r="BJ89" s="48" t="n">
        <f aca="false">IF(AND(BJ45=1,BJ46&lt;=ROUNDUP(1/Input!$H$143,0)),MIN($D$55*Input!$H$77*Input!$H$143,MAX($D$55*Input!$H$77-$D$55*Input!$H$77*Input!$H$143*(BJ46-1),0)),0)</f>
        <v>0</v>
      </c>
      <c r="BK89" s="48" t="n">
        <f aca="false">IF(AND(BK45=1,BK46&lt;=ROUNDUP(1/Input!$H$143,0)),MIN($D$55*Input!$H$77*Input!$H$143,MAX($D$55*Input!$H$77-$D$55*Input!$H$77*Input!$H$143*(BK46-1),0)),0)</f>
        <v>0</v>
      </c>
      <c r="BL89" s="48" t="n">
        <f aca="false">IF(AND(BL45=1,BL46&lt;=ROUNDUP(1/Input!$H$143,0)),MIN($D$55*Input!$H$77*Input!$H$143,MAX($D$55*Input!$H$77-$D$55*Input!$H$77*Input!$H$143*(BL46-1),0)),0)</f>
        <v>0</v>
      </c>
      <c r="BM89" s="48" t="n">
        <f aca="false">IF(AND(BM45=1,BM46&lt;=ROUNDUP(1/Input!$H$143,0)),MIN($D$55*Input!$H$77*Input!$H$143,MAX($D$55*Input!$H$77-$D$55*Input!$H$77*Input!$H$143*(BM46-1),0)),0)</f>
        <v>0</v>
      </c>
      <c r="BN89" s="48" t="n">
        <f aca="false">IF(AND(BN45=1,BN46&lt;=ROUNDUP(1/Input!$H$143,0)),MIN($D$55*Input!$H$77*Input!$H$143,MAX($D$55*Input!$H$77-$D$55*Input!$H$77*Input!$H$143*(BN46-1),0)),0)</f>
        <v>0</v>
      </c>
      <c r="BO89" s="48" t="n">
        <f aca="false">IF(AND(BO45=1,BO46&lt;=ROUNDUP(1/Input!$H$143,0)),MIN($D$55*Input!$H$77*Input!$H$143,MAX($D$55*Input!$H$77-$D$55*Input!$H$77*Input!$H$143*(BO46-1),0)),0)</f>
        <v>0</v>
      </c>
      <c r="BP89" s="48" t="n">
        <f aca="false">IF(AND(BP45=1,BP46&lt;=ROUNDUP(1/Input!$H$143,0)),MIN($D$55*Input!$H$77*Input!$H$143,MAX($D$55*Input!$H$77-$D$55*Input!$H$77*Input!$H$143*(BP46-1),0)),0)</f>
        <v>0</v>
      </c>
      <c r="BQ89" s="48" t="n">
        <f aca="false">IF(AND(BQ45=1,BQ46&lt;=ROUNDUP(1/Input!$H$143,0)),MIN($D$55*Input!$H$77*Input!$H$143,MAX($D$55*Input!$H$77-$D$55*Input!$H$77*Input!$H$143*(BQ46-1),0)),0)</f>
        <v>0</v>
      </c>
      <c r="BR89" s="48" t="n">
        <f aca="false">IF(AND(BR45=1,BR46&lt;=ROUNDUP(1/Input!$H$143,0)),MIN($D$55*Input!$H$77*Input!$H$143,MAX($D$55*Input!$H$77-$D$55*Input!$H$77*Input!$H$143*(BR46-1),0)),0)</f>
        <v>0</v>
      </c>
      <c r="BS89" s="48" t="n">
        <f aca="false">IF(AND(BS45=1,BS46&lt;=ROUNDUP(1/Input!$H$143,0)),MIN($D$55*Input!$H$77*Input!$H$143,MAX($D$55*Input!$H$77-$D$55*Input!$H$77*Input!$H$143*(BS46-1),0)),0)</f>
        <v>0</v>
      </c>
      <c r="BT89" s="48" t="n">
        <f aca="false">IF(AND(BT45=1,BT46&lt;=ROUNDUP(1/Input!$H$143,0)),MIN($D$55*Input!$H$77*Input!$H$143,MAX($D$55*Input!$H$77-$D$55*Input!$H$77*Input!$H$143*(BT46-1),0)),0)</f>
        <v>0</v>
      </c>
      <c r="BU89" s="48" t="n">
        <f aca="false">IF(AND(BU45=1,BU46&lt;=ROUNDUP(1/Input!$H$143,0)),MIN($D$55*Input!$H$77*Input!$H$143,MAX($D$55*Input!$H$77-$D$55*Input!$H$77*Input!$H$143*(BU46-1),0)),0)</f>
        <v>0</v>
      </c>
      <c r="BV89" s="48" t="n">
        <f aca="false">IF(AND(BV45=1,BV46&lt;=ROUNDUP(1/Input!$H$143,0)),MIN($D$55*Input!$H$77*Input!$H$143,MAX($D$55*Input!$H$77-$D$55*Input!$H$77*Input!$H$143*(BV46-1),0)),0)</f>
        <v>0</v>
      </c>
      <c r="BW89" s="48" t="n">
        <f aca="false">IF(AND(BW45=1,BW46&lt;=ROUNDUP(1/Input!$H$143,0)),MIN($D$55*Input!$H$77*Input!$H$143,MAX($D$55*Input!$H$77-$D$55*Input!$H$77*Input!$H$143*(BW46-1),0)),0)</f>
        <v>0</v>
      </c>
      <c r="BX89" s="48" t="n">
        <f aca="false">IF(AND(BX45=1,BX46&lt;=ROUNDUP(1/Input!$H$143,0)),MIN($D$55*Input!$H$77*Input!$H$143,MAX($D$55*Input!$H$77-$D$55*Input!$H$77*Input!$H$143*(BX46-1),0)),0)</f>
        <v>0</v>
      </c>
    </row>
    <row r="90" customFormat="false" ht="15" hidden="false" customHeight="false" outlineLevel="0" collapsed="false">
      <c r="A90" s="1"/>
      <c r="B90" s="8" t="s">
        <v>350</v>
      </c>
      <c r="C90" s="8" t="s">
        <v>126</v>
      </c>
      <c r="D90" s="44" t="n">
        <f aca="false">SUM(G90:BX90)</f>
        <v>3143.75</v>
      </c>
      <c r="E90" s="1"/>
      <c r="F90" s="1"/>
      <c r="G90" s="48" t="n">
        <f aca="false">IF(AND(G45=1,G46&lt;=ROUNDUP(1/Input!$H$144,0)),MIN($D$55*Input!$H$78*Input!$H$144,MAX($D$55*Input!$H$78-$D$55*Input!$H$78*Input!$H$144*(G46-1),0)),0)</f>
        <v>0</v>
      </c>
      <c r="H90" s="48" t="n">
        <f aca="false">IF(AND(H45=1,H46&lt;=ROUNDUP(1/Input!$H$144,0)),MIN($D$55*Input!$H$78*Input!$H$144,MAX($D$55*Input!$H$78-$D$55*Input!$H$78*Input!$H$144*(H46-1),0)),0)</f>
        <v>0</v>
      </c>
      <c r="I90" s="48" t="n">
        <f aca="false">IF(AND(I45=1,I46&lt;=ROUNDUP(1/Input!$H$144,0)),MIN($D$55*Input!$H$78*Input!$H$144,MAX($D$55*Input!$H$78-$D$55*Input!$H$78*Input!$H$144*(I46-1),0)),0)</f>
        <v>0</v>
      </c>
      <c r="J90" s="48" t="n">
        <f aca="false">IF(AND(J45=1,J46&lt;=ROUNDUP(1/Input!$H$144,0)),MIN($D$55*Input!$H$78*Input!$H$144,MAX($D$55*Input!$H$78-$D$55*Input!$H$78*Input!$H$144*(J46-1),0)),0)</f>
        <v>0</v>
      </c>
      <c r="K90" s="48" t="n">
        <f aca="false">IF(AND(K45=1,K46&lt;=ROUNDUP(1/Input!$H$144,0)),MIN($D$55*Input!$H$78*Input!$H$144,MAX($D$55*Input!$H$78-$D$55*Input!$H$78*Input!$H$144*(K46-1),0)),0)</f>
        <v>0</v>
      </c>
      <c r="L90" s="48" t="n">
        <f aca="false">IF(AND(L45=1,L46&lt;=ROUNDUP(1/Input!$H$144,0)),MIN($D$55*Input!$H$78*Input!$H$144,MAX($D$55*Input!$H$78-$D$55*Input!$H$78*Input!$H$144*(L46-1),0)),0)</f>
        <v>0</v>
      </c>
      <c r="M90" s="48" t="n">
        <f aca="false">IF(AND(M45=1,M46&lt;=ROUNDUP(1/Input!$H$144,0)),MIN($D$55*Input!$H$78*Input!$H$144,MAX($D$55*Input!$H$78-$D$55*Input!$H$78*Input!$H$144*(M46-1),0)),0)</f>
        <v>0</v>
      </c>
      <c r="N90" s="48" t="n">
        <f aca="false">IF(AND(N45=1,N46&lt;=ROUNDUP(1/Input!$H$144,0)),MIN($D$55*Input!$H$78*Input!$H$144,MAX($D$55*Input!$H$78-$D$55*Input!$H$78*Input!$H$144*(N46-1),0)),0)</f>
        <v>0</v>
      </c>
      <c r="O90" s="48" t="n">
        <f aca="false">IF(AND(O45=1,O46&lt;=ROUNDUP(1/Input!$H$144,0)),MIN($D$55*Input!$H$78*Input!$H$144,MAX($D$55*Input!$H$78-$D$55*Input!$H$78*Input!$H$144*(O46-1),0)),0)</f>
        <v>440.125</v>
      </c>
      <c r="P90" s="48" t="n">
        <f aca="false">IF(AND(P45=1,P46&lt;=ROUNDUP(1/Input!$H$144,0)),MIN($D$55*Input!$H$78*Input!$H$144,MAX($D$55*Input!$H$78-$D$55*Input!$H$78*Input!$H$144*(P46-1),0)),0)</f>
        <v>440.125</v>
      </c>
      <c r="Q90" s="48" t="n">
        <f aca="false">IF(AND(Q45=1,Q46&lt;=ROUNDUP(1/Input!$H$144,0)),MIN($D$55*Input!$H$78*Input!$H$144,MAX($D$55*Input!$H$78-$D$55*Input!$H$78*Input!$H$144*(Q46-1),0)),0)</f>
        <v>440.125</v>
      </c>
      <c r="R90" s="48" t="n">
        <f aca="false">IF(AND(R45=1,R46&lt;=ROUNDUP(1/Input!$H$144,0)),MIN($D$55*Input!$H$78*Input!$H$144,MAX($D$55*Input!$H$78-$D$55*Input!$H$78*Input!$H$144*(R46-1),0)),0)</f>
        <v>440.125</v>
      </c>
      <c r="S90" s="48" t="n">
        <f aca="false">IF(AND(S45=1,S46&lt;=ROUNDUP(1/Input!$H$144,0)),MIN($D$55*Input!$H$78*Input!$H$144,MAX($D$55*Input!$H$78-$D$55*Input!$H$78*Input!$H$144*(S46-1),0)),0)</f>
        <v>440.125</v>
      </c>
      <c r="T90" s="48" t="n">
        <f aca="false">IF(AND(T45=1,T46&lt;=ROUNDUP(1/Input!$H$144,0)),MIN($D$55*Input!$H$78*Input!$H$144,MAX($D$55*Input!$H$78-$D$55*Input!$H$78*Input!$H$144*(T46-1),0)),0)</f>
        <v>440.125</v>
      </c>
      <c r="U90" s="48" t="n">
        <f aca="false">IF(AND(U45=1,U46&lt;=ROUNDUP(1/Input!$H$144,0)),MIN($D$55*Input!$H$78*Input!$H$144,MAX($D$55*Input!$H$78-$D$55*Input!$H$78*Input!$H$144*(U46-1),0)),0)</f>
        <v>440.125</v>
      </c>
      <c r="V90" s="48" t="n">
        <f aca="false">IF(AND(V45=1,V46&lt;=ROUNDUP(1/Input!$H$144,0)),MIN($D$55*Input!$H$78*Input!$H$144,MAX($D$55*Input!$H$78-$D$55*Input!$H$78*Input!$H$144*(V46-1),0)),0)</f>
        <v>62.8749999999995</v>
      </c>
      <c r="W90" s="48" t="n">
        <f aca="false">IF(AND(W45=1,W46&lt;=ROUNDUP(1/Input!$H$144,0)),MIN($D$55*Input!$H$78*Input!$H$144,MAX($D$55*Input!$H$78-$D$55*Input!$H$78*Input!$H$144*(W46-1),0)),0)</f>
        <v>0</v>
      </c>
      <c r="X90" s="48" t="n">
        <f aca="false">IF(AND(X45=1,X46&lt;=ROUNDUP(1/Input!$H$144,0)),MIN($D$55*Input!$H$78*Input!$H$144,MAX($D$55*Input!$H$78-$D$55*Input!$H$78*Input!$H$144*(X46-1),0)),0)</f>
        <v>0</v>
      </c>
      <c r="Y90" s="48" t="n">
        <f aca="false">IF(AND(Y45=1,Y46&lt;=ROUNDUP(1/Input!$H$144,0)),MIN($D$55*Input!$H$78*Input!$H$144,MAX($D$55*Input!$H$78-$D$55*Input!$H$78*Input!$H$144*(Y46-1),0)),0)</f>
        <v>0</v>
      </c>
      <c r="Z90" s="48" t="n">
        <f aca="false">IF(AND(Z45=1,Z46&lt;=ROUNDUP(1/Input!$H$144,0)),MIN($D$55*Input!$H$78*Input!$H$144,MAX($D$55*Input!$H$78-$D$55*Input!$H$78*Input!$H$144*(Z46-1),0)),0)</f>
        <v>0</v>
      </c>
      <c r="AA90" s="48" t="n">
        <f aca="false">IF(AND(AA45=1,AA46&lt;=ROUNDUP(1/Input!$H$144,0)),MIN($D$55*Input!$H$78*Input!$H$144,MAX($D$55*Input!$H$78-$D$55*Input!$H$78*Input!$H$144*(AA46-1),0)),0)</f>
        <v>0</v>
      </c>
      <c r="AB90" s="48" t="n">
        <f aca="false">IF(AND(AB45=1,AB46&lt;=ROUNDUP(1/Input!$H$144,0)),MIN($D$55*Input!$H$78*Input!$H$144,MAX($D$55*Input!$H$78-$D$55*Input!$H$78*Input!$H$144*(AB46-1),0)),0)</f>
        <v>0</v>
      </c>
      <c r="AC90" s="48" t="n">
        <f aca="false">IF(AND(AC45=1,AC46&lt;=ROUNDUP(1/Input!$H$144,0)),MIN($D$55*Input!$H$78*Input!$H$144,MAX($D$55*Input!$H$78-$D$55*Input!$H$78*Input!$H$144*(AC46-1),0)),0)</f>
        <v>0</v>
      </c>
      <c r="AD90" s="48" t="n">
        <f aca="false">IF(AND(AD45=1,AD46&lt;=ROUNDUP(1/Input!$H$144,0)),MIN($D$55*Input!$H$78*Input!$H$144,MAX($D$55*Input!$H$78-$D$55*Input!$H$78*Input!$H$144*(AD46-1),0)),0)</f>
        <v>0</v>
      </c>
      <c r="AE90" s="48" t="n">
        <f aca="false">IF(AND(AE45=1,AE46&lt;=ROUNDUP(1/Input!$H$144,0)),MIN($D$55*Input!$H$78*Input!$H$144,MAX($D$55*Input!$H$78-$D$55*Input!$H$78*Input!$H$144*(AE46-1),0)),0)</f>
        <v>0</v>
      </c>
      <c r="AF90" s="48" t="n">
        <f aca="false">IF(AND(AF45=1,AF46&lt;=ROUNDUP(1/Input!$H$144,0)),MIN($D$55*Input!$H$78*Input!$H$144,MAX($D$55*Input!$H$78-$D$55*Input!$H$78*Input!$H$144*(AF46-1),0)),0)</f>
        <v>0</v>
      </c>
      <c r="AG90" s="48" t="n">
        <f aca="false">IF(AND(AG45=1,AG46&lt;=ROUNDUP(1/Input!$H$144,0)),MIN($D$55*Input!$H$78*Input!$H$144,MAX($D$55*Input!$H$78-$D$55*Input!$H$78*Input!$H$144*(AG46-1),0)),0)</f>
        <v>0</v>
      </c>
      <c r="AH90" s="48" t="n">
        <f aca="false">IF(AND(AH45=1,AH46&lt;=ROUNDUP(1/Input!$H$144,0)),MIN($D$55*Input!$H$78*Input!$H$144,MAX($D$55*Input!$H$78-$D$55*Input!$H$78*Input!$H$144*(AH46-1),0)),0)</f>
        <v>0</v>
      </c>
      <c r="AI90" s="48" t="n">
        <f aca="false">IF(AND(AI45=1,AI46&lt;=ROUNDUP(1/Input!$H$144,0)),MIN($D$55*Input!$H$78*Input!$H$144,MAX($D$55*Input!$H$78-$D$55*Input!$H$78*Input!$H$144*(AI46-1),0)),0)</f>
        <v>0</v>
      </c>
      <c r="AJ90" s="48" t="n">
        <f aca="false">IF(AND(AJ45=1,AJ46&lt;=ROUNDUP(1/Input!$H$144,0)),MIN($D$55*Input!$H$78*Input!$H$144,MAX($D$55*Input!$H$78-$D$55*Input!$H$78*Input!$H$144*(AJ46-1),0)),0)</f>
        <v>0</v>
      </c>
      <c r="AK90" s="48" t="n">
        <f aca="false">IF(AND(AK45=1,AK46&lt;=ROUNDUP(1/Input!$H$144,0)),MIN($D$55*Input!$H$78*Input!$H$144,MAX($D$55*Input!$H$78-$D$55*Input!$H$78*Input!$H$144*(AK46-1),0)),0)</f>
        <v>0</v>
      </c>
      <c r="AL90" s="48" t="n">
        <f aca="false">IF(AND(AL45=1,AL46&lt;=ROUNDUP(1/Input!$H$144,0)),MIN($D$55*Input!$H$78*Input!$H$144,MAX($D$55*Input!$H$78-$D$55*Input!$H$78*Input!$H$144*(AL46-1),0)),0)</f>
        <v>0</v>
      </c>
      <c r="AM90" s="48" t="n">
        <f aca="false">IF(AND(AM45=1,AM46&lt;=ROUNDUP(1/Input!$H$144,0)),MIN($D$55*Input!$H$78*Input!$H$144,MAX($D$55*Input!$H$78-$D$55*Input!$H$78*Input!$H$144*(AM46-1),0)),0)</f>
        <v>0</v>
      </c>
      <c r="AN90" s="48" t="n">
        <f aca="false">IF(AND(AN45=1,AN46&lt;=ROUNDUP(1/Input!$H$144,0)),MIN($D$55*Input!$H$78*Input!$H$144,MAX($D$55*Input!$H$78-$D$55*Input!$H$78*Input!$H$144*(AN46-1),0)),0)</f>
        <v>0</v>
      </c>
      <c r="AO90" s="48" t="n">
        <f aca="false">IF(AND(AO45=1,AO46&lt;=ROUNDUP(1/Input!$H$144,0)),MIN($D$55*Input!$H$78*Input!$H$144,MAX($D$55*Input!$H$78-$D$55*Input!$H$78*Input!$H$144*(AO46-1),0)),0)</f>
        <v>0</v>
      </c>
      <c r="AP90" s="48" t="n">
        <f aca="false">IF(AND(AP45=1,AP46&lt;=ROUNDUP(1/Input!$H$144,0)),MIN($D$55*Input!$H$78*Input!$H$144,MAX($D$55*Input!$H$78-$D$55*Input!$H$78*Input!$H$144*(AP46-1),0)),0)</f>
        <v>0</v>
      </c>
      <c r="AQ90" s="48" t="n">
        <f aca="false">IF(AND(AQ45=1,AQ46&lt;=ROUNDUP(1/Input!$H$144,0)),MIN($D$55*Input!$H$78*Input!$H$144,MAX($D$55*Input!$H$78-$D$55*Input!$H$78*Input!$H$144*(AQ46-1),0)),0)</f>
        <v>0</v>
      </c>
      <c r="AR90" s="48" t="n">
        <f aca="false">IF(AND(AR45=1,AR46&lt;=ROUNDUP(1/Input!$H$144,0)),MIN($D$55*Input!$H$78*Input!$H$144,MAX($D$55*Input!$H$78-$D$55*Input!$H$78*Input!$H$144*(AR46-1),0)),0)</f>
        <v>0</v>
      </c>
      <c r="AS90" s="48" t="n">
        <f aca="false">IF(AND(AS45=1,AS46&lt;=ROUNDUP(1/Input!$H$144,0)),MIN($D$55*Input!$H$78*Input!$H$144,MAX($D$55*Input!$H$78-$D$55*Input!$H$78*Input!$H$144*(AS46-1),0)),0)</f>
        <v>0</v>
      </c>
      <c r="AT90" s="48" t="n">
        <f aca="false">IF(AND(AT45=1,AT46&lt;=ROUNDUP(1/Input!$H$144,0)),MIN($D$55*Input!$H$78*Input!$H$144,MAX($D$55*Input!$H$78-$D$55*Input!$H$78*Input!$H$144*(AT46-1),0)),0)</f>
        <v>0</v>
      </c>
      <c r="AU90" s="48" t="n">
        <f aca="false">IF(AND(AU45=1,AU46&lt;=ROUNDUP(1/Input!$H$144,0)),MIN($D$55*Input!$H$78*Input!$H$144,MAX($D$55*Input!$H$78-$D$55*Input!$H$78*Input!$H$144*(AU46-1),0)),0)</f>
        <v>0</v>
      </c>
      <c r="AV90" s="48" t="n">
        <f aca="false">IF(AND(AV45=1,AV46&lt;=ROUNDUP(1/Input!$H$144,0)),MIN($D$55*Input!$H$78*Input!$H$144,MAX($D$55*Input!$H$78-$D$55*Input!$H$78*Input!$H$144*(AV46-1),0)),0)</f>
        <v>0</v>
      </c>
      <c r="AW90" s="48" t="n">
        <f aca="false">IF(AND(AW45=1,AW46&lt;=ROUNDUP(1/Input!$H$144,0)),MIN($D$55*Input!$H$78*Input!$H$144,MAX($D$55*Input!$H$78-$D$55*Input!$H$78*Input!$H$144*(AW46-1),0)),0)</f>
        <v>0</v>
      </c>
      <c r="AX90" s="48" t="n">
        <f aca="false">IF(AND(AX45=1,AX46&lt;=ROUNDUP(1/Input!$H$144,0)),MIN($D$55*Input!$H$78*Input!$H$144,MAX($D$55*Input!$H$78-$D$55*Input!$H$78*Input!$H$144*(AX46-1),0)),0)</f>
        <v>0</v>
      </c>
      <c r="AY90" s="48" t="n">
        <f aca="false">IF(AND(AY45=1,AY46&lt;=ROUNDUP(1/Input!$H$144,0)),MIN($D$55*Input!$H$78*Input!$H$144,MAX($D$55*Input!$H$78-$D$55*Input!$H$78*Input!$H$144*(AY46-1),0)),0)</f>
        <v>0</v>
      </c>
      <c r="AZ90" s="48" t="n">
        <f aca="false">IF(AND(AZ45=1,AZ46&lt;=ROUNDUP(1/Input!$H$144,0)),MIN($D$55*Input!$H$78*Input!$H$144,MAX($D$55*Input!$H$78-$D$55*Input!$H$78*Input!$H$144*(AZ46-1),0)),0)</f>
        <v>0</v>
      </c>
      <c r="BA90" s="48" t="n">
        <f aca="false">IF(AND(BA45=1,BA46&lt;=ROUNDUP(1/Input!$H$144,0)),MIN($D$55*Input!$H$78*Input!$H$144,MAX($D$55*Input!$H$78-$D$55*Input!$H$78*Input!$H$144*(BA46-1),0)),0)</f>
        <v>0</v>
      </c>
      <c r="BB90" s="48" t="n">
        <f aca="false">IF(AND(BB45=1,BB46&lt;=ROUNDUP(1/Input!$H$144,0)),MIN($D$55*Input!$H$78*Input!$H$144,MAX($D$55*Input!$H$78-$D$55*Input!$H$78*Input!$H$144*(BB46-1),0)),0)</f>
        <v>0</v>
      </c>
      <c r="BC90" s="48" t="n">
        <f aca="false">IF(AND(BC45=1,BC46&lt;=ROUNDUP(1/Input!$H$144,0)),MIN($D$55*Input!$H$78*Input!$H$144,MAX($D$55*Input!$H$78-$D$55*Input!$H$78*Input!$H$144*(BC46-1),0)),0)</f>
        <v>0</v>
      </c>
      <c r="BD90" s="48" t="n">
        <f aca="false">IF(AND(BD45=1,BD46&lt;=ROUNDUP(1/Input!$H$144,0)),MIN($D$55*Input!$H$78*Input!$H$144,MAX($D$55*Input!$H$78-$D$55*Input!$H$78*Input!$H$144*(BD46-1),0)),0)</f>
        <v>0</v>
      </c>
      <c r="BE90" s="48" t="n">
        <f aca="false">IF(AND(BE45=1,BE46&lt;=ROUNDUP(1/Input!$H$144,0)),MIN($D$55*Input!$H$78*Input!$H$144,MAX($D$55*Input!$H$78-$D$55*Input!$H$78*Input!$H$144*(BE46-1),0)),0)</f>
        <v>0</v>
      </c>
      <c r="BF90" s="48" t="n">
        <f aca="false">IF(AND(BF45=1,BF46&lt;=ROUNDUP(1/Input!$H$144,0)),MIN($D$55*Input!$H$78*Input!$H$144,MAX($D$55*Input!$H$78-$D$55*Input!$H$78*Input!$H$144*(BF46-1),0)),0)</f>
        <v>0</v>
      </c>
      <c r="BG90" s="48" t="n">
        <f aca="false">IF(AND(BG45=1,BG46&lt;=ROUNDUP(1/Input!$H$144,0)),MIN($D$55*Input!$H$78*Input!$H$144,MAX($D$55*Input!$H$78-$D$55*Input!$H$78*Input!$H$144*(BG46-1),0)),0)</f>
        <v>0</v>
      </c>
      <c r="BH90" s="48" t="n">
        <f aca="false">IF(AND(BH45=1,BH46&lt;=ROUNDUP(1/Input!$H$144,0)),MIN($D$55*Input!$H$78*Input!$H$144,MAX($D$55*Input!$H$78-$D$55*Input!$H$78*Input!$H$144*(BH46-1),0)),0)</f>
        <v>0</v>
      </c>
      <c r="BI90" s="48" t="n">
        <f aca="false">IF(AND(BI45=1,BI46&lt;=ROUNDUP(1/Input!$H$144,0)),MIN($D$55*Input!$H$78*Input!$H$144,MAX($D$55*Input!$H$78-$D$55*Input!$H$78*Input!$H$144*(BI46-1),0)),0)</f>
        <v>0</v>
      </c>
      <c r="BJ90" s="48" t="n">
        <f aca="false">IF(AND(BJ45=1,BJ46&lt;=ROUNDUP(1/Input!$H$144,0)),MIN($D$55*Input!$H$78*Input!$H$144,MAX($D$55*Input!$H$78-$D$55*Input!$H$78*Input!$H$144*(BJ46-1),0)),0)</f>
        <v>0</v>
      </c>
      <c r="BK90" s="48" t="n">
        <f aca="false">IF(AND(BK45=1,BK46&lt;=ROUNDUP(1/Input!$H$144,0)),MIN($D$55*Input!$H$78*Input!$H$144,MAX($D$55*Input!$H$78-$D$55*Input!$H$78*Input!$H$144*(BK46-1),0)),0)</f>
        <v>0</v>
      </c>
      <c r="BL90" s="48" t="n">
        <f aca="false">IF(AND(BL45=1,BL46&lt;=ROUNDUP(1/Input!$H$144,0)),MIN($D$55*Input!$H$78*Input!$H$144,MAX($D$55*Input!$H$78-$D$55*Input!$H$78*Input!$H$144*(BL46-1),0)),0)</f>
        <v>0</v>
      </c>
      <c r="BM90" s="48" t="n">
        <f aca="false">IF(AND(BM45=1,BM46&lt;=ROUNDUP(1/Input!$H$144,0)),MIN($D$55*Input!$H$78*Input!$H$144,MAX($D$55*Input!$H$78-$D$55*Input!$H$78*Input!$H$144*(BM46-1),0)),0)</f>
        <v>0</v>
      </c>
      <c r="BN90" s="48" t="n">
        <f aca="false">IF(AND(BN45=1,BN46&lt;=ROUNDUP(1/Input!$H$144,0)),MIN($D$55*Input!$H$78*Input!$H$144,MAX($D$55*Input!$H$78-$D$55*Input!$H$78*Input!$H$144*(BN46-1),0)),0)</f>
        <v>0</v>
      </c>
      <c r="BO90" s="48" t="n">
        <f aca="false">IF(AND(BO45=1,BO46&lt;=ROUNDUP(1/Input!$H$144,0)),MIN($D$55*Input!$H$78*Input!$H$144,MAX($D$55*Input!$H$78-$D$55*Input!$H$78*Input!$H$144*(BO46-1),0)),0)</f>
        <v>0</v>
      </c>
      <c r="BP90" s="48" t="n">
        <f aca="false">IF(AND(BP45=1,BP46&lt;=ROUNDUP(1/Input!$H$144,0)),MIN($D$55*Input!$H$78*Input!$H$144,MAX($D$55*Input!$H$78-$D$55*Input!$H$78*Input!$H$144*(BP46-1),0)),0)</f>
        <v>0</v>
      </c>
      <c r="BQ90" s="48" t="n">
        <f aca="false">IF(AND(BQ45=1,BQ46&lt;=ROUNDUP(1/Input!$H$144,0)),MIN($D$55*Input!$H$78*Input!$H$144,MAX($D$55*Input!$H$78-$D$55*Input!$H$78*Input!$H$144*(BQ46-1),0)),0)</f>
        <v>0</v>
      </c>
      <c r="BR90" s="48" t="n">
        <f aca="false">IF(AND(BR45=1,BR46&lt;=ROUNDUP(1/Input!$H$144,0)),MIN($D$55*Input!$H$78*Input!$H$144,MAX($D$55*Input!$H$78-$D$55*Input!$H$78*Input!$H$144*(BR46-1),0)),0)</f>
        <v>0</v>
      </c>
      <c r="BS90" s="48" t="n">
        <f aca="false">IF(AND(BS45=1,BS46&lt;=ROUNDUP(1/Input!$H$144,0)),MIN($D$55*Input!$H$78*Input!$H$144,MAX($D$55*Input!$H$78-$D$55*Input!$H$78*Input!$H$144*(BS46-1),0)),0)</f>
        <v>0</v>
      </c>
      <c r="BT90" s="48" t="n">
        <f aca="false">IF(AND(BT45=1,BT46&lt;=ROUNDUP(1/Input!$H$144,0)),MIN($D$55*Input!$H$78*Input!$H$144,MAX($D$55*Input!$H$78-$D$55*Input!$H$78*Input!$H$144*(BT46-1),0)),0)</f>
        <v>0</v>
      </c>
      <c r="BU90" s="48" t="n">
        <f aca="false">IF(AND(BU45=1,BU46&lt;=ROUNDUP(1/Input!$H$144,0)),MIN($D$55*Input!$H$78*Input!$H$144,MAX($D$55*Input!$H$78-$D$55*Input!$H$78*Input!$H$144*(BU46-1),0)),0)</f>
        <v>0</v>
      </c>
      <c r="BV90" s="48" t="n">
        <f aca="false">IF(AND(BV45=1,BV46&lt;=ROUNDUP(1/Input!$H$144,0)),MIN($D$55*Input!$H$78*Input!$H$144,MAX($D$55*Input!$H$78-$D$55*Input!$H$78*Input!$H$144*(BV46-1),0)),0)</f>
        <v>0</v>
      </c>
      <c r="BW90" s="48" t="n">
        <f aca="false">IF(AND(BW45=1,BW46&lt;=ROUNDUP(1/Input!$H$144,0)),MIN($D$55*Input!$H$78*Input!$H$144,MAX($D$55*Input!$H$78-$D$55*Input!$H$78*Input!$H$144*(BW46-1),0)),0)</f>
        <v>0</v>
      </c>
      <c r="BX90" s="48" t="n">
        <f aca="false">IF(AND(BX45=1,BX46&lt;=ROUNDUP(1/Input!$H$144,0)),MIN($D$55*Input!$H$78*Input!$H$144,MAX($D$55*Input!$H$78-$D$55*Input!$H$78*Input!$H$144*(BX46-1),0)),0)</f>
        <v>0</v>
      </c>
    </row>
    <row r="91" customFormat="false" ht="15" hidden="false" customHeight="false" outlineLevel="0" collapsed="false">
      <c r="A91" s="1"/>
      <c r="B91" s="8" t="s">
        <v>351</v>
      </c>
      <c r="C91" s="8" t="s">
        <v>126</v>
      </c>
      <c r="D91" s="44" t="n">
        <f aca="false">SUM(G91:BX91)</f>
        <v>3772.5</v>
      </c>
      <c r="E91" s="1"/>
      <c r="F91" s="1"/>
      <c r="G91" s="48" t="n">
        <f aca="false">IF(AND(G45=1,G46&lt;=ROUNDUP(1/Input!$H$145,0)),MIN($D$55*Input!$H$79*Input!$H$145,MAX($D$55*Input!$H$79-$D$55*Input!$H$79*Input!$H$145*(G46-1),0)),0)</f>
        <v>0</v>
      </c>
      <c r="H91" s="48" t="n">
        <f aca="false">IF(AND(H45=1,H46&lt;=ROUNDUP(1/Input!$H$145,0)),MIN($D$55*Input!$H$79*Input!$H$145,MAX($D$55*Input!$H$79-$D$55*Input!$H$79*Input!$H$145*(H46-1),0)),0)</f>
        <v>0</v>
      </c>
      <c r="I91" s="48" t="n">
        <f aca="false">IF(AND(I45=1,I46&lt;=ROUNDUP(1/Input!$H$145,0)),MIN($D$55*Input!$H$79*Input!$H$145,MAX($D$55*Input!$H$79-$D$55*Input!$H$79*Input!$H$145*(I46-1),0)),0)</f>
        <v>0</v>
      </c>
      <c r="J91" s="48" t="n">
        <f aca="false">IF(AND(J45=1,J46&lt;=ROUNDUP(1/Input!$H$145,0)),MIN($D$55*Input!$H$79*Input!$H$145,MAX($D$55*Input!$H$79-$D$55*Input!$H$79*Input!$H$145*(J46-1),0)),0)</f>
        <v>0</v>
      </c>
      <c r="K91" s="48" t="n">
        <f aca="false">IF(AND(K45=1,K46&lt;=ROUNDUP(1/Input!$H$145,0)),MIN($D$55*Input!$H$79*Input!$H$145,MAX($D$55*Input!$H$79-$D$55*Input!$H$79*Input!$H$145*(K46-1),0)),0)</f>
        <v>0</v>
      </c>
      <c r="L91" s="48" t="n">
        <f aca="false">IF(AND(L45=1,L46&lt;=ROUNDUP(1/Input!$H$145,0)),MIN($D$55*Input!$H$79*Input!$H$145,MAX($D$55*Input!$H$79-$D$55*Input!$H$79*Input!$H$145*(L46-1),0)),0)</f>
        <v>0</v>
      </c>
      <c r="M91" s="48" t="n">
        <f aca="false">IF(AND(M45=1,M46&lt;=ROUNDUP(1/Input!$H$145,0)),MIN($D$55*Input!$H$79*Input!$H$145,MAX($D$55*Input!$H$79-$D$55*Input!$H$79*Input!$H$145*(M46-1),0)),0)</f>
        <v>0</v>
      </c>
      <c r="N91" s="48" t="n">
        <f aca="false">IF(AND(N45=1,N46&lt;=ROUNDUP(1/Input!$H$145,0)),MIN($D$55*Input!$H$79*Input!$H$145,MAX($D$55*Input!$H$79-$D$55*Input!$H$79*Input!$H$145*(N46-1),0)),0)</f>
        <v>0</v>
      </c>
      <c r="O91" s="48" t="n">
        <f aca="false">IF(AND(O45=1,O46&lt;=ROUNDUP(1/Input!$H$145,0)),MIN($D$55*Input!$H$79*Input!$H$145,MAX($D$55*Input!$H$79-$D$55*Input!$H$79*Input!$H$145*(O46-1),0)),0)</f>
        <v>264.075</v>
      </c>
      <c r="P91" s="48" t="n">
        <f aca="false">IF(AND(P45=1,P46&lt;=ROUNDUP(1/Input!$H$145,0)),MIN($D$55*Input!$H$79*Input!$H$145,MAX($D$55*Input!$H$79-$D$55*Input!$H$79*Input!$H$145*(P46-1),0)),0)</f>
        <v>264.075</v>
      </c>
      <c r="Q91" s="48" t="n">
        <f aca="false">IF(AND(Q45=1,Q46&lt;=ROUNDUP(1/Input!$H$145,0)),MIN($D$55*Input!$H$79*Input!$H$145,MAX($D$55*Input!$H$79-$D$55*Input!$H$79*Input!$H$145*(Q46-1),0)),0)</f>
        <v>264.075</v>
      </c>
      <c r="R91" s="48" t="n">
        <f aca="false">IF(AND(R45=1,R46&lt;=ROUNDUP(1/Input!$H$145,0)),MIN($D$55*Input!$H$79*Input!$H$145,MAX($D$55*Input!$H$79-$D$55*Input!$H$79*Input!$H$145*(R46-1),0)),0)</f>
        <v>264.075</v>
      </c>
      <c r="S91" s="48" t="n">
        <f aca="false">IF(AND(S45=1,S46&lt;=ROUNDUP(1/Input!$H$145,0)),MIN($D$55*Input!$H$79*Input!$H$145,MAX($D$55*Input!$H$79-$D$55*Input!$H$79*Input!$H$145*(S46-1),0)),0)</f>
        <v>264.075</v>
      </c>
      <c r="T91" s="48" t="n">
        <f aca="false">IF(AND(T45=1,T46&lt;=ROUNDUP(1/Input!$H$145,0)),MIN($D$55*Input!$H$79*Input!$H$145,MAX($D$55*Input!$H$79-$D$55*Input!$H$79*Input!$H$145*(T46-1),0)),0)</f>
        <v>264.075</v>
      </c>
      <c r="U91" s="48" t="n">
        <f aca="false">IF(AND(U45=1,U46&lt;=ROUNDUP(1/Input!$H$145,0)),MIN($D$55*Input!$H$79*Input!$H$145,MAX($D$55*Input!$H$79-$D$55*Input!$H$79*Input!$H$145*(U46-1),0)),0)</f>
        <v>264.075</v>
      </c>
      <c r="V91" s="48" t="n">
        <f aca="false">IF(AND(V45=1,V46&lt;=ROUNDUP(1/Input!$H$145,0)),MIN($D$55*Input!$H$79*Input!$H$145,MAX($D$55*Input!$H$79-$D$55*Input!$H$79*Input!$H$145*(V46-1),0)),0)</f>
        <v>264.075</v>
      </c>
      <c r="W91" s="48" t="n">
        <f aca="false">IF(AND(W45=1,W46&lt;=ROUNDUP(1/Input!$H$145,0)),MIN($D$55*Input!$H$79*Input!$H$145,MAX($D$55*Input!$H$79-$D$55*Input!$H$79*Input!$H$145*(W46-1),0)),0)</f>
        <v>264.075</v>
      </c>
      <c r="X91" s="48" t="n">
        <f aca="false">IF(AND(X45=1,X46&lt;=ROUNDUP(1/Input!$H$145,0)),MIN($D$55*Input!$H$79*Input!$H$145,MAX($D$55*Input!$H$79-$D$55*Input!$H$79*Input!$H$145*(X46-1),0)),0)</f>
        <v>264.075</v>
      </c>
      <c r="Y91" s="48" t="n">
        <f aca="false">IF(AND(Y45=1,Y46&lt;=ROUNDUP(1/Input!$H$145,0)),MIN($D$55*Input!$H$79*Input!$H$145,MAX($D$55*Input!$H$79-$D$55*Input!$H$79*Input!$H$145*(Y46-1),0)),0)</f>
        <v>264.075</v>
      </c>
      <c r="Z91" s="48" t="n">
        <f aca="false">IF(AND(Z45=1,Z46&lt;=ROUNDUP(1/Input!$H$145,0)),MIN($D$55*Input!$H$79*Input!$H$145,MAX($D$55*Input!$H$79-$D$55*Input!$H$79*Input!$H$145*(Z46-1),0)),0)</f>
        <v>264.075</v>
      </c>
      <c r="AA91" s="48" t="n">
        <f aca="false">IF(AND(AA45=1,AA46&lt;=ROUNDUP(1/Input!$H$145,0)),MIN($D$55*Input!$H$79*Input!$H$145,MAX($D$55*Input!$H$79-$D$55*Input!$H$79*Input!$H$145*(AA46-1),0)),0)</f>
        <v>264.075</v>
      </c>
      <c r="AB91" s="48" t="n">
        <f aca="false">IF(AND(AB45=1,AB46&lt;=ROUNDUP(1/Input!$H$145,0)),MIN($D$55*Input!$H$79*Input!$H$145,MAX($D$55*Input!$H$79-$D$55*Input!$H$79*Input!$H$145*(AB46-1),0)),0)</f>
        <v>264.075</v>
      </c>
      <c r="AC91" s="48" t="n">
        <f aca="false">IF(AND(AC45=1,AC46&lt;=ROUNDUP(1/Input!$H$145,0)),MIN($D$55*Input!$H$79*Input!$H$145,MAX($D$55*Input!$H$79-$D$55*Input!$H$79*Input!$H$145*(AC46-1),0)),0)</f>
        <v>75.4499999999994</v>
      </c>
      <c r="AD91" s="48" t="n">
        <f aca="false">IF(AND(AD45=1,AD46&lt;=ROUNDUP(1/Input!$H$145,0)),MIN($D$55*Input!$H$79*Input!$H$145,MAX($D$55*Input!$H$79-$D$55*Input!$H$79*Input!$H$145*(AD46-1),0)),0)</f>
        <v>0</v>
      </c>
      <c r="AE91" s="48" t="n">
        <f aca="false">IF(AND(AE45=1,AE46&lt;=ROUNDUP(1/Input!$H$145,0)),MIN($D$55*Input!$H$79*Input!$H$145,MAX($D$55*Input!$H$79-$D$55*Input!$H$79*Input!$H$145*(AE46-1),0)),0)</f>
        <v>0</v>
      </c>
      <c r="AF91" s="48" t="n">
        <f aca="false">IF(AND(AF45=1,AF46&lt;=ROUNDUP(1/Input!$H$145,0)),MIN($D$55*Input!$H$79*Input!$H$145,MAX($D$55*Input!$H$79-$D$55*Input!$H$79*Input!$H$145*(AF46-1),0)),0)</f>
        <v>0</v>
      </c>
      <c r="AG91" s="48" t="n">
        <f aca="false">IF(AND(AG45=1,AG46&lt;=ROUNDUP(1/Input!$H$145,0)),MIN($D$55*Input!$H$79*Input!$H$145,MAX($D$55*Input!$H$79-$D$55*Input!$H$79*Input!$H$145*(AG46-1),0)),0)</f>
        <v>0</v>
      </c>
      <c r="AH91" s="48" t="n">
        <f aca="false">IF(AND(AH45=1,AH46&lt;=ROUNDUP(1/Input!$H$145,0)),MIN($D$55*Input!$H$79*Input!$H$145,MAX($D$55*Input!$H$79-$D$55*Input!$H$79*Input!$H$145*(AH46-1),0)),0)</f>
        <v>0</v>
      </c>
      <c r="AI91" s="48" t="n">
        <f aca="false">IF(AND(AI45=1,AI46&lt;=ROUNDUP(1/Input!$H$145,0)),MIN($D$55*Input!$H$79*Input!$H$145,MAX($D$55*Input!$H$79-$D$55*Input!$H$79*Input!$H$145*(AI46-1),0)),0)</f>
        <v>0</v>
      </c>
      <c r="AJ91" s="48" t="n">
        <f aca="false">IF(AND(AJ45=1,AJ46&lt;=ROUNDUP(1/Input!$H$145,0)),MIN($D$55*Input!$H$79*Input!$H$145,MAX($D$55*Input!$H$79-$D$55*Input!$H$79*Input!$H$145*(AJ46-1),0)),0)</f>
        <v>0</v>
      </c>
      <c r="AK91" s="48" t="n">
        <f aca="false">IF(AND(AK45=1,AK46&lt;=ROUNDUP(1/Input!$H$145,0)),MIN($D$55*Input!$H$79*Input!$H$145,MAX($D$55*Input!$H$79-$D$55*Input!$H$79*Input!$H$145*(AK46-1),0)),0)</f>
        <v>0</v>
      </c>
      <c r="AL91" s="48" t="n">
        <f aca="false">IF(AND(AL45=1,AL46&lt;=ROUNDUP(1/Input!$H$145,0)),MIN($D$55*Input!$H$79*Input!$H$145,MAX($D$55*Input!$H$79-$D$55*Input!$H$79*Input!$H$145*(AL46-1),0)),0)</f>
        <v>0</v>
      </c>
      <c r="AM91" s="48" t="n">
        <f aca="false">IF(AND(AM45=1,AM46&lt;=ROUNDUP(1/Input!$H$145,0)),MIN($D$55*Input!$H$79*Input!$H$145,MAX($D$55*Input!$H$79-$D$55*Input!$H$79*Input!$H$145*(AM46-1),0)),0)</f>
        <v>0</v>
      </c>
      <c r="AN91" s="48" t="n">
        <f aca="false">IF(AND(AN45=1,AN46&lt;=ROUNDUP(1/Input!$H$145,0)),MIN($D$55*Input!$H$79*Input!$H$145,MAX($D$55*Input!$H$79-$D$55*Input!$H$79*Input!$H$145*(AN46-1),0)),0)</f>
        <v>0</v>
      </c>
      <c r="AO91" s="48" t="n">
        <f aca="false">IF(AND(AO45=1,AO46&lt;=ROUNDUP(1/Input!$H$145,0)),MIN($D$55*Input!$H$79*Input!$H$145,MAX($D$55*Input!$H$79-$D$55*Input!$H$79*Input!$H$145*(AO46-1),0)),0)</f>
        <v>0</v>
      </c>
      <c r="AP91" s="48" t="n">
        <f aca="false">IF(AND(AP45=1,AP46&lt;=ROUNDUP(1/Input!$H$145,0)),MIN($D$55*Input!$H$79*Input!$H$145,MAX($D$55*Input!$H$79-$D$55*Input!$H$79*Input!$H$145*(AP46-1),0)),0)</f>
        <v>0</v>
      </c>
      <c r="AQ91" s="48" t="n">
        <f aca="false">IF(AND(AQ45=1,AQ46&lt;=ROUNDUP(1/Input!$H$145,0)),MIN($D$55*Input!$H$79*Input!$H$145,MAX($D$55*Input!$H$79-$D$55*Input!$H$79*Input!$H$145*(AQ46-1),0)),0)</f>
        <v>0</v>
      </c>
      <c r="AR91" s="48" t="n">
        <f aca="false">IF(AND(AR45=1,AR46&lt;=ROUNDUP(1/Input!$H$145,0)),MIN($D$55*Input!$H$79*Input!$H$145,MAX($D$55*Input!$H$79-$D$55*Input!$H$79*Input!$H$145*(AR46-1),0)),0)</f>
        <v>0</v>
      </c>
      <c r="AS91" s="48" t="n">
        <f aca="false">IF(AND(AS45=1,AS46&lt;=ROUNDUP(1/Input!$H$145,0)),MIN($D$55*Input!$H$79*Input!$H$145,MAX($D$55*Input!$H$79-$D$55*Input!$H$79*Input!$H$145*(AS46-1),0)),0)</f>
        <v>0</v>
      </c>
      <c r="AT91" s="48" t="n">
        <f aca="false">IF(AND(AT45=1,AT46&lt;=ROUNDUP(1/Input!$H$145,0)),MIN($D$55*Input!$H$79*Input!$H$145,MAX($D$55*Input!$H$79-$D$55*Input!$H$79*Input!$H$145*(AT46-1),0)),0)</f>
        <v>0</v>
      </c>
      <c r="AU91" s="48" t="n">
        <f aca="false">IF(AND(AU45=1,AU46&lt;=ROUNDUP(1/Input!$H$145,0)),MIN($D$55*Input!$H$79*Input!$H$145,MAX($D$55*Input!$H$79-$D$55*Input!$H$79*Input!$H$145*(AU46-1),0)),0)</f>
        <v>0</v>
      </c>
      <c r="AV91" s="48" t="n">
        <f aca="false">IF(AND(AV45=1,AV46&lt;=ROUNDUP(1/Input!$H$145,0)),MIN($D$55*Input!$H$79*Input!$H$145,MAX($D$55*Input!$H$79-$D$55*Input!$H$79*Input!$H$145*(AV46-1),0)),0)</f>
        <v>0</v>
      </c>
      <c r="AW91" s="48" t="n">
        <f aca="false">IF(AND(AW45=1,AW46&lt;=ROUNDUP(1/Input!$H$145,0)),MIN($D$55*Input!$H$79*Input!$H$145,MAX($D$55*Input!$H$79-$D$55*Input!$H$79*Input!$H$145*(AW46-1),0)),0)</f>
        <v>0</v>
      </c>
      <c r="AX91" s="48" t="n">
        <f aca="false">IF(AND(AX45=1,AX46&lt;=ROUNDUP(1/Input!$H$145,0)),MIN($D$55*Input!$H$79*Input!$H$145,MAX($D$55*Input!$H$79-$D$55*Input!$H$79*Input!$H$145*(AX46-1),0)),0)</f>
        <v>0</v>
      </c>
      <c r="AY91" s="48" t="n">
        <f aca="false">IF(AND(AY45=1,AY46&lt;=ROUNDUP(1/Input!$H$145,0)),MIN($D$55*Input!$H$79*Input!$H$145,MAX($D$55*Input!$H$79-$D$55*Input!$H$79*Input!$H$145*(AY46-1),0)),0)</f>
        <v>0</v>
      </c>
      <c r="AZ91" s="48" t="n">
        <f aca="false">IF(AND(AZ45=1,AZ46&lt;=ROUNDUP(1/Input!$H$145,0)),MIN($D$55*Input!$H$79*Input!$H$145,MAX($D$55*Input!$H$79-$D$55*Input!$H$79*Input!$H$145*(AZ46-1),0)),0)</f>
        <v>0</v>
      </c>
      <c r="BA91" s="48" t="n">
        <f aca="false">IF(AND(BA45=1,BA46&lt;=ROUNDUP(1/Input!$H$145,0)),MIN($D$55*Input!$H$79*Input!$H$145,MAX($D$55*Input!$H$79-$D$55*Input!$H$79*Input!$H$145*(BA46-1),0)),0)</f>
        <v>0</v>
      </c>
      <c r="BB91" s="48" t="n">
        <f aca="false">IF(AND(BB45=1,BB46&lt;=ROUNDUP(1/Input!$H$145,0)),MIN($D$55*Input!$H$79*Input!$H$145,MAX($D$55*Input!$H$79-$D$55*Input!$H$79*Input!$H$145*(BB46-1),0)),0)</f>
        <v>0</v>
      </c>
      <c r="BC91" s="48" t="n">
        <f aca="false">IF(AND(BC45=1,BC46&lt;=ROUNDUP(1/Input!$H$145,0)),MIN($D$55*Input!$H$79*Input!$H$145,MAX($D$55*Input!$H$79-$D$55*Input!$H$79*Input!$H$145*(BC46-1),0)),0)</f>
        <v>0</v>
      </c>
      <c r="BD91" s="48" t="n">
        <f aca="false">IF(AND(BD45=1,BD46&lt;=ROUNDUP(1/Input!$H$145,0)),MIN($D$55*Input!$H$79*Input!$H$145,MAX($D$55*Input!$H$79-$D$55*Input!$H$79*Input!$H$145*(BD46-1),0)),0)</f>
        <v>0</v>
      </c>
      <c r="BE91" s="48" t="n">
        <f aca="false">IF(AND(BE45=1,BE46&lt;=ROUNDUP(1/Input!$H$145,0)),MIN($D$55*Input!$H$79*Input!$H$145,MAX($D$55*Input!$H$79-$D$55*Input!$H$79*Input!$H$145*(BE46-1),0)),0)</f>
        <v>0</v>
      </c>
      <c r="BF91" s="48" t="n">
        <f aca="false">IF(AND(BF45=1,BF46&lt;=ROUNDUP(1/Input!$H$145,0)),MIN($D$55*Input!$H$79*Input!$H$145,MAX($D$55*Input!$H$79-$D$55*Input!$H$79*Input!$H$145*(BF46-1),0)),0)</f>
        <v>0</v>
      </c>
      <c r="BG91" s="48" t="n">
        <f aca="false">IF(AND(BG45=1,BG46&lt;=ROUNDUP(1/Input!$H$145,0)),MIN($D$55*Input!$H$79*Input!$H$145,MAX($D$55*Input!$H$79-$D$55*Input!$H$79*Input!$H$145*(BG46-1),0)),0)</f>
        <v>0</v>
      </c>
      <c r="BH91" s="48" t="n">
        <f aca="false">IF(AND(BH45=1,BH46&lt;=ROUNDUP(1/Input!$H$145,0)),MIN($D$55*Input!$H$79*Input!$H$145,MAX($D$55*Input!$H$79-$D$55*Input!$H$79*Input!$H$145*(BH46-1),0)),0)</f>
        <v>0</v>
      </c>
      <c r="BI91" s="48" t="n">
        <f aca="false">IF(AND(BI45=1,BI46&lt;=ROUNDUP(1/Input!$H$145,0)),MIN($D$55*Input!$H$79*Input!$H$145,MAX($D$55*Input!$H$79-$D$55*Input!$H$79*Input!$H$145*(BI46-1),0)),0)</f>
        <v>0</v>
      </c>
      <c r="BJ91" s="48" t="n">
        <f aca="false">IF(AND(BJ45=1,BJ46&lt;=ROUNDUP(1/Input!$H$145,0)),MIN($D$55*Input!$H$79*Input!$H$145,MAX($D$55*Input!$H$79-$D$55*Input!$H$79*Input!$H$145*(BJ46-1),0)),0)</f>
        <v>0</v>
      </c>
      <c r="BK91" s="48" t="n">
        <f aca="false">IF(AND(BK45=1,BK46&lt;=ROUNDUP(1/Input!$H$145,0)),MIN($D$55*Input!$H$79*Input!$H$145,MAX($D$55*Input!$H$79-$D$55*Input!$H$79*Input!$H$145*(BK46-1),0)),0)</f>
        <v>0</v>
      </c>
      <c r="BL91" s="48" t="n">
        <f aca="false">IF(AND(BL45=1,BL46&lt;=ROUNDUP(1/Input!$H$145,0)),MIN($D$55*Input!$H$79*Input!$H$145,MAX($D$55*Input!$H$79-$D$55*Input!$H$79*Input!$H$145*(BL46-1),0)),0)</f>
        <v>0</v>
      </c>
      <c r="BM91" s="48" t="n">
        <f aca="false">IF(AND(BM45=1,BM46&lt;=ROUNDUP(1/Input!$H$145,0)),MIN($D$55*Input!$H$79*Input!$H$145,MAX($D$55*Input!$H$79-$D$55*Input!$H$79*Input!$H$145*(BM46-1),0)),0)</f>
        <v>0</v>
      </c>
      <c r="BN91" s="48" t="n">
        <f aca="false">IF(AND(BN45=1,BN46&lt;=ROUNDUP(1/Input!$H$145,0)),MIN($D$55*Input!$H$79*Input!$H$145,MAX($D$55*Input!$H$79-$D$55*Input!$H$79*Input!$H$145*(BN46-1),0)),0)</f>
        <v>0</v>
      </c>
      <c r="BO91" s="48" t="n">
        <f aca="false">IF(AND(BO45=1,BO46&lt;=ROUNDUP(1/Input!$H$145,0)),MIN($D$55*Input!$H$79*Input!$H$145,MAX($D$55*Input!$H$79-$D$55*Input!$H$79*Input!$H$145*(BO46-1),0)),0)</f>
        <v>0</v>
      </c>
      <c r="BP91" s="48" t="n">
        <f aca="false">IF(AND(BP45=1,BP46&lt;=ROUNDUP(1/Input!$H$145,0)),MIN($D$55*Input!$H$79*Input!$H$145,MAX($D$55*Input!$H$79-$D$55*Input!$H$79*Input!$H$145*(BP46-1),0)),0)</f>
        <v>0</v>
      </c>
      <c r="BQ91" s="48" t="n">
        <f aca="false">IF(AND(BQ45=1,BQ46&lt;=ROUNDUP(1/Input!$H$145,0)),MIN($D$55*Input!$H$79*Input!$H$145,MAX($D$55*Input!$H$79-$D$55*Input!$H$79*Input!$H$145*(BQ46-1),0)),0)</f>
        <v>0</v>
      </c>
      <c r="BR91" s="48" t="n">
        <f aca="false">IF(AND(BR45=1,BR46&lt;=ROUNDUP(1/Input!$H$145,0)),MIN($D$55*Input!$H$79*Input!$H$145,MAX($D$55*Input!$H$79-$D$55*Input!$H$79*Input!$H$145*(BR46-1),0)),0)</f>
        <v>0</v>
      </c>
      <c r="BS91" s="48" t="n">
        <f aca="false">IF(AND(BS45=1,BS46&lt;=ROUNDUP(1/Input!$H$145,0)),MIN($D$55*Input!$H$79*Input!$H$145,MAX($D$55*Input!$H$79-$D$55*Input!$H$79*Input!$H$145*(BS46-1),0)),0)</f>
        <v>0</v>
      </c>
      <c r="BT91" s="48" t="n">
        <f aca="false">IF(AND(BT45=1,BT46&lt;=ROUNDUP(1/Input!$H$145,0)),MIN($D$55*Input!$H$79*Input!$H$145,MAX($D$55*Input!$H$79-$D$55*Input!$H$79*Input!$H$145*(BT46-1),0)),0)</f>
        <v>0</v>
      </c>
      <c r="BU91" s="48" t="n">
        <f aca="false">IF(AND(BU45=1,BU46&lt;=ROUNDUP(1/Input!$H$145,0)),MIN($D$55*Input!$H$79*Input!$H$145,MAX($D$55*Input!$H$79-$D$55*Input!$H$79*Input!$H$145*(BU46-1),0)),0)</f>
        <v>0</v>
      </c>
      <c r="BV91" s="48" t="n">
        <f aca="false">IF(AND(BV45=1,BV46&lt;=ROUNDUP(1/Input!$H$145,0)),MIN($D$55*Input!$H$79*Input!$H$145,MAX($D$55*Input!$H$79-$D$55*Input!$H$79*Input!$H$145*(BV46-1),0)),0)</f>
        <v>0</v>
      </c>
      <c r="BW91" s="48" t="n">
        <f aca="false">IF(AND(BW45=1,BW46&lt;=ROUNDUP(1/Input!$H$145,0)),MIN($D$55*Input!$H$79*Input!$H$145,MAX($D$55*Input!$H$79-$D$55*Input!$H$79*Input!$H$145*(BW46-1),0)),0)</f>
        <v>0</v>
      </c>
      <c r="BX91" s="48" t="n">
        <f aca="false">IF(AND(BX45=1,BX46&lt;=ROUNDUP(1/Input!$H$145,0)),MIN($D$55*Input!$H$79*Input!$H$145,MAX($D$55*Input!$H$79-$D$55*Input!$H$79*Input!$H$145*(BX46-1),0)),0)</f>
        <v>0</v>
      </c>
    </row>
    <row r="92" customFormat="false" ht="15" hidden="false" customHeight="false" outlineLevel="0" collapsed="false">
      <c r="A92" s="1"/>
      <c r="B92" s="8" t="s">
        <v>352</v>
      </c>
      <c r="C92" s="8" t="s">
        <v>126</v>
      </c>
      <c r="D92" s="44" t="n">
        <f aca="false">SUM(G92:BX92)</f>
        <v>1257.5</v>
      </c>
      <c r="E92" s="1"/>
      <c r="F92" s="1"/>
      <c r="G92" s="48" t="n">
        <f aca="false">IF(AND(G45=1,G46&lt;=ROUNDUP(1/Input!$H$146,0)),MIN($D$55*Input!$H$80*Input!$H$146,MAX($D$55*Input!$H$80-$D$55*Input!$H$80*Input!$H$146*(G46-1),0)),0)</f>
        <v>0</v>
      </c>
      <c r="H92" s="48" t="n">
        <f aca="false">IF(AND(H45=1,H46&lt;=ROUNDUP(1/Input!$H$146,0)),MIN($D$55*Input!$H$80*Input!$H$146,MAX($D$55*Input!$H$80-$D$55*Input!$H$80*Input!$H$146*(H46-1),0)),0)</f>
        <v>0</v>
      </c>
      <c r="I92" s="48" t="n">
        <f aca="false">IF(AND(I45=1,I46&lt;=ROUNDUP(1/Input!$H$146,0)),MIN($D$55*Input!$H$80*Input!$H$146,MAX($D$55*Input!$H$80-$D$55*Input!$H$80*Input!$H$146*(I46-1),0)),0)</f>
        <v>0</v>
      </c>
      <c r="J92" s="48" t="n">
        <f aca="false">IF(AND(J45=1,J46&lt;=ROUNDUP(1/Input!$H$146,0)),MIN($D$55*Input!$H$80*Input!$H$146,MAX($D$55*Input!$H$80-$D$55*Input!$H$80*Input!$H$146*(J46-1),0)),0)</f>
        <v>0</v>
      </c>
      <c r="K92" s="48" t="n">
        <f aca="false">IF(AND(K45=1,K46&lt;=ROUNDUP(1/Input!$H$146,0)),MIN($D$55*Input!$H$80*Input!$H$146,MAX($D$55*Input!$H$80-$D$55*Input!$H$80*Input!$H$146*(K46-1),0)),0)</f>
        <v>0</v>
      </c>
      <c r="L92" s="48" t="n">
        <f aca="false">IF(AND(L45=1,L46&lt;=ROUNDUP(1/Input!$H$146,0)),MIN($D$55*Input!$H$80*Input!$H$146,MAX($D$55*Input!$H$80-$D$55*Input!$H$80*Input!$H$146*(L46-1),0)),0)</f>
        <v>0</v>
      </c>
      <c r="M92" s="48" t="n">
        <f aca="false">IF(AND(M45=1,M46&lt;=ROUNDUP(1/Input!$H$146,0)),MIN($D$55*Input!$H$80*Input!$H$146,MAX($D$55*Input!$H$80-$D$55*Input!$H$80*Input!$H$146*(M46-1),0)),0)</f>
        <v>0</v>
      </c>
      <c r="N92" s="48" t="n">
        <f aca="false">IF(AND(N45=1,N46&lt;=ROUNDUP(1/Input!$H$146,0)),MIN($D$55*Input!$H$80*Input!$H$146,MAX($D$55*Input!$H$80-$D$55*Input!$H$80*Input!$H$146*(N46-1),0)),0)</f>
        <v>0</v>
      </c>
      <c r="O92" s="48" t="n">
        <f aca="false">IF(AND(O45=1,O46&lt;=ROUNDUP(1/Input!$H$146,0)),MIN($D$55*Input!$H$80*Input!$H$146,MAX($D$55*Input!$H$80-$D$55*Input!$H$80*Input!$H$146*(O46-1),0)),0)</f>
        <v>125.75</v>
      </c>
      <c r="P92" s="48" t="n">
        <f aca="false">IF(AND(P45=1,P46&lt;=ROUNDUP(1/Input!$H$146,0)),MIN($D$55*Input!$H$80*Input!$H$146,MAX($D$55*Input!$H$80-$D$55*Input!$H$80*Input!$H$146*(P46-1),0)),0)</f>
        <v>125.75</v>
      </c>
      <c r="Q92" s="48" t="n">
        <f aca="false">IF(AND(Q45=1,Q46&lt;=ROUNDUP(1/Input!$H$146,0)),MIN($D$55*Input!$H$80*Input!$H$146,MAX($D$55*Input!$H$80-$D$55*Input!$H$80*Input!$H$146*(Q46-1),0)),0)</f>
        <v>125.75</v>
      </c>
      <c r="R92" s="48" t="n">
        <f aca="false">IF(AND(R45=1,R46&lt;=ROUNDUP(1/Input!$H$146,0)),MIN($D$55*Input!$H$80*Input!$H$146,MAX($D$55*Input!$H$80-$D$55*Input!$H$80*Input!$H$146*(R46-1),0)),0)</f>
        <v>125.75</v>
      </c>
      <c r="S92" s="48" t="n">
        <f aca="false">IF(AND(S45=1,S46&lt;=ROUNDUP(1/Input!$H$146,0)),MIN($D$55*Input!$H$80*Input!$H$146,MAX($D$55*Input!$H$80-$D$55*Input!$H$80*Input!$H$146*(S46-1),0)),0)</f>
        <v>125.75</v>
      </c>
      <c r="T92" s="48" t="n">
        <f aca="false">IF(AND(T45=1,T46&lt;=ROUNDUP(1/Input!$H$146,0)),MIN($D$55*Input!$H$80*Input!$H$146,MAX($D$55*Input!$H$80-$D$55*Input!$H$80*Input!$H$146*(T46-1),0)),0)</f>
        <v>125.75</v>
      </c>
      <c r="U92" s="48" t="n">
        <f aca="false">IF(AND(U45=1,U46&lt;=ROUNDUP(1/Input!$H$146,0)),MIN($D$55*Input!$H$80*Input!$H$146,MAX($D$55*Input!$H$80-$D$55*Input!$H$80*Input!$H$146*(U46-1),0)),0)</f>
        <v>125.75</v>
      </c>
      <c r="V92" s="48" t="n">
        <f aca="false">IF(AND(V45=1,V46&lt;=ROUNDUP(1/Input!$H$146,0)),MIN($D$55*Input!$H$80*Input!$H$146,MAX($D$55*Input!$H$80-$D$55*Input!$H$80*Input!$H$146*(V46-1),0)),0)</f>
        <v>125.75</v>
      </c>
      <c r="W92" s="48" t="n">
        <f aca="false">IF(AND(W45=1,W46&lt;=ROUNDUP(1/Input!$H$146,0)),MIN($D$55*Input!$H$80*Input!$H$146,MAX($D$55*Input!$H$80-$D$55*Input!$H$80*Input!$H$146*(W46-1),0)),0)</f>
        <v>125.75</v>
      </c>
      <c r="X92" s="48" t="n">
        <f aca="false">IF(AND(X45=1,X46&lt;=ROUNDUP(1/Input!$H$146,0)),MIN($D$55*Input!$H$80*Input!$H$146,MAX($D$55*Input!$H$80-$D$55*Input!$H$80*Input!$H$146*(X46-1),0)),0)</f>
        <v>125.75</v>
      </c>
      <c r="Y92" s="48" t="n">
        <f aca="false">IF(AND(Y45=1,Y46&lt;=ROUNDUP(1/Input!$H$146,0)),MIN($D$55*Input!$H$80*Input!$H$146,MAX($D$55*Input!$H$80-$D$55*Input!$H$80*Input!$H$146*(Y46-1),0)),0)</f>
        <v>0</v>
      </c>
      <c r="Z92" s="48" t="n">
        <f aca="false">IF(AND(Z45=1,Z46&lt;=ROUNDUP(1/Input!$H$146,0)),MIN($D$55*Input!$H$80*Input!$H$146,MAX($D$55*Input!$H$80-$D$55*Input!$H$80*Input!$H$146*(Z46-1),0)),0)</f>
        <v>0</v>
      </c>
      <c r="AA92" s="48" t="n">
        <f aca="false">IF(AND(AA45=1,AA46&lt;=ROUNDUP(1/Input!$H$146,0)),MIN($D$55*Input!$H$80*Input!$H$146,MAX($D$55*Input!$H$80-$D$55*Input!$H$80*Input!$H$146*(AA46-1),0)),0)</f>
        <v>0</v>
      </c>
      <c r="AB92" s="48" t="n">
        <f aca="false">IF(AND(AB45=1,AB46&lt;=ROUNDUP(1/Input!$H$146,0)),MIN($D$55*Input!$H$80*Input!$H$146,MAX($D$55*Input!$H$80-$D$55*Input!$H$80*Input!$H$146*(AB46-1),0)),0)</f>
        <v>0</v>
      </c>
      <c r="AC92" s="48" t="n">
        <f aca="false">IF(AND(AC45=1,AC46&lt;=ROUNDUP(1/Input!$H$146,0)),MIN($D$55*Input!$H$80*Input!$H$146,MAX($D$55*Input!$H$80-$D$55*Input!$H$80*Input!$H$146*(AC46-1),0)),0)</f>
        <v>0</v>
      </c>
      <c r="AD92" s="48" t="n">
        <f aca="false">IF(AND(AD45=1,AD46&lt;=ROUNDUP(1/Input!$H$146,0)),MIN($D$55*Input!$H$80*Input!$H$146,MAX($D$55*Input!$H$80-$D$55*Input!$H$80*Input!$H$146*(AD46-1),0)),0)</f>
        <v>0</v>
      </c>
      <c r="AE92" s="48" t="n">
        <f aca="false">IF(AND(AE45=1,AE46&lt;=ROUNDUP(1/Input!$H$146,0)),MIN($D$55*Input!$H$80*Input!$H$146,MAX($D$55*Input!$H$80-$D$55*Input!$H$80*Input!$H$146*(AE46-1),0)),0)</f>
        <v>0</v>
      </c>
      <c r="AF92" s="48" t="n">
        <f aca="false">IF(AND(AF45=1,AF46&lt;=ROUNDUP(1/Input!$H$146,0)),MIN($D$55*Input!$H$80*Input!$H$146,MAX($D$55*Input!$H$80-$D$55*Input!$H$80*Input!$H$146*(AF46-1),0)),0)</f>
        <v>0</v>
      </c>
      <c r="AG92" s="48" t="n">
        <f aca="false">IF(AND(AG45=1,AG46&lt;=ROUNDUP(1/Input!$H$146,0)),MIN($D$55*Input!$H$80*Input!$H$146,MAX($D$55*Input!$H$80-$D$55*Input!$H$80*Input!$H$146*(AG46-1),0)),0)</f>
        <v>0</v>
      </c>
      <c r="AH92" s="48" t="n">
        <f aca="false">IF(AND(AH45=1,AH46&lt;=ROUNDUP(1/Input!$H$146,0)),MIN($D$55*Input!$H$80*Input!$H$146,MAX($D$55*Input!$H$80-$D$55*Input!$H$80*Input!$H$146*(AH46-1),0)),0)</f>
        <v>0</v>
      </c>
      <c r="AI92" s="48" t="n">
        <f aca="false">IF(AND(AI45=1,AI46&lt;=ROUNDUP(1/Input!$H$146,0)),MIN($D$55*Input!$H$80*Input!$H$146,MAX($D$55*Input!$H$80-$D$55*Input!$H$80*Input!$H$146*(AI46-1),0)),0)</f>
        <v>0</v>
      </c>
      <c r="AJ92" s="48" t="n">
        <f aca="false">IF(AND(AJ45=1,AJ46&lt;=ROUNDUP(1/Input!$H$146,0)),MIN($D$55*Input!$H$80*Input!$H$146,MAX($D$55*Input!$H$80-$D$55*Input!$H$80*Input!$H$146*(AJ46-1),0)),0)</f>
        <v>0</v>
      </c>
      <c r="AK92" s="48" t="n">
        <f aca="false">IF(AND(AK45=1,AK46&lt;=ROUNDUP(1/Input!$H$146,0)),MIN($D$55*Input!$H$80*Input!$H$146,MAX($D$55*Input!$H$80-$D$55*Input!$H$80*Input!$H$146*(AK46-1),0)),0)</f>
        <v>0</v>
      </c>
      <c r="AL92" s="48" t="n">
        <f aca="false">IF(AND(AL45=1,AL46&lt;=ROUNDUP(1/Input!$H$146,0)),MIN($D$55*Input!$H$80*Input!$H$146,MAX($D$55*Input!$H$80-$D$55*Input!$H$80*Input!$H$146*(AL46-1),0)),0)</f>
        <v>0</v>
      </c>
      <c r="AM92" s="48" t="n">
        <f aca="false">IF(AND(AM45=1,AM46&lt;=ROUNDUP(1/Input!$H$146,0)),MIN($D$55*Input!$H$80*Input!$H$146,MAX($D$55*Input!$H$80-$D$55*Input!$H$80*Input!$H$146*(AM46-1),0)),0)</f>
        <v>0</v>
      </c>
      <c r="AN92" s="48" t="n">
        <f aca="false">IF(AND(AN45=1,AN46&lt;=ROUNDUP(1/Input!$H$146,0)),MIN($D$55*Input!$H$80*Input!$H$146,MAX($D$55*Input!$H$80-$D$55*Input!$H$80*Input!$H$146*(AN46-1),0)),0)</f>
        <v>0</v>
      </c>
      <c r="AO92" s="48" t="n">
        <f aca="false">IF(AND(AO45=1,AO46&lt;=ROUNDUP(1/Input!$H$146,0)),MIN($D$55*Input!$H$80*Input!$H$146,MAX($D$55*Input!$H$80-$D$55*Input!$H$80*Input!$H$146*(AO46-1),0)),0)</f>
        <v>0</v>
      </c>
      <c r="AP92" s="48" t="n">
        <f aca="false">IF(AND(AP45=1,AP46&lt;=ROUNDUP(1/Input!$H$146,0)),MIN($D$55*Input!$H$80*Input!$H$146,MAX($D$55*Input!$H$80-$D$55*Input!$H$80*Input!$H$146*(AP46-1),0)),0)</f>
        <v>0</v>
      </c>
      <c r="AQ92" s="48" t="n">
        <f aca="false">IF(AND(AQ45=1,AQ46&lt;=ROUNDUP(1/Input!$H$146,0)),MIN($D$55*Input!$H$80*Input!$H$146,MAX($D$55*Input!$H$80-$D$55*Input!$H$80*Input!$H$146*(AQ46-1),0)),0)</f>
        <v>0</v>
      </c>
      <c r="AR92" s="48" t="n">
        <f aca="false">IF(AND(AR45=1,AR46&lt;=ROUNDUP(1/Input!$H$146,0)),MIN($D$55*Input!$H$80*Input!$H$146,MAX($D$55*Input!$H$80-$D$55*Input!$H$80*Input!$H$146*(AR46-1),0)),0)</f>
        <v>0</v>
      </c>
      <c r="AS92" s="48" t="n">
        <f aca="false">IF(AND(AS45=1,AS46&lt;=ROUNDUP(1/Input!$H$146,0)),MIN($D$55*Input!$H$80*Input!$H$146,MAX($D$55*Input!$H$80-$D$55*Input!$H$80*Input!$H$146*(AS46-1),0)),0)</f>
        <v>0</v>
      </c>
      <c r="AT92" s="48" t="n">
        <f aca="false">IF(AND(AT45=1,AT46&lt;=ROUNDUP(1/Input!$H$146,0)),MIN($D$55*Input!$H$80*Input!$H$146,MAX($D$55*Input!$H$80-$D$55*Input!$H$80*Input!$H$146*(AT46-1),0)),0)</f>
        <v>0</v>
      </c>
      <c r="AU92" s="48" t="n">
        <f aca="false">IF(AND(AU45=1,AU46&lt;=ROUNDUP(1/Input!$H$146,0)),MIN($D$55*Input!$H$80*Input!$H$146,MAX($D$55*Input!$H$80-$D$55*Input!$H$80*Input!$H$146*(AU46-1),0)),0)</f>
        <v>0</v>
      </c>
      <c r="AV92" s="48" t="n">
        <f aca="false">IF(AND(AV45=1,AV46&lt;=ROUNDUP(1/Input!$H$146,0)),MIN($D$55*Input!$H$80*Input!$H$146,MAX($D$55*Input!$H$80-$D$55*Input!$H$80*Input!$H$146*(AV46-1),0)),0)</f>
        <v>0</v>
      </c>
      <c r="AW92" s="48" t="n">
        <f aca="false">IF(AND(AW45=1,AW46&lt;=ROUNDUP(1/Input!$H$146,0)),MIN($D$55*Input!$H$80*Input!$H$146,MAX($D$55*Input!$H$80-$D$55*Input!$H$80*Input!$H$146*(AW46-1),0)),0)</f>
        <v>0</v>
      </c>
      <c r="AX92" s="48" t="n">
        <f aca="false">IF(AND(AX45=1,AX46&lt;=ROUNDUP(1/Input!$H$146,0)),MIN($D$55*Input!$H$80*Input!$H$146,MAX($D$55*Input!$H$80-$D$55*Input!$H$80*Input!$H$146*(AX46-1),0)),0)</f>
        <v>0</v>
      </c>
      <c r="AY92" s="48" t="n">
        <f aca="false">IF(AND(AY45=1,AY46&lt;=ROUNDUP(1/Input!$H$146,0)),MIN($D$55*Input!$H$80*Input!$H$146,MAX($D$55*Input!$H$80-$D$55*Input!$H$80*Input!$H$146*(AY46-1),0)),0)</f>
        <v>0</v>
      </c>
      <c r="AZ92" s="48" t="n">
        <f aca="false">IF(AND(AZ45=1,AZ46&lt;=ROUNDUP(1/Input!$H$146,0)),MIN($D$55*Input!$H$80*Input!$H$146,MAX($D$55*Input!$H$80-$D$55*Input!$H$80*Input!$H$146*(AZ46-1),0)),0)</f>
        <v>0</v>
      </c>
      <c r="BA92" s="48" t="n">
        <f aca="false">IF(AND(BA45=1,BA46&lt;=ROUNDUP(1/Input!$H$146,0)),MIN($D$55*Input!$H$80*Input!$H$146,MAX($D$55*Input!$H$80-$D$55*Input!$H$80*Input!$H$146*(BA46-1),0)),0)</f>
        <v>0</v>
      </c>
      <c r="BB92" s="48" t="n">
        <f aca="false">IF(AND(BB45=1,BB46&lt;=ROUNDUP(1/Input!$H$146,0)),MIN($D$55*Input!$H$80*Input!$H$146,MAX($D$55*Input!$H$80-$D$55*Input!$H$80*Input!$H$146*(BB46-1),0)),0)</f>
        <v>0</v>
      </c>
      <c r="BC92" s="48" t="n">
        <f aca="false">IF(AND(BC45=1,BC46&lt;=ROUNDUP(1/Input!$H$146,0)),MIN($D$55*Input!$H$80*Input!$H$146,MAX($D$55*Input!$H$80-$D$55*Input!$H$80*Input!$H$146*(BC46-1),0)),0)</f>
        <v>0</v>
      </c>
      <c r="BD92" s="48" t="n">
        <f aca="false">IF(AND(BD45=1,BD46&lt;=ROUNDUP(1/Input!$H$146,0)),MIN($D$55*Input!$H$80*Input!$H$146,MAX($D$55*Input!$H$80-$D$55*Input!$H$80*Input!$H$146*(BD46-1),0)),0)</f>
        <v>0</v>
      </c>
      <c r="BE92" s="48" t="n">
        <f aca="false">IF(AND(BE45=1,BE46&lt;=ROUNDUP(1/Input!$H$146,0)),MIN($D$55*Input!$H$80*Input!$H$146,MAX($D$55*Input!$H$80-$D$55*Input!$H$80*Input!$H$146*(BE46-1),0)),0)</f>
        <v>0</v>
      </c>
      <c r="BF92" s="48" t="n">
        <f aca="false">IF(AND(BF45=1,BF46&lt;=ROUNDUP(1/Input!$H$146,0)),MIN($D$55*Input!$H$80*Input!$H$146,MAX($D$55*Input!$H$80-$D$55*Input!$H$80*Input!$H$146*(BF46-1),0)),0)</f>
        <v>0</v>
      </c>
      <c r="BG92" s="48" t="n">
        <f aca="false">IF(AND(BG45=1,BG46&lt;=ROUNDUP(1/Input!$H$146,0)),MIN($D$55*Input!$H$80*Input!$H$146,MAX($D$55*Input!$H$80-$D$55*Input!$H$80*Input!$H$146*(BG46-1),0)),0)</f>
        <v>0</v>
      </c>
      <c r="BH92" s="48" t="n">
        <f aca="false">IF(AND(BH45=1,BH46&lt;=ROUNDUP(1/Input!$H$146,0)),MIN($D$55*Input!$H$80*Input!$H$146,MAX($D$55*Input!$H$80-$D$55*Input!$H$80*Input!$H$146*(BH46-1),0)),0)</f>
        <v>0</v>
      </c>
      <c r="BI92" s="48" t="n">
        <f aca="false">IF(AND(BI45=1,BI46&lt;=ROUNDUP(1/Input!$H$146,0)),MIN($D$55*Input!$H$80*Input!$H$146,MAX($D$55*Input!$H$80-$D$55*Input!$H$80*Input!$H$146*(BI46-1),0)),0)</f>
        <v>0</v>
      </c>
      <c r="BJ92" s="48" t="n">
        <f aca="false">IF(AND(BJ45=1,BJ46&lt;=ROUNDUP(1/Input!$H$146,0)),MIN($D$55*Input!$H$80*Input!$H$146,MAX($D$55*Input!$H$80-$D$55*Input!$H$80*Input!$H$146*(BJ46-1),0)),0)</f>
        <v>0</v>
      </c>
      <c r="BK92" s="48" t="n">
        <f aca="false">IF(AND(BK45=1,BK46&lt;=ROUNDUP(1/Input!$H$146,0)),MIN($D$55*Input!$H$80*Input!$H$146,MAX($D$55*Input!$H$80-$D$55*Input!$H$80*Input!$H$146*(BK46-1),0)),0)</f>
        <v>0</v>
      </c>
      <c r="BL92" s="48" t="n">
        <f aca="false">IF(AND(BL45=1,BL46&lt;=ROUNDUP(1/Input!$H$146,0)),MIN($D$55*Input!$H$80*Input!$H$146,MAX($D$55*Input!$H$80-$D$55*Input!$H$80*Input!$H$146*(BL46-1),0)),0)</f>
        <v>0</v>
      </c>
      <c r="BM92" s="48" t="n">
        <f aca="false">IF(AND(BM45=1,BM46&lt;=ROUNDUP(1/Input!$H$146,0)),MIN($D$55*Input!$H$80*Input!$H$146,MAX($D$55*Input!$H$80-$D$55*Input!$H$80*Input!$H$146*(BM46-1),0)),0)</f>
        <v>0</v>
      </c>
      <c r="BN92" s="48" t="n">
        <f aca="false">IF(AND(BN45=1,BN46&lt;=ROUNDUP(1/Input!$H$146,0)),MIN($D$55*Input!$H$80*Input!$H$146,MAX($D$55*Input!$H$80-$D$55*Input!$H$80*Input!$H$146*(BN46-1),0)),0)</f>
        <v>0</v>
      </c>
      <c r="BO92" s="48" t="n">
        <f aca="false">IF(AND(BO45=1,BO46&lt;=ROUNDUP(1/Input!$H$146,0)),MIN($D$55*Input!$H$80*Input!$H$146,MAX($D$55*Input!$H$80-$D$55*Input!$H$80*Input!$H$146*(BO46-1),0)),0)</f>
        <v>0</v>
      </c>
      <c r="BP92" s="48" t="n">
        <f aca="false">IF(AND(BP45=1,BP46&lt;=ROUNDUP(1/Input!$H$146,0)),MIN($D$55*Input!$H$80*Input!$H$146,MAX($D$55*Input!$H$80-$D$55*Input!$H$80*Input!$H$146*(BP46-1),0)),0)</f>
        <v>0</v>
      </c>
      <c r="BQ92" s="48" t="n">
        <f aca="false">IF(AND(BQ45=1,BQ46&lt;=ROUNDUP(1/Input!$H$146,0)),MIN($D$55*Input!$H$80*Input!$H$146,MAX($D$55*Input!$H$80-$D$55*Input!$H$80*Input!$H$146*(BQ46-1),0)),0)</f>
        <v>0</v>
      </c>
      <c r="BR92" s="48" t="n">
        <f aca="false">IF(AND(BR45=1,BR46&lt;=ROUNDUP(1/Input!$H$146,0)),MIN($D$55*Input!$H$80*Input!$H$146,MAX($D$55*Input!$H$80-$D$55*Input!$H$80*Input!$H$146*(BR46-1),0)),0)</f>
        <v>0</v>
      </c>
      <c r="BS92" s="48" t="n">
        <f aca="false">IF(AND(BS45=1,BS46&lt;=ROUNDUP(1/Input!$H$146,0)),MIN($D$55*Input!$H$80*Input!$H$146,MAX($D$55*Input!$H$80-$D$55*Input!$H$80*Input!$H$146*(BS46-1),0)),0)</f>
        <v>0</v>
      </c>
      <c r="BT92" s="48" t="n">
        <f aca="false">IF(AND(BT45=1,BT46&lt;=ROUNDUP(1/Input!$H$146,0)),MIN($D$55*Input!$H$80*Input!$H$146,MAX($D$55*Input!$H$80-$D$55*Input!$H$80*Input!$H$146*(BT46-1),0)),0)</f>
        <v>0</v>
      </c>
      <c r="BU92" s="48" t="n">
        <f aca="false">IF(AND(BU45=1,BU46&lt;=ROUNDUP(1/Input!$H$146,0)),MIN($D$55*Input!$H$80*Input!$H$146,MAX($D$55*Input!$H$80-$D$55*Input!$H$80*Input!$H$146*(BU46-1),0)),0)</f>
        <v>0</v>
      </c>
      <c r="BV92" s="48" t="n">
        <f aca="false">IF(AND(BV45=1,BV46&lt;=ROUNDUP(1/Input!$H$146,0)),MIN($D$55*Input!$H$80*Input!$H$146,MAX($D$55*Input!$H$80-$D$55*Input!$H$80*Input!$H$146*(BV46-1),0)),0)</f>
        <v>0</v>
      </c>
      <c r="BW92" s="48" t="n">
        <f aca="false">IF(AND(BW45=1,BW46&lt;=ROUNDUP(1/Input!$H$146,0)),MIN($D$55*Input!$H$80*Input!$H$146,MAX($D$55*Input!$H$80-$D$55*Input!$H$80*Input!$H$146*(BW46-1),0)),0)</f>
        <v>0</v>
      </c>
      <c r="BX92" s="48" t="n">
        <f aca="false">IF(AND(BX45=1,BX46&lt;=ROUNDUP(1/Input!$H$146,0)),MIN($D$55*Input!$H$80*Input!$H$146,MAX($D$55*Input!$H$80-$D$55*Input!$H$80*Input!$H$146*(BX46-1),0)),0)</f>
        <v>0</v>
      </c>
    </row>
    <row r="93" customFormat="false" ht="15" hidden="false" customHeight="false" outlineLevel="0" collapsed="false">
      <c r="A93" s="1"/>
      <c r="B93" s="4" t="s">
        <v>353</v>
      </c>
      <c r="C93" s="8" t="s">
        <v>126</v>
      </c>
      <c r="D93" s="44" t="n">
        <f aca="false">SUM(G93:BX93)</f>
        <v>12575</v>
      </c>
      <c r="E93" s="1"/>
      <c r="F93" s="1"/>
      <c r="G93" s="44" t="n">
        <f aca="false">G88+G89+G90+G91+G92</f>
        <v>0</v>
      </c>
      <c r="H93" s="44" t="n">
        <f aca="false">H88+H89+H90+H91+H92</f>
        <v>0</v>
      </c>
      <c r="I93" s="44" t="n">
        <f aca="false">I88+I89+I90+I91+I92</f>
        <v>0</v>
      </c>
      <c r="J93" s="44" t="n">
        <f aca="false">J88+J89+J90+J91+J92</f>
        <v>0</v>
      </c>
      <c r="K93" s="44" t="n">
        <f aca="false">K88+K89+K90+K91+K92</f>
        <v>0</v>
      </c>
      <c r="L93" s="44" t="n">
        <f aca="false">L88+L89+L90+L91+L92</f>
        <v>0</v>
      </c>
      <c r="M93" s="44" t="n">
        <f aca="false">M88+M89+M90+M91+M92</f>
        <v>0</v>
      </c>
      <c r="N93" s="44" t="n">
        <f aca="false">N88+N89+N90+N91+N92</f>
        <v>0</v>
      </c>
      <c r="O93" s="44" t="n">
        <f aca="false">O88+O89+O90+O91+O92</f>
        <v>977.70625</v>
      </c>
      <c r="P93" s="44" t="n">
        <f aca="false">P88+P89+P90+P91+P92</f>
        <v>977.70625</v>
      </c>
      <c r="Q93" s="44" t="n">
        <f aca="false">Q88+Q89+Q90+Q91+Q92</f>
        <v>977.70625</v>
      </c>
      <c r="R93" s="44" t="n">
        <f aca="false">R88+R89+R90+R91+R92</f>
        <v>977.70625</v>
      </c>
      <c r="S93" s="44" t="n">
        <f aca="false">S88+S89+S90+S91+S92</f>
        <v>977.70625</v>
      </c>
      <c r="T93" s="44" t="n">
        <f aca="false">T88+T89+T90+T91+T92</f>
        <v>977.70625</v>
      </c>
      <c r="U93" s="44" t="n">
        <f aca="false">U88+U89+U90+U91+U92</f>
        <v>977.70625</v>
      </c>
      <c r="V93" s="44" t="n">
        <f aca="false">V88+V89+V90+V91+V92</f>
        <v>600.45625</v>
      </c>
      <c r="W93" s="44" t="n">
        <f aca="false">W88+W89+W90+W91+W92</f>
        <v>537.58125</v>
      </c>
      <c r="X93" s="44" t="n">
        <f aca="false">X88+X89+X90+X91+X92</f>
        <v>537.58125</v>
      </c>
      <c r="Y93" s="44" t="n">
        <f aca="false">Y88+Y89+Y90+Y91+Y92</f>
        <v>411.83125</v>
      </c>
      <c r="Z93" s="44" t="n">
        <f aca="false">Z88+Z89+Z90+Z91+Z92</f>
        <v>411.83125</v>
      </c>
      <c r="AA93" s="44" t="n">
        <f aca="false">AA88+AA89+AA90+AA91+AA92</f>
        <v>411.83125</v>
      </c>
      <c r="AB93" s="44" t="n">
        <f aca="false">AB88+AB89+AB90+AB91+AB92</f>
        <v>411.83125</v>
      </c>
      <c r="AC93" s="44" t="n">
        <f aca="false">AC88+AC89+AC90+AC91+AC92</f>
        <v>223.206249999999</v>
      </c>
      <c r="AD93" s="44" t="n">
        <f aca="false">AD88+AD89+AD90+AD91+AD92</f>
        <v>147.75625</v>
      </c>
      <c r="AE93" s="44" t="n">
        <f aca="false">AE88+AE89+AE90+AE91+AE92</f>
        <v>147.75625</v>
      </c>
      <c r="AF93" s="44" t="n">
        <f aca="false">AF88+AF89+AF90+AF91+AF92</f>
        <v>147.75625</v>
      </c>
      <c r="AG93" s="44" t="n">
        <f aca="false">AG88+AG89+AG90+AG91+AG92</f>
        <v>147.75625</v>
      </c>
      <c r="AH93" s="44" t="n">
        <f aca="false">AH88+AH89+AH90+AH91+AH92</f>
        <v>147.75625</v>
      </c>
      <c r="AI93" s="44" t="n">
        <f aca="false">AI88+AI89+AI90+AI91+AI92</f>
        <v>147.75625</v>
      </c>
      <c r="AJ93" s="44" t="n">
        <f aca="false">AJ88+AJ89+AJ90+AJ91+AJ92</f>
        <v>147.75625</v>
      </c>
      <c r="AK93" s="44" t="n">
        <f aca="false">AK88+AK89+AK90+AK91+AK92</f>
        <v>81.7375000000002</v>
      </c>
      <c r="AL93" s="44" t="n">
        <f aca="false">AL88+AL89+AL90+AL91+AL92</f>
        <v>62.875</v>
      </c>
      <c r="AM93" s="44" t="n">
        <f aca="false">AM88+AM89+AM90+AM91+AM92</f>
        <v>62.875</v>
      </c>
      <c r="AN93" s="44" t="n">
        <f aca="false">AN88+AN89+AN90+AN91+AN92</f>
        <v>62.875</v>
      </c>
      <c r="AO93" s="44" t="n">
        <f aca="false">AO88+AO89+AO90+AO91+AO92</f>
        <v>62.875</v>
      </c>
      <c r="AP93" s="44" t="n">
        <f aca="false">AP88+AP89+AP90+AP91+AP92</f>
        <v>62.875</v>
      </c>
      <c r="AQ93" s="44" t="n">
        <f aca="false">AQ88+AQ89+AQ90+AQ91+AQ92</f>
        <v>62.875</v>
      </c>
      <c r="AR93" s="44" t="n">
        <f aca="false">AR88+AR89+AR90+AR91+AR92</f>
        <v>62.875</v>
      </c>
      <c r="AS93" s="44" t="n">
        <f aca="false">AS88+AS89+AS90+AS91+AS92</f>
        <v>62.875</v>
      </c>
      <c r="AT93" s="44" t="n">
        <f aca="false">AT88+AT89+AT90+AT91+AT92</f>
        <v>62.875</v>
      </c>
      <c r="AU93" s="44" t="n">
        <f aca="false">AU88+AU89+AU90+AU91+AU92</f>
        <v>62.875</v>
      </c>
      <c r="AV93" s="44" t="n">
        <f aca="false">AV88+AV89+AV90+AV91+AV92</f>
        <v>62.875</v>
      </c>
      <c r="AW93" s="44" t="n">
        <f aca="false">AW88+AW89+AW90+AW91+AW92</f>
        <v>62.875</v>
      </c>
      <c r="AX93" s="44" t="n">
        <f aca="false">AX88+AX89+AX90+AX91+AX92</f>
        <v>62.875</v>
      </c>
      <c r="AY93" s="44" t="n">
        <f aca="false">AY88+AY89+AY90+AY91+AY92</f>
        <v>62.875</v>
      </c>
      <c r="AZ93" s="44" t="n">
        <f aca="false">AZ88+AZ89+AZ90+AZ91+AZ92</f>
        <v>62.875</v>
      </c>
      <c r="BA93" s="44" t="n">
        <f aca="false">BA88+BA89+BA90+BA91+BA92</f>
        <v>62.875</v>
      </c>
      <c r="BB93" s="44" t="n">
        <f aca="false">BB88+BB89+BB90+BB91+BB92</f>
        <v>62.875</v>
      </c>
      <c r="BC93" s="44" t="n">
        <f aca="false">BC88+BC89+BC90+BC91+BC92</f>
        <v>0</v>
      </c>
      <c r="BD93" s="44" t="n">
        <f aca="false">BD88+BD89+BD90+BD91+BD92</f>
        <v>0</v>
      </c>
      <c r="BE93" s="44" t="n">
        <f aca="false">BE88+BE89+BE90+BE91+BE92</f>
        <v>0</v>
      </c>
      <c r="BF93" s="44" t="n">
        <f aca="false">BF88+BF89+BF90+BF91+BF92</f>
        <v>0</v>
      </c>
      <c r="BG93" s="44" t="n">
        <f aca="false">BG88+BG89+BG90+BG91+BG92</f>
        <v>0</v>
      </c>
      <c r="BH93" s="44" t="n">
        <f aca="false">BH88+BH89+BH90+BH91+BH92</f>
        <v>0</v>
      </c>
      <c r="BI93" s="44" t="n">
        <f aca="false">BI88+BI89+BI90+BI91+BI92</f>
        <v>0</v>
      </c>
      <c r="BJ93" s="44" t="n">
        <f aca="false">BJ88+BJ89+BJ90+BJ91+BJ92</f>
        <v>0</v>
      </c>
      <c r="BK93" s="44" t="n">
        <f aca="false">BK88+BK89+BK90+BK91+BK92</f>
        <v>0</v>
      </c>
      <c r="BL93" s="44" t="n">
        <f aca="false">BL88+BL89+BL90+BL91+BL92</f>
        <v>0</v>
      </c>
      <c r="BM93" s="44" t="n">
        <f aca="false">BM88+BM89+BM90+BM91+BM92</f>
        <v>0</v>
      </c>
      <c r="BN93" s="44" t="n">
        <f aca="false">BN88+BN89+BN90+BN91+BN92</f>
        <v>0</v>
      </c>
      <c r="BO93" s="44" t="n">
        <f aca="false">BO88+BO89+BO90+BO91+BO92</f>
        <v>0</v>
      </c>
      <c r="BP93" s="44" t="n">
        <f aca="false">BP88+BP89+BP90+BP91+BP92</f>
        <v>0</v>
      </c>
      <c r="BQ93" s="44" t="n">
        <f aca="false">BQ88+BQ89+BQ90+BQ91+BQ92</f>
        <v>0</v>
      </c>
      <c r="BR93" s="44" t="n">
        <f aca="false">BR88+BR89+BR90+BR91+BR92</f>
        <v>0</v>
      </c>
      <c r="BS93" s="44" t="n">
        <f aca="false">BS88+BS89+BS90+BS91+BS92</f>
        <v>0</v>
      </c>
      <c r="BT93" s="44" t="n">
        <f aca="false">BT88+BT89+BT90+BT91+BT92</f>
        <v>0</v>
      </c>
      <c r="BU93" s="44" t="n">
        <f aca="false">BU88+BU89+BU90+BU91+BU92</f>
        <v>0</v>
      </c>
      <c r="BV93" s="44" t="n">
        <f aca="false">BV88+BV89+BV90+BV91+BV92</f>
        <v>0</v>
      </c>
      <c r="BW93" s="44" t="n">
        <f aca="false">BW88+BW89+BW90+BW91+BW92</f>
        <v>0</v>
      </c>
      <c r="BX93" s="44" t="n">
        <f aca="false">BX88+BX89+BX90+BX91+BX92</f>
        <v>0</v>
      </c>
    </row>
    <row r="94" customFormat="false" ht="15" hidden="false" customHeight="false" outlineLevel="0" collapsed="false">
      <c r="A94" s="1"/>
      <c r="B94" s="8" t="s">
        <v>354</v>
      </c>
      <c r="C94" s="8" t="s">
        <v>126</v>
      </c>
      <c r="D94" s="44" t="n">
        <f aca="false">SUM(G94:BX94)</f>
        <v>32895.5775544482</v>
      </c>
      <c r="E94" s="1"/>
      <c r="F94" s="1"/>
      <c r="G94" s="48" t="n">
        <f aca="false">G84-G93-G85</f>
        <v>0</v>
      </c>
      <c r="H94" s="48" t="n">
        <f aca="false">H84-H93-H85</f>
        <v>0</v>
      </c>
      <c r="I94" s="48" t="n">
        <f aca="false">I84-I93-I85</f>
        <v>0</v>
      </c>
      <c r="J94" s="48" t="n">
        <f aca="false">J84-J93-J85</f>
        <v>0</v>
      </c>
      <c r="K94" s="48" t="n">
        <f aca="false">K84-K93-K85</f>
        <v>0</v>
      </c>
      <c r="L94" s="48" t="n">
        <f aca="false">L84-L93-L85</f>
        <v>0</v>
      </c>
      <c r="M94" s="48" t="n">
        <f aca="false">M84-M93-M85</f>
        <v>0</v>
      </c>
      <c r="N94" s="48" t="n">
        <f aca="false">N84-N93-N85</f>
        <v>0</v>
      </c>
      <c r="O94" s="48" t="n">
        <f aca="false">O84-O93-O85</f>
        <v>-158.949364380081</v>
      </c>
      <c r="P94" s="48" t="n">
        <f aca="false">P84-P93-P85</f>
        <v>-206.572262218509</v>
      </c>
      <c r="Q94" s="48" t="n">
        <f aca="false">Q84-Q93-Q85</f>
        <v>-206.583570248318</v>
      </c>
      <c r="R94" s="48" t="n">
        <f aca="false">R84-R93-R85</f>
        <v>-43.1936059313058</v>
      </c>
      <c r="S94" s="48" t="n">
        <f aca="false">S84-S93-S85</f>
        <v>-92.3361240591188</v>
      </c>
      <c r="T94" s="48" t="n">
        <f aca="false">T84-T93-T85</f>
        <v>-92.3478160820904</v>
      </c>
      <c r="U94" s="48" t="n">
        <f aca="false">U84-U93-U85</f>
        <v>-43.2159126095015</v>
      </c>
      <c r="V94" s="48" t="n">
        <f aca="false">V84-V93-V85</f>
        <v>284.903710197103</v>
      </c>
      <c r="W94" s="48" t="n">
        <f aca="false">W84-W93-W85</f>
        <v>347.779257280327</v>
      </c>
      <c r="X94" s="48" t="n">
        <f aca="false">X84-X93-X85</f>
        <v>315.025469210678</v>
      </c>
      <c r="Y94" s="48" t="n">
        <f aca="false">Y84-Y93-Y85</f>
        <v>473.530128447076</v>
      </c>
      <c r="Z94" s="48" t="n">
        <f aca="false">Z84-Z93-Z85</f>
        <v>473.530557834568</v>
      </c>
      <c r="AA94" s="48" t="n">
        <f aca="false">AA84-AA93-AA85</f>
        <v>522.66219087393</v>
      </c>
      <c r="AB94" s="48" t="n">
        <f aca="false">AB84-AB93-AB85</f>
        <v>473.530591070417</v>
      </c>
      <c r="AC94" s="48" t="n">
        <f aca="false">AC84-AC93-AC85</f>
        <v>662.156310539349</v>
      </c>
      <c r="AD94" s="48" t="n">
        <f aca="false">AD84-AD93-AD85</f>
        <v>786.738499095647</v>
      </c>
      <c r="AE94" s="48" t="n">
        <f aca="false">AE84-AE93-AE85</f>
        <v>737.61978479588</v>
      </c>
      <c r="AF94" s="48" t="n">
        <f aca="false">AF84-AF93-AF85</f>
        <v>737.632711244892</v>
      </c>
      <c r="AG94" s="48" t="n">
        <f aca="false">AG84-AG93-AG85</f>
        <v>786.777009295239</v>
      </c>
      <c r="AH94" s="48" t="n">
        <f aca="false">AH84-AH93-AH85</f>
        <v>688.52746312578</v>
      </c>
      <c r="AI94" s="48" t="n">
        <f aca="false">AI84-AI93-AI85</f>
        <v>737.671960125356</v>
      </c>
      <c r="AJ94" s="48" t="n">
        <f aca="false">AJ84-AJ93-AJ85</f>
        <v>786.816337564444</v>
      </c>
      <c r="AK94" s="48" t="n">
        <f aca="false">AK84-AK93-AK85</f>
        <v>803.717069971775</v>
      </c>
      <c r="AL94" s="48" t="n">
        <f aca="false">AL84-AL93-AL85</f>
        <v>822.592856826332</v>
      </c>
      <c r="AM94" s="48" t="n">
        <f aca="false">AM84-AM93-AM85</f>
        <v>871.737617784396</v>
      </c>
      <c r="AN94" s="48" t="n">
        <f aca="false">AN84-AN93-AN85</f>
        <v>822.61975899184</v>
      </c>
      <c r="AO94" s="48" t="n">
        <f aca="false">AO84-AO93-AO85</f>
        <v>822.633210074594</v>
      </c>
      <c r="AP94" s="48" t="n">
        <f aca="false">AP84-AP93-AP85</f>
        <v>871.764519949904</v>
      </c>
      <c r="AQ94" s="48" t="n">
        <f aca="false">AQ84-AQ93-AQ85</f>
        <v>822.633210074594</v>
      </c>
      <c r="AR94" s="48" t="n">
        <f aca="false">AR84-AR93-AR85</f>
        <v>773.501900199284</v>
      </c>
      <c r="AS94" s="48" t="n">
        <f aca="false">AS84-AS93-AS85</f>
        <v>871.764519949904</v>
      </c>
      <c r="AT94" s="48" t="n">
        <f aca="false">AT84-AT93-AT85</f>
        <v>822.633210074594</v>
      </c>
      <c r="AU94" s="48" t="n">
        <f aca="false">AU84-AU93-AU85</f>
        <v>822.633210074594</v>
      </c>
      <c r="AV94" s="48" t="n">
        <f aca="false">AV84-AV93-AV85</f>
        <v>871.764519949904</v>
      </c>
      <c r="AW94" s="48" t="n">
        <f aca="false">AW84-AW93-AW85</f>
        <v>822.633210074594</v>
      </c>
      <c r="AX94" s="48" t="n">
        <f aca="false">AX84-AX93-AX85</f>
        <v>822.633210074594</v>
      </c>
      <c r="AY94" s="48" t="n">
        <f aca="false">AY84-AY93-AY85</f>
        <v>871.764519949904</v>
      </c>
      <c r="AZ94" s="48" t="n">
        <f aca="false">AZ84-AZ93-AZ85</f>
        <v>822.633210074594</v>
      </c>
      <c r="BA94" s="48" t="n">
        <f aca="false">BA84-BA93-BA85</f>
        <v>822.633210074594</v>
      </c>
      <c r="BB94" s="48" t="n">
        <f aca="false">BB84-BB93-BB85</f>
        <v>789.879003491054</v>
      </c>
      <c r="BC94" s="48" t="n">
        <f aca="false">BC84-BC93-BC85</f>
        <v>490.369739967617</v>
      </c>
      <c r="BD94" s="48" t="n">
        <f aca="false">BD84-BD93-BD85</f>
        <v>490.369739967617</v>
      </c>
      <c r="BE94" s="48" t="n">
        <f aca="false">BE84-BE93-BE85</f>
        <v>528.198494280322</v>
      </c>
      <c r="BF94" s="48" t="n">
        <f aca="false">BF84-BF93-BF85</f>
        <v>490.369739967617</v>
      </c>
      <c r="BG94" s="48" t="n">
        <f aca="false">BG84-BG93-BG85</f>
        <v>490.369739967617</v>
      </c>
      <c r="BH94" s="48" t="n">
        <f aca="false">BH84-BH93-BH85</f>
        <v>528.198494280322</v>
      </c>
      <c r="BI94" s="48" t="n">
        <f aca="false">BI84-BI93-BI85</f>
        <v>490.369739967617</v>
      </c>
      <c r="BJ94" s="48" t="n">
        <f aca="false">BJ84-BJ93-BJ85</f>
        <v>490.369739967617</v>
      </c>
      <c r="BK94" s="48" t="n">
        <f aca="false">BK84-BK93-BK85</f>
        <v>528.198494280322</v>
      </c>
      <c r="BL94" s="48" t="n">
        <f aca="false">BL84-BL93-BL85</f>
        <v>459.037208161022</v>
      </c>
      <c r="BM94" s="48" t="n">
        <f aca="false">BM84-BM93-BM85</f>
        <v>490.369739967617</v>
      </c>
      <c r="BN94" s="48" t="n">
        <f aca="false">BN84-BN93-BN85</f>
        <v>528.198494280322</v>
      </c>
      <c r="BO94" s="48" t="n">
        <f aca="false">BO84-BO93-BO85</f>
        <v>490.369739967617</v>
      </c>
      <c r="BP94" s="48" t="n">
        <f aca="false">BP84-BP93-BP85</f>
        <v>490.369739967617</v>
      </c>
      <c r="BQ94" s="48" t="n">
        <f aca="false">BQ84-BQ93-BQ85</f>
        <v>528.198494280322</v>
      </c>
      <c r="BR94" s="48" t="n">
        <f aca="false">BR84-BR93-BR85</f>
        <v>490.369739967617</v>
      </c>
      <c r="BS94" s="48" t="n">
        <f aca="false">BS84-BS93-BS85</f>
        <v>490.369739967617</v>
      </c>
      <c r="BT94" s="48" t="n">
        <f aca="false">BT84-BT93-BT85</f>
        <v>528.198494280322</v>
      </c>
      <c r="BU94" s="48" t="n">
        <f aca="false">BU84-BU93-BU85</f>
        <v>490.369739967617</v>
      </c>
      <c r="BV94" s="48" t="n">
        <f aca="false">BV84-BV93-BV85</f>
        <v>459.037208161022</v>
      </c>
      <c r="BW94" s="48" t="n">
        <f aca="false">BW84-BW93-BW85</f>
        <v>0</v>
      </c>
      <c r="BX94" s="48" t="n">
        <f aca="false">BX84-BX93-BX85</f>
        <v>0</v>
      </c>
    </row>
    <row r="95" customFormat="false" ht="15" hidden="false" customHeight="false" outlineLevel="0" collapsed="false">
      <c r="A95" s="1"/>
      <c r="B95" s="8" t="s">
        <v>355</v>
      </c>
      <c r="C95" s="8" t="s">
        <v>126</v>
      </c>
      <c r="D95" s="1"/>
      <c r="E95" s="1"/>
      <c r="F95" s="1"/>
      <c r="G95" s="48" t="n">
        <f aca="false">0</f>
        <v>0</v>
      </c>
      <c r="H95" s="48" t="n">
        <f aca="false">IF(H94&gt;0,MIN(G96,0.5*H94),0)</f>
        <v>0</v>
      </c>
      <c r="I95" s="48" t="n">
        <f aca="false">IF(I94&gt;0,MIN(H96,0.5*I94),0)</f>
        <v>0</v>
      </c>
      <c r="J95" s="48" t="n">
        <f aca="false">IF(J94&gt;0,MIN(I96,0.5*J94),0)</f>
        <v>0</v>
      </c>
      <c r="K95" s="48" t="n">
        <f aca="false">IF(K94&gt;0,MIN(J96,0.5*K94),0)</f>
        <v>0</v>
      </c>
      <c r="L95" s="48" t="n">
        <f aca="false">IF(L94&gt;0,MIN(K96,0.5*L94),0)</f>
        <v>0</v>
      </c>
      <c r="M95" s="48" t="n">
        <f aca="false">IF(M94&gt;0,MIN(L96,0.5*M94),0)</f>
        <v>0</v>
      </c>
      <c r="N95" s="48" t="n">
        <f aca="false">IF(N94&gt;0,MIN(M96,0.5*N94),0)</f>
        <v>0</v>
      </c>
      <c r="O95" s="48" t="n">
        <f aca="false">IF(O94&gt;0,MIN(N96,0.5*O94),0)</f>
        <v>0</v>
      </c>
      <c r="P95" s="48" t="n">
        <f aca="false">IF(P94&gt;0,MIN(O96,0.5*P94),0)</f>
        <v>0</v>
      </c>
      <c r="Q95" s="48" t="n">
        <f aca="false">IF(Q94&gt;0,MIN(P96,0.5*Q94),0)</f>
        <v>0</v>
      </c>
      <c r="R95" s="48" t="n">
        <f aca="false">IF(R94&gt;0,MIN(Q96,0.5*R94),0)</f>
        <v>0</v>
      </c>
      <c r="S95" s="48" t="n">
        <f aca="false">IF(S94&gt;0,MIN(R96,0.5*S94),0)</f>
        <v>0</v>
      </c>
      <c r="T95" s="48" t="n">
        <f aca="false">IF(T94&gt;0,MIN(S96,0.5*T94),0)</f>
        <v>0</v>
      </c>
      <c r="U95" s="48" t="n">
        <f aca="false">IF(U94&gt;0,MIN(T96,0.5*U94),0)</f>
        <v>0</v>
      </c>
      <c r="V95" s="48" t="n">
        <f aca="false">IF(V94&gt;0,MIN(U96,0.5*V94),0)</f>
        <v>142.451855098552</v>
      </c>
      <c r="W95" s="48" t="n">
        <f aca="false">IF(W94&gt;0,MIN(V96,0.5*W94),0)</f>
        <v>173.889628640164</v>
      </c>
      <c r="X95" s="48" t="n">
        <f aca="false">IF(X94&gt;0,MIN(W96,0.5*X94),0)</f>
        <v>157.512734605339</v>
      </c>
      <c r="Y95" s="48" t="n">
        <f aca="false">IF(Y94&gt;0,MIN(X96,0.5*Y94),0)</f>
        <v>236.765064223538</v>
      </c>
      <c r="Z95" s="48" t="n">
        <f aca="false">IF(Z94&gt;0,MIN(Y96,0.5*Z94),0)</f>
        <v>132.579372961333</v>
      </c>
      <c r="AA95" s="48" t="n">
        <f aca="false">IF(AA94&gt;0,MIN(Z96,0.5*AA94),0)</f>
        <v>0</v>
      </c>
      <c r="AB95" s="48" t="n">
        <f aca="false">IF(AB94&gt;0,MIN(AA96,0.5*AB94),0)</f>
        <v>0</v>
      </c>
      <c r="AC95" s="48" t="n">
        <f aca="false">IF(AC94&gt;0,MIN(AB96,0.5*AC94),0)</f>
        <v>0</v>
      </c>
      <c r="AD95" s="48" t="n">
        <f aca="false">IF(AD94&gt;0,MIN(AC96,0.5*AD94),0)</f>
        <v>0</v>
      </c>
      <c r="AE95" s="48" t="n">
        <f aca="false">IF(AE94&gt;0,MIN(AD96,0.5*AE94),0)</f>
        <v>0</v>
      </c>
      <c r="AF95" s="48" t="n">
        <f aca="false">IF(AF94&gt;0,MIN(AE96,0.5*AF94),0)</f>
        <v>0</v>
      </c>
      <c r="AG95" s="48" t="n">
        <f aca="false">IF(AG94&gt;0,MIN(AF96,0.5*AG94),0)</f>
        <v>0</v>
      </c>
      <c r="AH95" s="48" t="n">
        <f aca="false">IF(AH94&gt;0,MIN(AG96,0.5*AH94),0)</f>
        <v>0</v>
      </c>
      <c r="AI95" s="48" t="n">
        <f aca="false">IF(AI94&gt;0,MIN(AH96,0.5*AI94),0)</f>
        <v>0</v>
      </c>
      <c r="AJ95" s="48" t="n">
        <f aca="false">IF(AJ94&gt;0,MIN(AI96,0.5*AJ94),0)</f>
        <v>0</v>
      </c>
      <c r="AK95" s="48" t="n">
        <f aca="false">IF(AK94&gt;0,MIN(AJ96,0.5*AK94),0)</f>
        <v>0</v>
      </c>
      <c r="AL95" s="48" t="n">
        <f aca="false">IF(AL94&gt;0,MIN(AK96,0.5*AL94),0)</f>
        <v>0</v>
      </c>
      <c r="AM95" s="48" t="n">
        <f aca="false">IF(AM94&gt;0,MIN(AL96,0.5*AM94),0)</f>
        <v>0</v>
      </c>
      <c r="AN95" s="48" t="n">
        <f aca="false">IF(AN94&gt;0,MIN(AM96,0.5*AN94),0)</f>
        <v>0</v>
      </c>
      <c r="AO95" s="48" t="n">
        <f aca="false">IF(AO94&gt;0,MIN(AN96,0.5*AO94),0)</f>
        <v>0</v>
      </c>
      <c r="AP95" s="48" t="n">
        <f aca="false">IF(AP94&gt;0,MIN(AO96,0.5*AP94),0)</f>
        <v>0</v>
      </c>
      <c r="AQ95" s="48" t="n">
        <f aca="false">IF(AQ94&gt;0,MIN(AP96,0.5*AQ94),0)</f>
        <v>0</v>
      </c>
      <c r="AR95" s="48" t="n">
        <f aca="false">IF(AR94&gt;0,MIN(AQ96,0.5*AR94),0)</f>
        <v>0</v>
      </c>
      <c r="AS95" s="48" t="n">
        <f aca="false">IF(AS94&gt;0,MIN(AR96,0.5*AS94),0)</f>
        <v>0</v>
      </c>
      <c r="AT95" s="48" t="n">
        <f aca="false">IF(AT94&gt;0,MIN(AS96,0.5*AT94),0)</f>
        <v>0</v>
      </c>
      <c r="AU95" s="48" t="n">
        <f aca="false">IF(AU94&gt;0,MIN(AT96,0.5*AU94),0)</f>
        <v>0</v>
      </c>
      <c r="AV95" s="48" t="n">
        <f aca="false">IF(AV94&gt;0,MIN(AU96,0.5*AV94),0)</f>
        <v>0</v>
      </c>
      <c r="AW95" s="48" t="n">
        <f aca="false">IF(AW94&gt;0,MIN(AV96,0.5*AW94),0)</f>
        <v>0</v>
      </c>
      <c r="AX95" s="48" t="n">
        <f aca="false">IF(AX94&gt;0,MIN(AW96,0.5*AX94),0)</f>
        <v>0</v>
      </c>
      <c r="AY95" s="48" t="n">
        <f aca="false">IF(AY94&gt;0,MIN(AX96,0.5*AY94),0)</f>
        <v>0</v>
      </c>
      <c r="AZ95" s="48" t="n">
        <f aca="false">IF(AZ94&gt;0,MIN(AY96,0.5*AZ94),0)</f>
        <v>0</v>
      </c>
      <c r="BA95" s="48" t="n">
        <f aca="false">IF(BA94&gt;0,MIN(AZ96,0.5*BA94),0)</f>
        <v>0</v>
      </c>
      <c r="BB95" s="48" t="n">
        <f aca="false">IF(BB94&gt;0,MIN(BA96,0.5*BB94),0)</f>
        <v>0</v>
      </c>
      <c r="BC95" s="48" t="n">
        <f aca="false">IF(BC94&gt;0,MIN(BB96,0.5*BC94),0)</f>
        <v>0</v>
      </c>
      <c r="BD95" s="48" t="n">
        <f aca="false">IF(BD94&gt;0,MIN(BC96,0.5*BD94),0)</f>
        <v>0</v>
      </c>
      <c r="BE95" s="48" t="n">
        <f aca="false">IF(BE94&gt;0,MIN(BD96,0.5*BE94),0)</f>
        <v>0</v>
      </c>
      <c r="BF95" s="48" t="n">
        <f aca="false">IF(BF94&gt;0,MIN(BE96,0.5*BF94),0)</f>
        <v>0</v>
      </c>
      <c r="BG95" s="48" t="n">
        <f aca="false">IF(BG94&gt;0,MIN(BF96,0.5*BG94),0)</f>
        <v>0</v>
      </c>
      <c r="BH95" s="48" t="n">
        <f aca="false">IF(BH94&gt;0,MIN(BG96,0.5*BH94),0)</f>
        <v>0</v>
      </c>
      <c r="BI95" s="48" t="n">
        <f aca="false">IF(BI94&gt;0,MIN(BH96,0.5*BI94),0)</f>
        <v>0</v>
      </c>
      <c r="BJ95" s="48" t="n">
        <f aca="false">IF(BJ94&gt;0,MIN(BI96,0.5*BJ94),0)</f>
        <v>0</v>
      </c>
      <c r="BK95" s="48" t="n">
        <f aca="false">IF(BK94&gt;0,MIN(BJ96,0.5*BK94),0)</f>
        <v>0</v>
      </c>
      <c r="BL95" s="48" t="n">
        <f aca="false">IF(BL94&gt;0,MIN(BK96,0.5*BL94),0)</f>
        <v>0</v>
      </c>
      <c r="BM95" s="48" t="n">
        <f aca="false">IF(BM94&gt;0,MIN(BL96,0.5*BM94),0)</f>
        <v>0</v>
      </c>
      <c r="BN95" s="48" t="n">
        <f aca="false">IF(BN94&gt;0,MIN(BM96,0.5*BN94),0)</f>
        <v>0</v>
      </c>
      <c r="BO95" s="48" t="n">
        <f aca="false">IF(BO94&gt;0,MIN(BN96,0.5*BO94),0)</f>
        <v>0</v>
      </c>
      <c r="BP95" s="48" t="n">
        <f aca="false">IF(BP94&gt;0,MIN(BO96,0.5*BP94),0)</f>
        <v>0</v>
      </c>
      <c r="BQ95" s="48" t="n">
        <f aca="false">IF(BQ94&gt;0,MIN(BP96,0.5*BQ94),0)</f>
        <v>0</v>
      </c>
      <c r="BR95" s="48" t="n">
        <f aca="false">IF(BR94&gt;0,MIN(BQ96,0.5*BR94),0)</f>
        <v>0</v>
      </c>
      <c r="BS95" s="48" t="n">
        <f aca="false">IF(BS94&gt;0,MIN(BR96,0.5*BS94),0)</f>
        <v>0</v>
      </c>
      <c r="BT95" s="48" t="n">
        <f aca="false">IF(BT94&gt;0,MIN(BS96,0.5*BT94),0)</f>
        <v>0</v>
      </c>
      <c r="BU95" s="48" t="n">
        <f aca="false">IF(BU94&gt;0,MIN(BT96,0.5*BU94),0)</f>
        <v>0</v>
      </c>
      <c r="BV95" s="48" t="n">
        <f aca="false">IF(BV94&gt;0,MIN(BU96,0.5*BV94),0)</f>
        <v>0</v>
      </c>
      <c r="BW95" s="48" t="n">
        <f aca="false">IF(BW94&gt;0,MIN(BV96,0.5*BW94),0)</f>
        <v>0</v>
      </c>
      <c r="BX95" s="48" t="n">
        <f aca="false">IF(BX94&gt;0,MIN(BW96,0.5*BX94),0)</f>
        <v>0</v>
      </c>
    </row>
    <row r="96" customFormat="false" ht="15" hidden="false" customHeight="false" outlineLevel="0" collapsed="false">
      <c r="A96" s="1"/>
      <c r="B96" s="8" t="s">
        <v>356</v>
      </c>
      <c r="C96" s="8" t="s">
        <v>126</v>
      </c>
      <c r="D96" s="1"/>
      <c r="E96" s="1"/>
      <c r="F96" s="1"/>
      <c r="G96" s="48" t="n">
        <f aca="false">MAX(-G94,0)</f>
        <v>0</v>
      </c>
      <c r="H96" s="48" t="n">
        <f aca="false">MAX(G96-H95+MAX(-H94,0),0)</f>
        <v>0</v>
      </c>
      <c r="I96" s="48" t="n">
        <f aca="false">MAX(H96-I95+MAX(-I94,0),0)</f>
        <v>0</v>
      </c>
      <c r="J96" s="48" t="n">
        <f aca="false">MAX(I96-J95+MAX(-J94,0),0)</f>
        <v>0</v>
      </c>
      <c r="K96" s="48" t="n">
        <f aca="false">MAX(J96-K95+MAX(-K94,0),0)</f>
        <v>0</v>
      </c>
      <c r="L96" s="48" t="n">
        <f aca="false">MAX(K96-L95+MAX(-L94,0),0)</f>
        <v>0</v>
      </c>
      <c r="M96" s="48" t="n">
        <f aca="false">MAX(L96-M95+MAX(-M94,0),0)</f>
        <v>0</v>
      </c>
      <c r="N96" s="48" t="n">
        <f aca="false">MAX(M96-N95+MAX(-N94,0),0)</f>
        <v>0</v>
      </c>
      <c r="O96" s="48" t="n">
        <f aca="false">MAX(N96-O95+MAX(-O94,0),0)</f>
        <v>158.949364380081</v>
      </c>
      <c r="P96" s="48" t="n">
        <f aca="false">MAX(O96-P95+MAX(-P94,0),0)</f>
        <v>365.52162659859</v>
      </c>
      <c r="Q96" s="48" t="n">
        <f aca="false">MAX(P96-Q95+MAX(-Q94,0),0)</f>
        <v>572.105196846908</v>
      </c>
      <c r="R96" s="48" t="n">
        <f aca="false">MAX(Q96-R95+MAX(-R94,0),0)</f>
        <v>615.298802778214</v>
      </c>
      <c r="S96" s="48" t="n">
        <f aca="false">MAX(R96-S95+MAX(-S94,0),0)</f>
        <v>707.634926837332</v>
      </c>
      <c r="T96" s="48" t="n">
        <f aca="false">MAX(S96-T95+MAX(-T94,0),0)</f>
        <v>799.982742919423</v>
      </c>
      <c r="U96" s="48" t="n">
        <f aca="false">MAX(T96-U95+MAX(-U94,0),0)</f>
        <v>843.198655528924</v>
      </c>
      <c r="V96" s="48" t="n">
        <f aca="false">MAX(U96-V95+MAX(-V94,0),0)</f>
        <v>700.746800430373</v>
      </c>
      <c r="W96" s="48" t="n">
        <f aca="false">MAX(V96-W95+MAX(-W94,0),0)</f>
        <v>526.857171790209</v>
      </c>
      <c r="X96" s="48" t="n">
        <f aca="false">MAX(W96-X95+MAX(-X94,0),0)</f>
        <v>369.34443718487</v>
      </c>
      <c r="Y96" s="48" t="n">
        <f aca="false">MAX(X96-Y95+MAX(-Y94,0),0)</f>
        <v>132.579372961333</v>
      </c>
      <c r="Z96" s="48" t="n">
        <f aca="false">MAX(Y96-Z95+MAX(-Z94,0),0)</f>
        <v>0</v>
      </c>
      <c r="AA96" s="48" t="n">
        <f aca="false">MAX(Z96-AA95+MAX(-AA94,0),0)</f>
        <v>0</v>
      </c>
      <c r="AB96" s="48" t="n">
        <f aca="false">MAX(AA96-AB95+MAX(-AB94,0),0)</f>
        <v>0</v>
      </c>
      <c r="AC96" s="48" t="n">
        <f aca="false">MAX(AB96-AC95+MAX(-AC94,0),0)</f>
        <v>0</v>
      </c>
      <c r="AD96" s="48" t="n">
        <f aca="false">MAX(AC96-AD95+MAX(-AD94,0),0)</f>
        <v>0</v>
      </c>
      <c r="AE96" s="48" t="n">
        <f aca="false">MAX(AD96-AE95+MAX(-AE94,0),0)</f>
        <v>0</v>
      </c>
      <c r="AF96" s="48" t="n">
        <f aca="false">MAX(AE96-AF95+MAX(-AF94,0),0)</f>
        <v>0</v>
      </c>
      <c r="AG96" s="48" t="n">
        <f aca="false">MAX(AF96-AG95+MAX(-AG94,0),0)</f>
        <v>0</v>
      </c>
      <c r="AH96" s="48" t="n">
        <f aca="false">MAX(AG96-AH95+MAX(-AH94,0),0)</f>
        <v>0</v>
      </c>
      <c r="AI96" s="48" t="n">
        <f aca="false">MAX(AH96-AI95+MAX(-AI94,0),0)</f>
        <v>0</v>
      </c>
      <c r="AJ96" s="48" t="n">
        <f aca="false">MAX(AI96-AJ95+MAX(-AJ94,0),0)</f>
        <v>0</v>
      </c>
      <c r="AK96" s="48" t="n">
        <f aca="false">MAX(AJ96-AK95+MAX(-AK94,0),0)</f>
        <v>0</v>
      </c>
      <c r="AL96" s="48" t="n">
        <f aca="false">MAX(AK96-AL95+MAX(-AL94,0),0)</f>
        <v>0</v>
      </c>
      <c r="AM96" s="48" t="n">
        <f aca="false">MAX(AL96-AM95+MAX(-AM94,0),0)</f>
        <v>0</v>
      </c>
      <c r="AN96" s="48" t="n">
        <f aca="false">MAX(AM96-AN95+MAX(-AN94,0),0)</f>
        <v>0</v>
      </c>
      <c r="AO96" s="48" t="n">
        <f aca="false">MAX(AN96-AO95+MAX(-AO94,0),0)</f>
        <v>0</v>
      </c>
      <c r="AP96" s="48" t="n">
        <f aca="false">MAX(AO96-AP95+MAX(-AP94,0),0)</f>
        <v>0</v>
      </c>
      <c r="AQ96" s="48" t="n">
        <f aca="false">MAX(AP96-AQ95+MAX(-AQ94,0),0)</f>
        <v>0</v>
      </c>
      <c r="AR96" s="48" t="n">
        <f aca="false">MAX(AQ96-AR95+MAX(-AR94,0),0)</f>
        <v>0</v>
      </c>
      <c r="AS96" s="48" t="n">
        <f aca="false">MAX(AR96-AS95+MAX(-AS94,0),0)</f>
        <v>0</v>
      </c>
      <c r="AT96" s="48" t="n">
        <f aca="false">MAX(AS96-AT95+MAX(-AT94,0),0)</f>
        <v>0</v>
      </c>
      <c r="AU96" s="48" t="n">
        <f aca="false">MAX(AT96-AU95+MAX(-AU94,0),0)</f>
        <v>0</v>
      </c>
      <c r="AV96" s="48" t="n">
        <f aca="false">MAX(AU96-AV95+MAX(-AV94,0),0)</f>
        <v>0</v>
      </c>
      <c r="AW96" s="48" t="n">
        <f aca="false">MAX(AV96-AW95+MAX(-AW94,0),0)</f>
        <v>0</v>
      </c>
      <c r="AX96" s="48" t="n">
        <f aca="false">MAX(AW96-AX95+MAX(-AX94,0),0)</f>
        <v>0</v>
      </c>
      <c r="AY96" s="48" t="n">
        <f aca="false">MAX(AX96-AY95+MAX(-AY94,0),0)</f>
        <v>0</v>
      </c>
      <c r="AZ96" s="48" t="n">
        <f aca="false">MAX(AY96-AZ95+MAX(-AZ94,0),0)</f>
        <v>0</v>
      </c>
      <c r="BA96" s="48" t="n">
        <f aca="false">MAX(AZ96-BA95+MAX(-BA94,0),0)</f>
        <v>0</v>
      </c>
      <c r="BB96" s="48" t="n">
        <f aca="false">MAX(BA96-BB95+MAX(-BB94,0),0)</f>
        <v>0</v>
      </c>
      <c r="BC96" s="48" t="n">
        <f aca="false">MAX(BB96-BC95+MAX(-BC94,0),0)</f>
        <v>0</v>
      </c>
      <c r="BD96" s="48" t="n">
        <f aca="false">MAX(BC96-BD95+MAX(-BD94,0),0)</f>
        <v>0</v>
      </c>
      <c r="BE96" s="48" t="n">
        <f aca="false">MAX(BD96-BE95+MAX(-BE94,0),0)</f>
        <v>0</v>
      </c>
      <c r="BF96" s="48" t="n">
        <f aca="false">MAX(BE96-BF95+MAX(-BF94,0),0)</f>
        <v>0</v>
      </c>
      <c r="BG96" s="48" t="n">
        <f aca="false">MAX(BF96-BG95+MAX(-BG94,0),0)</f>
        <v>0</v>
      </c>
      <c r="BH96" s="48" t="n">
        <f aca="false">MAX(BG96-BH95+MAX(-BH94,0),0)</f>
        <v>0</v>
      </c>
      <c r="BI96" s="48" t="n">
        <f aca="false">MAX(BH96-BI95+MAX(-BI94,0),0)</f>
        <v>0</v>
      </c>
      <c r="BJ96" s="48" t="n">
        <f aca="false">MAX(BI96-BJ95+MAX(-BJ94,0),0)</f>
        <v>0</v>
      </c>
      <c r="BK96" s="48" t="n">
        <f aca="false">MAX(BJ96-BK95+MAX(-BK94,0),0)</f>
        <v>0</v>
      </c>
      <c r="BL96" s="48" t="n">
        <f aca="false">MAX(BK96-BL95+MAX(-BL94,0),0)</f>
        <v>0</v>
      </c>
      <c r="BM96" s="48" t="n">
        <f aca="false">MAX(BL96-BM95+MAX(-BM94,0),0)</f>
        <v>0</v>
      </c>
      <c r="BN96" s="48" t="n">
        <f aca="false">MAX(BM96-BN95+MAX(-BN94,0),0)</f>
        <v>0</v>
      </c>
      <c r="BO96" s="48" t="n">
        <f aca="false">MAX(BN96-BO95+MAX(-BO94,0),0)</f>
        <v>0</v>
      </c>
      <c r="BP96" s="48" t="n">
        <f aca="false">MAX(BO96-BP95+MAX(-BP94,0),0)</f>
        <v>0</v>
      </c>
      <c r="BQ96" s="48" t="n">
        <f aca="false">MAX(BP96-BQ95+MAX(-BQ94,0),0)</f>
        <v>0</v>
      </c>
      <c r="BR96" s="48" t="n">
        <f aca="false">MAX(BQ96-BR95+MAX(-BR94,0),0)</f>
        <v>0</v>
      </c>
      <c r="BS96" s="48" t="n">
        <f aca="false">MAX(BR96-BS95+MAX(-BS94,0),0)</f>
        <v>0</v>
      </c>
      <c r="BT96" s="48" t="n">
        <f aca="false">MAX(BS96-BT95+MAX(-BT94,0),0)</f>
        <v>0</v>
      </c>
      <c r="BU96" s="48" t="n">
        <f aca="false">MAX(BT96-BU95+MAX(-BU94,0),0)</f>
        <v>0</v>
      </c>
      <c r="BV96" s="48" t="n">
        <f aca="false">MAX(BU96-BV95+MAX(-BV94,0),0)</f>
        <v>0</v>
      </c>
      <c r="BW96" s="48" t="n">
        <f aca="false">MAX(BV96-BW95+MAX(-BW94,0),0)</f>
        <v>0</v>
      </c>
      <c r="BX96" s="48" t="n">
        <f aca="false">MAX(BW96-BX95+MAX(-BX94,0),0)</f>
        <v>0</v>
      </c>
    </row>
    <row r="97" customFormat="false" ht="15" hidden="false" customHeight="false" outlineLevel="0" collapsed="false">
      <c r="A97" s="1"/>
      <c r="B97" s="8" t="s">
        <v>357</v>
      </c>
      <c r="C97" s="8" t="s">
        <v>126</v>
      </c>
      <c r="D97" s="44" t="n">
        <f aca="false">SUM(G97:BX97)</f>
        <v>32895.5775544482</v>
      </c>
      <c r="E97" s="1"/>
      <c r="F97" s="1"/>
      <c r="G97" s="48" t="n">
        <f aca="false">MAX(G94-G95,0)</f>
        <v>0</v>
      </c>
      <c r="H97" s="48" t="n">
        <f aca="false">MAX(H94-H95,0)</f>
        <v>0</v>
      </c>
      <c r="I97" s="48" t="n">
        <f aca="false">MAX(I94-I95,0)</f>
        <v>0</v>
      </c>
      <c r="J97" s="48" t="n">
        <f aca="false">MAX(J94-J95,0)</f>
        <v>0</v>
      </c>
      <c r="K97" s="48" t="n">
        <f aca="false">MAX(K94-K95,0)</f>
        <v>0</v>
      </c>
      <c r="L97" s="48" t="n">
        <f aca="false">MAX(L94-L95,0)</f>
        <v>0</v>
      </c>
      <c r="M97" s="48" t="n">
        <f aca="false">MAX(M94-M95,0)</f>
        <v>0</v>
      </c>
      <c r="N97" s="48" t="n">
        <f aca="false">MAX(N94-N95,0)</f>
        <v>0</v>
      </c>
      <c r="O97" s="48" t="n">
        <f aca="false">MAX(O94-O95,0)</f>
        <v>0</v>
      </c>
      <c r="P97" s="48" t="n">
        <f aca="false">MAX(P94-P95,0)</f>
        <v>0</v>
      </c>
      <c r="Q97" s="48" t="n">
        <f aca="false">MAX(Q94-Q95,0)</f>
        <v>0</v>
      </c>
      <c r="R97" s="48" t="n">
        <f aca="false">MAX(R94-R95,0)</f>
        <v>0</v>
      </c>
      <c r="S97" s="48" t="n">
        <f aca="false">MAX(S94-S95,0)</f>
        <v>0</v>
      </c>
      <c r="T97" s="48" t="n">
        <f aca="false">MAX(T94-T95,0)</f>
        <v>0</v>
      </c>
      <c r="U97" s="48" t="n">
        <f aca="false">MAX(U94-U95,0)</f>
        <v>0</v>
      </c>
      <c r="V97" s="48" t="n">
        <f aca="false">MAX(V94-V95,0)</f>
        <v>142.451855098552</v>
      </c>
      <c r="W97" s="48" t="n">
        <f aca="false">MAX(W94-W95,0)</f>
        <v>173.889628640164</v>
      </c>
      <c r="X97" s="48" t="n">
        <f aca="false">MAX(X94-X95,0)</f>
        <v>157.512734605339</v>
      </c>
      <c r="Y97" s="48" t="n">
        <f aca="false">MAX(Y94-Y95,0)</f>
        <v>236.765064223538</v>
      </c>
      <c r="Z97" s="48" t="n">
        <f aca="false">MAX(Z94-Z95,0)</f>
        <v>340.951184873235</v>
      </c>
      <c r="AA97" s="48" t="n">
        <f aca="false">MAX(AA94-AA95,0)</f>
        <v>522.66219087393</v>
      </c>
      <c r="AB97" s="48" t="n">
        <f aca="false">MAX(AB94-AB95,0)</f>
        <v>473.530591070417</v>
      </c>
      <c r="AC97" s="48" t="n">
        <f aca="false">MAX(AC94-AC95,0)</f>
        <v>662.156310539349</v>
      </c>
      <c r="AD97" s="48" t="n">
        <f aca="false">MAX(AD94-AD95,0)</f>
        <v>786.738499095647</v>
      </c>
      <c r="AE97" s="48" t="n">
        <f aca="false">MAX(AE94-AE95,0)</f>
        <v>737.61978479588</v>
      </c>
      <c r="AF97" s="48" t="n">
        <f aca="false">MAX(AF94-AF95,0)</f>
        <v>737.632711244892</v>
      </c>
      <c r="AG97" s="48" t="n">
        <f aca="false">MAX(AG94-AG95,0)</f>
        <v>786.777009295239</v>
      </c>
      <c r="AH97" s="48" t="n">
        <f aca="false">MAX(AH94-AH95,0)</f>
        <v>688.52746312578</v>
      </c>
      <c r="AI97" s="48" t="n">
        <f aca="false">MAX(AI94-AI95,0)</f>
        <v>737.671960125356</v>
      </c>
      <c r="AJ97" s="48" t="n">
        <f aca="false">MAX(AJ94-AJ95,0)</f>
        <v>786.816337564444</v>
      </c>
      <c r="AK97" s="48" t="n">
        <f aca="false">MAX(AK94-AK95,0)</f>
        <v>803.717069971775</v>
      </c>
      <c r="AL97" s="48" t="n">
        <f aca="false">MAX(AL94-AL95,0)</f>
        <v>822.592856826332</v>
      </c>
      <c r="AM97" s="48" t="n">
        <f aca="false">MAX(AM94-AM95,0)</f>
        <v>871.737617784396</v>
      </c>
      <c r="AN97" s="48" t="n">
        <f aca="false">MAX(AN94-AN95,0)</f>
        <v>822.61975899184</v>
      </c>
      <c r="AO97" s="48" t="n">
        <f aca="false">MAX(AO94-AO95,0)</f>
        <v>822.633210074594</v>
      </c>
      <c r="AP97" s="48" t="n">
        <f aca="false">MAX(AP94-AP95,0)</f>
        <v>871.764519949904</v>
      </c>
      <c r="AQ97" s="48" t="n">
        <f aca="false">MAX(AQ94-AQ95,0)</f>
        <v>822.633210074594</v>
      </c>
      <c r="AR97" s="48" t="n">
        <f aca="false">MAX(AR94-AR95,0)</f>
        <v>773.501900199284</v>
      </c>
      <c r="AS97" s="48" t="n">
        <f aca="false">MAX(AS94-AS95,0)</f>
        <v>871.764519949904</v>
      </c>
      <c r="AT97" s="48" t="n">
        <f aca="false">MAX(AT94-AT95,0)</f>
        <v>822.633210074594</v>
      </c>
      <c r="AU97" s="48" t="n">
        <f aca="false">MAX(AU94-AU95,0)</f>
        <v>822.633210074594</v>
      </c>
      <c r="AV97" s="48" t="n">
        <f aca="false">MAX(AV94-AV95,0)</f>
        <v>871.764519949904</v>
      </c>
      <c r="AW97" s="48" t="n">
        <f aca="false">MAX(AW94-AW95,0)</f>
        <v>822.633210074594</v>
      </c>
      <c r="AX97" s="48" t="n">
        <f aca="false">MAX(AX94-AX95,0)</f>
        <v>822.633210074594</v>
      </c>
      <c r="AY97" s="48" t="n">
        <f aca="false">MAX(AY94-AY95,0)</f>
        <v>871.764519949904</v>
      </c>
      <c r="AZ97" s="48" t="n">
        <f aca="false">MAX(AZ94-AZ95,0)</f>
        <v>822.633210074594</v>
      </c>
      <c r="BA97" s="48" t="n">
        <f aca="false">MAX(BA94-BA95,0)</f>
        <v>822.633210074594</v>
      </c>
      <c r="BB97" s="48" t="n">
        <f aca="false">MAX(BB94-BB95,0)</f>
        <v>789.879003491054</v>
      </c>
      <c r="BC97" s="48" t="n">
        <f aca="false">MAX(BC94-BC95,0)</f>
        <v>490.369739967617</v>
      </c>
      <c r="BD97" s="48" t="n">
        <f aca="false">MAX(BD94-BD95,0)</f>
        <v>490.369739967617</v>
      </c>
      <c r="BE97" s="48" t="n">
        <f aca="false">MAX(BE94-BE95,0)</f>
        <v>528.198494280322</v>
      </c>
      <c r="BF97" s="48" t="n">
        <f aca="false">MAX(BF94-BF95,0)</f>
        <v>490.369739967617</v>
      </c>
      <c r="BG97" s="48" t="n">
        <f aca="false">MAX(BG94-BG95,0)</f>
        <v>490.369739967617</v>
      </c>
      <c r="BH97" s="48" t="n">
        <f aca="false">MAX(BH94-BH95,0)</f>
        <v>528.198494280322</v>
      </c>
      <c r="BI97" s="48" t="n">
        <f aca="false">MAX(BI94-BI95,0)</f>
        <v>490.369739967617</v>
      </c>
      <c r="BJ97" s="48" t="n">
        <f aca="false">MAX(BJ94-BJ95,0)</f>
        <v>490.369739967617</v>
      </c>
      <c r="BK97" s="48" t="n">
        <f aca="false">MAX(BK94-BK95,0)</f>
        <v>528.198494280322</v>
      </c>
      <c r="BL97" s="48" t="n">
        <f aca="false">MAX(BL94-BL95,0)</f>
        <v>459.037208161022</v>
      </c>
      <c r="BM97" s="48" t="n">
        <f aca="false">MAX(BM94-BM95,0)</f>
        <v>490.369739967617</v>
      </c>
      <c r="BN97" s="48" t="n">
        <f aca="false">MAX(BN94-BN95,0)</f>
        <v>528.198494280322</v>
      </c>
      <c r="BO97" s="48" t="n">
        <f aca="false">MAX(BO94-BO95,0)</f>
        <v>490.369739967617</v>
      </c>
      <c r="BP97" s="48" t="n">
        <f aca="false">MAX(BP94-BP95,0)</f>
        <v>490.369739967617</v>
      </c>
      <c r="BQ97" s="48" t="n">
        <f aca="false">MAX(BQ94-BQ95,0)</f>
        <v>528.198494280322</v>
      </c>
      <c r="BR97" s="48" t="n">
        <f aca="false">MAX(BR94-BR95,0)</f>
        <v>490.369739967617</v>
      </c>
      <c r="BS97" s="48" t="n">
        <f aca="false">MAX(BS94-BS95,0)</f>
        <v>490.369739967617</v>
      </c>
      <c r="BT97" s="48" t="n">
        <f aca="false">MAX(BT94-BT95,0)</f>
        <v>528.198494280322</v>
      </c>
      <c r="BU97" s="48" t="n">
        <f aca="false">MAX(BU94-BU95,0)</f>
        <v>490.369739967617</v>
      </c>
      <c r="BV97" s="48" t="n">
        <f aca="false">MAX(BV94-BV95,0)</f>
        <v>459.037208161022</v>
      </c>
      <c r="BW97" s="48" t="n">
        <f aca="false">MAX(BW94-BW95,0)</f>
        <v>0</v>
      </c>
      <c r="BX97" s="48" t="n">
        <f aca="false">MAX(BX94-BX95,0)</f>
        <v>0</v>
      </c>
    </row>
    <row r="98" customFormat="false" ht="15" hidden="false" customHeight="false" outlineLevel="0" collapsed="false">
      <c r="A98" s="1"/>
      <c r="B98" s="4" t="s">
        <v>358</v>
      </c>
      <c r="C98" s="8" t="s">
        <v>126</v>
      </c>
      <c r="D98" s="44" t="n">
        <f aca="false">SUM(G98:BX98)</f>
        <v>6250.15973534516</v>
      </c>
      <c r="E98" s="1"/>
      <c r="F98" s="1"/>
      <c r="G98" s="44" t="n">
        <f aca="false">G97*$D$17</f>
        <v>0</v>
      </c>
      <c r="H98" s="44" t="n">
        <f aca="false">H97*$D$17</f>
        <v>0</v>
      </c>
      <c r="I98" s="44" t="n">
        <f aca="false">I97*$D$17</f>
        <v>0</v>
      </c>
      <c r="J98" s="44" t="n">
        <f aca="false">J97*$D$17</f>
        <v>0</v>
      </c>
      <c r="K98" s="44" t="n">
        <f aca="false">K97*$D$17</f>
        <v>0</v>
      </c>
      <c r="L98" s="44" t="n">
        <f aca="false">L97*$D$17</f>
        <v>0</v>
      </c>
      <c r="M98" s="44" t="n">
        <f aca="false">M97*$D$17</f>
        <v>0</v>
      </c>
      <c r="N98" s="44" t="n">
        <f aca="false">N97*$D$17</f>
        <v>0</v>
      </c>
      <c r="O98" s="44" t="n">
        <f aca="false">O97*$D$17</f>
        <v>0</v>
      </c>
      <c r="P98" s="44" t="n">
        <f aca="false">P97*$D$17</f>
        <v>0</v>
      </c>
      <c r="Q98" s="44" t="n">
        <f aca="false">Q97*$D$17</f>
        <v>0</v>
      </c>
      <c r="R98" s="44" t="n">
        <f aca="false">R97*$D$17</f>
        <v>0</v>
      </c>
      <c r="S98" s="44" t="n">
        <f aca="false">S97*$D$17</f>
        <v>0</v>
      </c>
      <c r="T98" s="44" t="n">
        <f aca="false">T97*$D$17</f>
        <v>0</v>
      </c>
      <c r="U98" s="44" t="n">
        <f aca="false">U97*$D$17</f>
        <v>0</v>
      </c>
      <c r="V98" s="44" t="n">
        <f aca="false">V97*$D$17</f>
        <v>27.0658524687248</v>
      </c>
      <c r="W98" s="44" t="n">
        <f aca="false">W97*$D$17</f>
        <v>33.0390294416311</v>
      </c>
      <c r="X98" s="44" t="n">
        <f aca="false">X97*$D$17</f>
        <v>29.9274195750144</v>
      </c>
      <c r="Y98" s="44" t="n">
        <f aca="false">Y97*$D$17</f>
        <v>44.9853622024722</v>
      </c>
      <c r="Z98" s="44" t="n">
        <f aca="false">Z97*$D$17</f>
        <v>64.7807251259147</v>
      </c>
      <c r="AA98" s="44" t="n">
        <f aca="false">AA97*$D$17</f>
        <v>99.3058162660467</v>
      </c>
      <c r="AB98" s="44" t="n">
        <f aca="false">AB97*$D$17</f>
        <v>89.9708123033792</v>
      </c>
      <c r="AC98" s="44" t="n">
        <f aca="false">AC97*$D$17</f>
        <v>125.809699002476</v>
      </c>
      <c r="AD98" s="44" t="n">
        <f aca="false">AD97*$D$17</f>
        <v>149.480314828173</v>
      </c>
      <c r="AE98" s="44" t="n">
        <f aca="false">AE97*$D$17</f>
        <v>140.147759111217</v>
      </c>
      <c r="AF98" s="44" t="n">
        <f aca="false">AF97*$D$17</f>
        <v>140.150215136529</v>
      </c>
      <c r="AG98" s="44" t="n">
        <f aca="false">AG97*$D$17</f>
        <v>149.487631766095</v>
      </c>
      <c r="AH98" s="44" t="n">
        <f aca="false">AH97*$D$17</f>
        <v>130.820217993898</v>
      </c>
      <c r="AI98" s="44" t="n">
        <f aca="false">AI97*$D$17</f>
        <v>140.157672423818</v>
      </c>
      <c r="AJ98" s="44" t="n">
        <f aca="false">AJ97*$D$17</f>
        <v>149.495104137244</v>
      </c>
      <c r="AK98" s="44" t="n">
        <f aca="false">AK97*$D$17</f>
        <v>152.706243294637</v>
      </c>
      <c r="AL98" s="44" t="n">
        <f aca="false">AL97*$D$17</f>
        <v>156.292642797003</v>
      </c>
      <c r="AM98" s="44" t="n">
        <f aca="false">AM97*$D$17</f>
        <v>165.630147379035</v>
      </c>
      <c r="AN98" s="44" t="n">
        <f aca="false">AN97*$D$17</f>
        <v>156.29775420845</v>
      </c>
      <c r="AO98" s="44" t="n">
        <f aca="false">AO97*$D$17</f>
        <v>156.300309914173</v>
      </c>
      <c r="AP98" s="44" t="n">
        <f aca="false">AP97*$D$17</f>
        <v>165.635258790482</v>
      </c>
      <c r="AQ98" s="44" t="n">
        <f aca="false">AQ97*$D$17</f>
        <v>156.300309914173</v>
      </c>
      <c r="AR98" s="44" t="n">
        <f aca="false">AR97*$D$17</f>
        <v>146.965361037864</v>
      </c>
      <c r="AS98" s="44" t="n">
        <f aca="false">AS97*$D$17</f>
        <v>165.635258790482</v>
      </c>
      <c r="AT98" s="44" t="n">
        <f aca="false">AT97*$D$17</f>
        <v>156.300309914173</v>
      </c>
      <c r="AU98" s="44" t="n">
        <f aca="false">AU97*$D$17</f>
        <v>156.300309914173</v>
      </c>
      <c r="AV98" s="44" t="n">
        <f aca="false">AV97*$D$17</f>
        <v>165.635258790482</v>
      </c>
      <c r="AW98" s="44" t="n">
        <f aca="false">AW97*$D$17</f>
        <v>156.300309914173</v>
      </c>
      <c r="AX98" s="44" t="n">
        <f aca="false">AX97*$D$17</f>
        <v>156.300309914173</v>
      </c>
      <c r="AY98" s="44" t="n">
        <f aca="false">AY97*$D$17</f>
        <v>165.635258790482</v>
      </c>
      <c r="AZ98" s="44" t="n">
        <f aca="false">AZ97*$D$17</f>
        <v>156.300309914173</v>
      </c>
      <c r="BA98" s="44" t="n">
        <f aca="false">BA97*$D$17</f>
        <v>156.300309914173</v>
      </c>
      <c r="BB98" s="44" t="n">
        <f aca="false">BB97*$D$17</f>
        <v>150.0770106633</v>
      </c>
      <c r="BC98" s="44" t="n">
        <f aca="false">BC97*$D$17</f>
        <v>93.1702505938471</v>
      </c>
      <c r="BD98" s="44" t="n">
        <f aca="false">BD97*$D$17</f>
        <v>93.1702505938471</v>
      </c>
      <c r="BE98" s="44" t="n">
        <f aca="false">BE97*$D$17</f>
        <v>100.357713913261</v>
      </c>
      <c r="BF98" s="44" t="n">
        <f aca="false">BF97*$D$17</f>
        <v>93.1702505938471</v>
      </c>
      <c r="BG98" s="44" t="n">
        <f aca="false">BG97*$D$17</f>
        <v>93.1702505938471</v>
      </c>
      <c r="BH98" s="44" t="n">
        <f aca="false">BH97*$D$17</f>
        <v>100.357713913261</v>
      </c>
      <c r="BI98" s="44" t="n">
        <f aca="false">BI97*$D$17</f>
        <v>93.1702505938471</v>
      </c>
      <c r="BJ98" s="44" t="n">
        <f aca="false">BJ97*$D$17</f>
        <v>93.1702505938471</v>
      </c>
      <c r="BK98" s="44" t="n">
        <f aca="false">BK97*$D$17</f>
        <v>100.357713913261</v>
      </c>
      <c r="BL98" s="44" t="n">
        <f aca="false">BL97*$D$17</f>
        <v>87.2170695505941</v>
      </c>
      <c r="BM98" s="44" t="n">
        <f aca="false">BM97*$D$17</f>
        <v>93.1702505938471</v>
      </c>
      <c r="BN98" s="44" t="n">
        <f aca="false">BN97*$D$17</f>
        <v>100.357713913261</v>
      </c>
      <c r="BO98" s="44" t="n">
        <f aca="false">BO97*$D$17</f>
        <v>93.1702505938471</v>
      </c>
      <c r="BP98" s="44" t="n">
        <f aca="false">BP97*$D$17</f>
        <v>93.1702505938471</v>
      </c>
      <c r="BQ98" s="44" t="n">
        <f aca="false">BQ97*$D$17</f>
        <v>100.357713913261</v>
      </c>
      <c r="BR98" s="44" t="n">
        <f aca="false">BR97*$D$17</f>
        <v>93.1702505938471</v>
      </c>
      <c r="BS98" s="44" t="n">
        <f aca="false">BS97*$D$17</f>
        <v>93.1702505938471</v>
      </c>
      <c r="BT98" s="44" t="n">
        <f aca="false">BT97*$D$17</f>
        <v>100.357713913261</v>
      </c>
      <c r="BU98" s="44" t="n">
        <f aca="false">BU97*$D$17</f>
        <v>93.1702505938471</v>
      </c>
      <c r="BV98" s="44" t="n">
        <f aca="false">BV97*$D$17</f>
        <v>87.2170695505941</v>
      </c>
      <c r="BW98" s="44" t="n">
        <f aca="false">BW97*$D$17</f>
        <v>0</v>
      </c>
      <c r="BX98" s="44" t="n">
        <f aca="false">BX97*$D$17</f>
        <v>0</v>
      </c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</row>
    <row r="100" customFormat="false" ht="15" hidden="false" customHeight="false" outlineLevel="0" collapsed="false">
      <c r="A100" s="1"/>
      <c r="B100" s="13" t="s">
        <v>359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</row>
    <row r="101" customFormat="false" ht="15" hidden="false" customHeight="false" outlineLevel="0" collapsed="false">
      <c r="A101" s="1"/>
      <c r="B101" s="8" t="s">
        <v>360</v>
      </c>
      <c r="C101" s="8" t="s">
        <v>126</v>
      </c>
      <c r="D101" s="44" t="n">
        <f aca="false">SUM(G101:BX101)</f>
        <v>32895.5775544482</v>
      </c>
      <c r="E101" s="1"/>
      <c r="F101" s="1"/>
      <c r="G101" s="48" t="n">
        <f aca="false">G84-G55-G85</f>
        <v>0</v>
      </c>
      <c r="H101" s="48" t="n">
        <f aca="false">H84-H55-H85</f>
        <v>0</v>
      </c>
      <c r="I101" s="48" t="n">
        <f aca="false">I84-I55-I85</f>
        <v>0</v>
      </c>
      <c r="J101" s="48" t="n">
        <f aca="false">J84-J55-J85</f>
        <v>-1948.20727230859</v>
      </c>
      <c r="K101" s="48" t="n">
        <f aca="false">K84-K55-K85</f>
        <v>-2632.26570066439</v>
      </c>
      <c r="L101" s="48" t="n">
        <f aca="false">L84-L55-L85</f>
        <v>-3364.05405405405</v>
      </c>
      <c r="M101" s="48" t="n">
        <f aca="false">M84-M55-M85</f>
        <v>-2632.26570066439</v>
      </c>
      <c r="N101" s="48" t="n">
        <f aca="false">N84-N55-N85</f>
        <v>-1998.20727230859</v>
      </c>
      <c r="O101" s="48" t="n">
        <f aca="false">O84-O55-O85</f>
        <v>818.756885619919</v>
      </c>
      <c r="P101" s="48" t="n">
        <f aca="false">P84-P55-P85</f>
        <v>771.133987781491</v>
      </c>
      <c r="Q101" s="48" t="n">
        <f aca="false">Q84-Q55-Q85</f>
        <v>771.122679751682</v>
      </c>
      <c r="R101" s="48" t="n">
        <f aca="false">R84-R55-R85</f>
        <v>934.512644068694</v>
      </c>
      <c r="S101" s="48" t="n">
        <f aca="false">S84-S55-S85</f>
        <v>885.370125940881</v>
      </c>
      <c r="T101" s="48" t="n">
        <f aca="false">T84-T55-T85</f>
        <v>885.35843391791</v>
      </c>
      <c r="U101" s="48" t="n">
        <f aca="false">U84-U55-U85</f>
        <v>934.490337390499</v>
      </c>
      <c r="V101" s="48" t="n">
        <f aca="false">V84-V55-V85</f>
        <v>885.359960197103</v>
      </c>
      <c r="W101" s="48" t="n">
        <f aca="false">W84-W55-W85</f>
        <v>885.360507280327</v>
      </c>
      <c r="X101" s="48" t="n">
        <f aca="false">X84-X55-X85</f>
        <v>852.606719210678</v>
      </c>
      <c r="Y101" s="48" t="n">
        <f aca="false">Y84-Y55-Y85</f>
        <v>885.361378447076</v>
      </c>
      <c r="Z101" s="48" t="n">
        <f aca="false">Z84-Z55-Z85</f>
        <v>885.361807834568</v>
      </c>
      <c r="AA101" s="48" t="n">
        <f aca="false">AA84-AA55-AA85</f>
        <v>934.49344087393</v>
      </c>
      <c r="AB101" s="48" t="n">
        <f aca="false">AB84-AB55-AB85</f>
        <v>885.361841070417</v>
      </c>
      <c r="AC101" s="48" t="n">
        <f aca="false">AC84-AC55-AC85</f>
        <v>885.362560539349</v>
      </c>
      <c r="AD101" s="48" t="n">
        <f aca="false">AD84-AD55-AD85</f>
        <v>934.494749095647</v>
      </c>
      <c r="AE101" s="48" t="n">
        <f aca="false">AE84-AE55-AE85</f>
        <v>885.37603479588</v>
      </c>
      <c r="AF101" s="48" t="n">
        <f aca="false">AF84-AF55-AF85</f>
        <v>885.388961244892</v>
      </c>
      <c r="AG101" s="48" t="n">
        <f aca="false">AG84-AG55-AG85</f>
        <v>934.533259295239</v>
      </c>
      <c r="AH101" s="48" t="n">
        <f aca="false">AH84-AH55-AH85</f>
        <v>836.28371312578</v>
      </c>
      <c r="AI101" s="48" t="n">
        <f aca="false">AI84-AI55-AI85</f>
        <v>885.428210125356</v>
      </c>
      <c r="AJ101" s="48" t="n">
        <f aca="false">AJ84-AJ55-AJ85</f>
        <v>934.572587564444</v>
      </c>
      <c r="AK101" s="48" t="n">
        <f aca="false">AK84-AK55-AK85</f>
        <v>885.454569971776</v>
      </c>
      <c r="AL101" s="48" t="n">
        <f aca="false">AL84-AL55-AL85</f>
        <v>885.467856826332</v>
      </c>
      <c r="AM101" s="48" t="n">
        <f aca="false">AM84-AM55-AM85</f>
        <v>934.612617784396</v>
      </c>
      <c r="AN101" s="48" t="n">
        <f aca="false">AN84-AN55-AN85</f>
        <v>885.49475899184</v>
      </c>
      <c r="AO101" s="48" t="n">
        <f aca="false">AO84-AO55-AO85</f>
        <v>885.508210074594</v>
      </c>
      <c r="AP101" s="48" t="n">
        <f aca="false">AP84-AP55-AP85</f>
        <v>934.639519949904</v>
      </c>
      <c r="AQ101" s="48" t="n">
        <f aca="false">AQ84-AQ55-AQ85</f>
        <v>885.508210074594</v>
      </c>
      <c r="AR101" s="48" t="n">
        <f aca="false">AR84-AR55-AR85</f>
        <v>836.376900199284</v>
      </c>
      <c r="AS101" s="48" t="n">
        <f aca="false">AS84-AS55-AS85</f>
        <v>934.639519949904</v>
      </c>
      <c r="AT101" s="48" t="n">
        <f aca="false">AT84-AT55-AT85</f>
        <v>885.508210074594</v>
      </c>
      <c r="AU101" s="48" t="n">
        <f aca="false">AU84-AU55-AU85</f>
        <v>885.508210074594</v>
      </c>
      <c r="AV101" s="48" t="n">
        <f aca="false">AV84-AV55-AV85</f>
        <v>934.639519949904</v>
      </c>
      <c r="AW101" s="48" t="n">
        <f aca="false">AW84-AW55-AW85</f>
        <v>885.508210074594</v>
      </c>
      <c r="AX101" s="48" t="n">
        <f aca="false">AX84-AX55-AX85</f>
        <v>885.508210074594</v>
      </c>
      <c r="AY101" s="48" t="n">
        <f aca="false">AY84-AY55-AY85</f>
        <v>934.639519949904</v>
      </c>
      <c r="AZ101" s="48" t="n">
        <f aca="false">AZ84-AZ55-AZ85</f>
        <v>885.508210074594</v>
      </c>
      <c r="BA101" s="48" t="n">
        <f aca="false">BA84-BA55-BA85</f>
        <v>885.508210074594</v>
      </c>
      <c r="BB101" s="48" t="n">
        <f aca="false">BB84-BB55-BB85</f>
        <v>852.754003491054</v>
      </c>
      <c r="BC101" s="48" t="n">
        <f aca="false">BC84-BC55-BC85</f>
        <v>490.369739967617</v>
      </c>
      <c r="BD101" s="48" t="n">
        <f aca="false">BD84-BD55-BD85</f>
        <v>490.369739967617</v>
      </c>
      <c r="BE101" s="48" t="n">
        <f aca="false">BE84-BE55-BE85</f>
        <v>528.198494280322</v>
      </c>
      <c r="BF101" s="48" t="n">
        <f aca="false">BF84-BF55-BF85</f>
        <v>490.369739967617</v>
      </c>
      <c r="BG101" s="48" t="n">
        <f aca="false">BG84-BG55-BG85</f>
        <v>490.369739967617</v>
      </c>
      <c r="BH101" s="48" t="n">
        <f aca="false">BH84-BH55-BH85</f>
        <v>528.198494280322</v>
      </c>
      <c r="BI101" s="48" t="n">
        <f aca="false">BI84-BI55-BI85</f>
        <v>490.369739967617</v>
      </c>
      <c r="BJ101" s="48" t="n">
        <f aca="false">BJ84-BJ55-BJ85</f>
        <v>490.369739967617</v>
      </c>
      <c r="BK101" s="48" t="n">
        <f aca="false">BK84-BK55-BK85</f>
        <v>528.198494280322</v>
      </c>
      <c r="BL101" s="48" t="n">
        <f aca="false">BL84-BL55-BL85</f>
        <v>459.037208161022</v>
      </c>
      <c r="BM101" s="48" t="n">
        <f aca="false">BM84-BM55-BM85</f>
        <v>490.369739967617</v>
      </c>
      <c r="BN101" s="48" t="n">
        <f aca="false">BN84-BN55-BN85</f>
        <v>528.198494280322</v>
      </c>
      <c r="BO101" s="48" t="n">
        <f aca="false">BO84-BO55-BO85</f>
        <v>490.369739967617</v>
      </c>
      <c r="BP101" s="48" t="n">
        <f aca="false">BP84-BP55-BP85</f>
        <v>490.369739967617</v>
      </c>
      <c r="BQ101" s="48" t="n">
        <f aca="false">BQ84-BQ55-BQ85</f>
        <v>528.198494280322</v>
      </c>
      <c r="BR101" s="48" t="n">
        <f aca="false">BR84-BR55-BR85</f>
        <v>490.369739967617</v>
      </c>
      <c r="BS101" s="48" t="n">
        <f aca="false">BS84-BS55-BS85</f>
        <v>490.369739967617</v>
      </c>
      <c r="BT101" s="48" t="n">
        <f aca="false">BT84-BT55-BT85</f>
        <v>528.198494280322</v>
      </c>
      <c r="BU101" s="48" t="n">
        <f aca="false">BU84-BU55-BU85</f>
        <v>490.369739967617</v>
      </c>
      <c r="BV101" s="48" t="n">
        <f aca="false">BV84-BV55-BV85</f>
        <v>459.037208161022</v>
      </c>
      <c r="BW101" s="48" t="n">
        <f aca="false">BW84-BW55-BW85</f>
        <v>0</v>
      </c>
      <c r="BX101" s="48" t="n">
        <f aca="false">BX84-BX55-BX85</f>
        <v>0</v>
      </c>
    </row>
    <row r="102" customFormat="false" ht="15" hidden="false" customHeight="false" outlineLevel="0" collapsed="false">
      <c r="A102" s="1"/>
      <c r="B102" s="4" t="s">
        <v>361</v>
      </c>
      <c r="C102" s="8" t="s">
        <v>126</v>
      </c>
      <c r="D102" s="44" t="n">
        <f aca="false">SUM(G102:BX102)</f>
        <v>26645.417819103</v>
      </c>
      <c r="E102" s="1"/>
      <c r="F102" s="1"/>
      <c r="G102" s="44" t="n">
        <f aca="false">G101-G98</f>
        <v>0</v>
      </c>
      <c r="H102" s="44" t="n">
        <f aca="false">H101-H98</f>
        <v>0</v>
      </c>
      <c r="I102" s="44" t="n">
        <f aca="false">I101-I98</f>
        <v>0</v>
      </c>
      <c r="J102" s="44" t="n">
        <f aca="false">J101-J98</f>
        <v>-1948.20727230859</v>
      </c>
      <c r="K102" s="44" t="n">
        <f aca="false">K101-K98</f>
        <v>-2632.26570066439</v>
      </c>
      <c r="L102" s="44" t="n">
        <f aca="false">L101-L98</f>
        <v>-3364.05405405405</v>
      </c>
      <c r="M102" s="44" t="n">
        <f aca="false">M101-M98</f>
        <v>-2632.26570066439</v>
      </c>
      <c r="N102" s="44" t="n">
        <f aca="false">N101-N98</f>
        <v>-1998.20727230859</v>
      </c>
      <c r="O102" s="44" t="n">
        <f aca="false">O101-O98</f>
        <v>818.756885619919</v>
      </c>
      <c r="P102" s="44" t="n">
        <f aca="false">P101-P98</f>
        <v>771.133987781491</v>
      </c>
      <c r="Q102" s="44" t="n">
        <f aca="false">Q101-Q98</f>
        <v>771.122679751682</v>
      </c>
      <c r="R102" s="44" t="n">
        <f aca="false">R101-R98</f>
        <v>934.512644068694</v>
      </c>
      <c r="S102" s="44" t="n">
        <f aca="false">S101-S98</f>
        <v>885.370125940881</v>
      </c>
      <c r="T102" s="44" t="n">
        <f aca="false">T101-T98</f>
        <v>885.35843391791</v>
      </c>
      <c r="U102" s="44" t="n">
        <f aca="false">U101-U98</f>
        <v>934.490337390499</v>
      </c>
      <c r="V102" s="44" t="n">
        <f aca="false">V101-V98</f>
        <v>858.294107728378</v>
      </c>
      <c r="W102" s="44" t="n">
        <f aca="false">W101-W98</f>
        <v>852.321477838696</v>
      </c>
      <c r="X102" s="44" t="n">
        <f aca="false">X101-X98</f>
        <v>822.679299635664</v>
      </c>
      <c r="Y102" s="44" t="n">
        <f aca="false">Y101-Y98</f>
        <v>840.376016244603</v>
      </c>
      <c r="Z102" s="44" t="n">
        <f aca="false">Z101-Z98</f>
        <v>820.581082708653</v>
      </c>
      <c r="AA102" s="44" t="n">
        <f aca="false">AA101-AA98</f>
        <v>835.187624607884</v>
      </c>
      <c r="AB102" s="44" t="n">
        <f aca="false">AB101-AB98</f>
        <v>795.391028767038</v>
      </c>
      <c r="AC102" s="44" t="n">
        <f aca="false">AC101-AC98</f>
        <v>759.552861536873</v>
      </c>
      <c r="AD102" s="44" t="n">
        <f aca="false">AD101-AD98</f>
        <v>785.014434267474</v>
      </c>
      <c r="AE102" s="44" t="n">
        <f aca="false">AE101-AE98</f>
        <v>745.228275684663</v>
      </c>
      <c r="AF102" s="44" t="n">
        <f aca="false">AF101-AF98</f>
        <v>745.238746108363</v>
      </c>
      <c r="AG102" s="44" t="n">
        <f aca="false">AG101-AG98</f>
        <v>785.045627529144</v>
      </c>
      <c r="AH102" s="44" t="n">
        <f aca="false">AH101-AH98</f>
        <v>705.463495131882</v>
      </c>
      <c r="AI102" s="44" t="n">
        <f aca="false">AI101-AI98</f>
        <v>745.270537701538</v>
      </c>
      <c r="AJ102" s="44" t="n">
        <f aca="false">AJ101-AJ98</f>
        <v>785.077483427199</v>
      </c>
      <c r="AK102" s="44" t="n">
        <f aca="false">AK101-AK98</f>
        <v>732.748326677138</v>
      </c>
      <c r="AL102" s="44" t="n">
        <f aca="false">AL101-AL98</f>
        <v>729.175214029329</v>
      </c>
      <c r="AM102" s="44" t="n">
        <f aca="false">AM101-AM98</f>
        <v>768.982470405361</v>
      </c>
      <c r="AN102" s="44" t="n">
        <f aca="false">AN101-AN98</f>
        <v>729.197004783391</v>
      </c>
      <c r="AO102" s="44" t="n">
        <f aca="false">AO101-AO98</f>
        <v>729.207900160421</v>
      </c>
      <c r="AP102" s="44" t="n">
        <f aca="false">AP101-AP98</f>
        <v>769.004261159422</v>
      </c>
      <c r="AQ102" s="44" t="n">
        <f aca="false">AQ101-AQ98</f>
        <v>729.207900160421</v>
      </c>
      <c r="AR102" s="44" t="n">
        <f aca="false">AR101-AR98</f>
        <v>689.41153916142</v>
      </c>
      <c r="AS102" s="44" t="n">
        <f aca="false">AS101-AS98</f>
        <v>769.004261159422</v>
      </c>
      <c r="AT102" s="44" t="n">
        <f aca="false">AT101-AT98</f>
        <v>729.207900160421</v>
      </c>
      <c r="AU102" s="44" t="n">
        <f aca="false">AU101-AU98</f>
        <v>729.207900160421</v>
      </c>
      <c r="AV102" s="44" t="n">
        <f aca="false">AV101-AV98</f>
        <v>769.004261159422</v>
      </c>
      <c r="AW102" s="44" t="n">
        <f aca="false">AW101-AW98</f>
        <v>729.207900160421</v>
      </c>
      <c r="AX102" s="44" t="n">
        <f aca="false">AX101-AX98</f>
        <v>729.207900160421</v>
      </c>
      <c r="AY102" s="44" t="n">
        <f aca="false">AY101-AY98</f>
        <v>769.004261159422</v>
      </c>
      <c r="AZ102" s="44" t="n">
        <f aca="false">AZ101-AZ98</f>
        <v>729.207900160421</v>
      </c>
      <c r="BA102" s="44" t="n">
        <f aca="false">BA101-BA98</f>
        <v>729.207900160421</v>
      </c>
      <c r="BB102" s="44" t="n">
        <f aca="false">BB101-BB98</f>
        <v>702.676992827754</v>
      </c>
      <c r="BC102" s="44" t="n">
        <f aca="false">BC101-BC98</f>
        <v>397.199489373769</v>
      </c>
      <c r="BD102" s="44" t="n">
        <f aca="false">BD101-BD98</f>
        <v>397.199489373769</v>
      </c>
      <c r="BE102" s="44" t="n">
        <f aca="false">BE101-BE98</f>
        <v>427.840780367061</v>
      </c>
      <c r="BF102" s="44" t="n">
        <f aca="false">BF101-BF98</f>
        <v>397.199489373769</v>
      </c>
      <c r="BG102" s="44" t="n">
        <f aca="false">BG101-BG98</f>
        <v>397.199489373769</v>
      </c>
      <c r="BH102" s="44" t="n">
        <f aca="false">BH101-BH98</f>
        <v>427.840780367061</v>
      </c>
      <c r="BI102" s="44" t="n">
        <f aca="false">BI101-BI98</f>
        <v>397.199489373769</v>
      </c>
      <c r="BJ102" s="44" t="n">
        <f aca="false">BJ101-BJ98</f>
        <v>397.199489373769</v>
      </c>
      <c r="BK102" s="44" t="n">
        <f aca="false">BK101-BK98</f>
        <v>427.840780367061</v>
      </c>
      <c r="BL102" s="44" t="n">
        <f aca="false">BL101-BL98</f>
        <v>371.820138610428</v>
      </c>
      <c r="BM102" s="44" t="n">
        <f aca="false">BM101-BM98</f>
        <v>397.199489373769</v>
      </c>
      <c r="BN102" s="44" t="n">
        <f aca="false">BN101-BN98</f>
        <v>427.840780367061</v>
      </c>
      <c r="BO102" s="44" t="n">
        <f aca="false">BO101-BO98</f>
        <v>397.199489373769</v>
      </c>
      <c r="BP102" s="44" t="n">
        <f aca="false">BP101-BP98</f>
        <v>397.199489373769</v>
      </c>
      <c r="BQ102" s="44" t="n">
        <f aca="false">BQ101-BQ98</f>
        <v>427.840780367061</v>
      </c>
      <c r="BR102" s="44" t="n">
        <f aca="false">BR101-BR98</f>
        <v>397.199489373769</v>
      </c>
      <c r="BS102" s="44" t="n">
        <f aca="false">BS101-BS98</f>
        <v>397.199489373769</v>
      </c>
      <c r="BT102" s="44" t="n">
        <f aca="false">BT101-BT98</f>
        <v>427.840780367061</v>
      </c>
      <c r="BU102" s="44" t="n">
        <f aca="false">BU101-BU98</f>
        <v>397.199489373769</v>
      </c>
      <c r="BV102" s="44" t="n">
        <f aca="false">BV101-BV98</f>
        <v>371.820138610428</v>
      </c>
      <c r="BW102" s="44" t="n">
        <f aca="false">BW101-BW98</f>
        <v>0</v>
      </c>
      <c r="BX102" s="44" t="n">
        <f aca="false">BX101-BX98</f>
        <v>0</v>
      </c>
    </row>
    <row r="103" customFormat="false" ht="15" hidden="false" customHeight="false" outlineLevel="0" collapsed="false">
      <c r="A103" s="1"/>
      <c r="B103" s="8" t="s">
        <v>362</v>
      </c>
      <c r="C103" s="8" t="s">
        <v>126</v>
      </c>
      <c r="D103" s="1"/>
      <c r="E103" s="1"/>
      <c r="F103" s="1"/>
      <c r="G103" s="48" t="n">
        <f aca="false">G102</f>
        <v>0</v>
      </c>
      <c r="H103" s="48" t="n">
        <f aca="false">G103+H102</f>
        <v>0</v>
      </c>
      <c r="I103" s="48" t="n">
        <f aca="false">H103+I102</f>
        <v>0</v>
      </c>
      <c r="J103" s="48" t="n">
        <f aca="false">I103+J102</f>
        <v>-1948.20727230859</v>
      </c>
      <c r="K103" s="48" t="n">
        <f aca="false">J103+K102</f>
        <v>-4580.47297297297</v>
      </c>
      <c r="L103" s="48" t="n">
        <f aca="false">K103+L102</f>
        <v>-7944.52702702703</v>
      </c>
      <c r="M103" s="48" t="n">
        <f aca="false">L103+M102</f>
        <v>-10576.7927276914</v>
      </c>
      <c r="N103" s="48" t="n">
        <f aca="false">M103+N102</f>
        <v>-12575</v>
      </c>
      <c r="O103" s="48" t="n">
        <f aca="false">N103+O102</f>
        <v>-11756.2431143801</v>
      </c>
      <c r="P103" s="48" t="n">
        <f aca="false">O103+P102</f>
        <v>-10985.1091265986</v>
      </c>
      <c r="Q103" s="48" t="n">
        <f aca="false">P103+Q102</f>
        <v>-10213.9864468469</v>
      </c>
      <c r="R103" s="48" t="n">
        <f aca="false">Q103+R102</f>
        <v>-9279.47380277822</v>
      </c>
      <c r="S103" s="48" t="n">
        <f aca="false">R103+S102</f>
        <v>-8394.10367683733</v>
      </c>
      <c r="T103" s="48" t="n">
        <f aca="false">S103+T102</f>
        <v>-7508.74524291942</v>
      </c>
      <c r="U103" s="48" t="n">
        <f aca="false">T103+U102</f>
        <v>-6574.25490552893</v>
      </c>
      <c r="V103" s="48" t="n">
        <f aca="false">U103+V102</f>
        <v>-5715.96079780055</v>
      </c>
      <c r="W103" s="48" t="n">
        <f aca="false">V103+W102</f>
        <v>-4863.63931996185</v>
      </c>
      <c r="X103" s="48" t="n">
        <f aca="false">W103+X102</f>
        <v>-4040.96002032619</v>
      </c>
      <c r="Y103" s="48" t="n">
        <f aca="false">X103+Y102</f>
        <v>-3200.58400408159</v>
      </c>
      <c r="Z103" s="48" t="n">
        <f aca="false">Y103+Z102</f>
        <v>-2380.00292137293</v>
      </c>
      <c r="AA103" s="48" t="n">
        <f aca="false">Z103+AA102</f>
        <v>-1544.81529676505</v>
      </c>
      <c r="AB103" s="48" t="n">
        <f aca="false">AA103+AB102</f>
        <v>-749.424267998011</v>
      </c>
      <c r="AC103" s="48" t="n">
        <f aca="false">AB103+AC102</f>
        <v>10.1285935388615</v>
      </c>
      <c r="AD103" s="48" t="n">
        <f aca="false">AC103+AD102</f>
        <v>795.143027806336</v>
      </c>
      <c r="AE103" s="48" t="n">
        <f aca="false">AD103+AE102</f>
        <v>1540.371303491</v>
      </c>
      <c r="AF103" s="48" t="n">
        <f aca="false">AE103+AF102</f>
        <v>2285.61004959936</v>
      </c>
      <c r="AG103" s="48" t="n">
        <f aca="false">AF103+AG102</f>
        <v>3070.65567712851</v>
      </c>
      <c r="AH103" s="48" t="n">
        <f aca="false">AG103+AH102</f>
        <v>3776.11917226039</v>
      </c>
      <c r="AI103" s="48" t="n">
        <f aca="false">AH103+AI102</f>
        <v>4521.38970996193</v>
      </c>
      <c r="AJ103" s="48" t="n">
        <f aca="false">AI103+AJ102</f>
        <v>5306.46719338913</v>
      </c>
      <c r="AK103" s="48" t="n">
        <f aca="false">AJ103+AK102</f>
        <v>6039.21552006626</v>
      </c>
      <c r="AL103" s="48" t="n">
        <f aca="false">AK103+AL102</f>
        <v>6768.39073409559</v>
      </c>
      <c r="AM103" s="48" t="n">
        <f aca="false">AL103+AM102</f>
        <v>7537.37320450095</v>
      </c>
      <c r="AN103" s="48" t="n">
        <f aca="false">AM103+AN102</f>
        <v>8266.57020928434</v>
      </c>
      <c r="AO103" s="48" t="n">
        <f aca="false">AN103+AO102</f>
        <v>8995.77810944477</v>
      </c>
      <c r="AP103" s="48" t="n">
        <f aca="false">AO103+AP102</f>
        <v>9764.78237060419</v>
      </c>
      <c r="AQ103" s="48" t="n">
        <f aca="false">AP103+AQ102</f>
        <v>10493.9902707646</v>
      </c>
      <c r="AR103" s="48" t="n">
        <f aca="false">AQ103+AR102</f>
        <v>11183.401809926</v>
      </c>
      <c r="AS103" s="48" t="n">
        <f aca="false">AR103+AS102</f>
        <v>11952.4060710855</v>
      </c>
      <c r="AT103" s="48" t="n">
        <f aca="false">AS103+AT102</f>
        <v>12681.6139712459</v>
      </c>
      <c r="AU103" s="48" t="n">
        <f aca="false">AT103+AU102</f>
        <v>13410.8218714063</v>
      </c>
      <c r="AV103" s="48" t="n">
        <f aca="false">AU103+AV102</f>
        <v>14179.8261325657</v>
      </c>
      <c r="AW103" s="48" t="n">
        <f aca="false">AV103+AW102</f>
        <v>14909.0340327261</v>
      </c>
      <c r="AX103" s="48" t="n">
        <f aca="false">AW103+AX102</f>
        <v>15638.2419328866</v>
      </c>
      <c r="AY103" s="48" t="n">
        <f aca="false">AX103+AY102</f>
        <v>16407.246194046</v>
      </c>
      <c r="AZ103" s="48" t="n">
        <f aca="false">AY103+AZ102</f>
        <v>17136.4540942064</v>
      </c>
      <c r="BA103" s="48" t="n">
        <f aca="false">AZ103+BA102</f>
        <v>17865.6619943668</v>
      </c>
      <c r="BB103" s="48" t="n">
        <f aca="false">BA103+BB102</f>
        <v>18568.3389871946</v>
      </c>
      <c r="BC103" s="48" t="n">
        <f aca="false">BB103+BC102</f>
        <v>18965.5384765683</v>
      </c>
      <c r="BD103" s="48" t="n">
        <f aca="false">BC103+BD102</f>
        <v>19362.7379659421</v>
      </c>
      <c r="BE103" s="48" t="n">
        <f aca="false">BD103+BE102</f>
        <v>19790.5787463092</v>
      </c>
      <c r="BF103" s="48" t="n">
        <f aca="false">BE103+BF102</f>
        <v>20187.7782356829</v>
      </c>
      <c r="BG103" s="48" t="n">
        <f aca="false">BF103+BG102</f>
        <v>20584.9777250567</v>
      </c>
      <c r="BH103" s="48" t="n">
        <f aca="false">BG103+BH102</f>
        <v>21012.8185054238</v>
      </c>
      <c r="BI103" s="48" t="n">
        <f aca="false">BH103+BI102</f>
        <v>21410.0179947975</v>
      </c>
      <c r="BJ103" s="48" t="n">
        <f aca="false">BI103+BJ102</f>
        <v>21807.2174841713</v>
      </c>
      <c r="BK103" s="48" t="n">
        <f aca="false">BJ103+BK102</f>
        <v>22235.0582645384</v>
      </c>
      <c r="BL103" s="48" t="n">
        <f aca="false">BK103+BL102</f>
        <v>22606.8784031488</v>
      </c>
      <c r="BM103" s="48" t="n">
        <f aca="false">BL103+BM102</f>
        <v>23004.0778925226</v>
      </c>
      <c r="BN103" s="48" t="n">
        <f aca="false">BM103+BN102</f>
        <v>23431.9186728896</v>
      </c>
      <c r="BO103" s="48" t="n">
        <f aca="false">BN103+BO102</f>
        <v>23829.1181622634</v>
      </c>
      <c r="BP103" s="48" t="n">
        <f aca="false">BO103+BP102</f>
        <v>24226.3176516372</v>
      </c>
      <c r="BQ103" s="48" t="n">
        <f aca="false">BP103+BQ102</f>
        <v>24654.1584320042</v>
      </c>
      <c r="BR103" s="48" t="n">
        <f aca="false">BQ103+BR102</f>
        <v>25051.357921378</v>
      </c>
      <c r="BS103" s="48" t="n">
        <f aca="false">BR103+BS102</f>
        <v>25448.5574107518</v>
      </c>
      <c r="BT103" s="48" t="n">
        <f aca="false">BS103+BT102</f>
        <v>25876.3981911188</v>
      </c>
      <c r="BU103" s="48" t="n">
        <f aca="false">BT103+BU102</f>
        <v>26273.5976804926</v>
      </c>
      <c r="BV103" s="48" t="n">
        <f aca="false">BU103+BV102</f>
        <v>26645.417819103</v>
      </c>
      <c r="BW103" s="48" t="n">
        <f aca="false">BV103+BW102</f>
        <v>26645.417819103</v>
      </c>
      <c r="BX103" s="48" t="n">
        <f aca="false">BW103+BX102</f>
        <v>26645.417819103</v>
      </c>
    </row>
    <row r="104" customFormat="false" ht="15" hidden="false" customHeight="false" outlineLevel="0" collapsed="false">
      <c r="A104" s="1"/>
      <c r="B104" s="8" t="s">
        <v>363</v>
      </c>
      <c r="C104" s="8" t="s">
        <v>126</v>
      </c>
      <c r="D104" s="44" t="n">
        <f aca="false">SUM(G104:BX104)</f>
        <v>501.546562190623</v>
      </c>
      <c r="E104" s="1"/>
      <c r="F104" s="1"/>
      <c r="G104" s="48" t="n">
        <f aca="false">G102*G48</f>
        <v>0</v>
      </c>
      <c r="H104" s="48" t="n">
        <f aca="false">H102*H48</f>
        <v>0</v>
      </c>
      <c r="I104" s="48" t="n">
        <f aca="false">I102*I48</f>
        <v>0</v>
      </c>
      <c r="J104" s="48" t="n">
        <f aca="false">J102*J48</f>
        <v>-1948.20727230859</v>
      </c>
      <c r="K104" s="48" t="n">
        <f aca="false">K102*K48</f>
        <v>-2506.91971491846</v>
      </c>
      <c r="L104" s="48" t="n">
        <f aca="false">L102*L48</f>
        <v>-3051.29619415334</v>
      </c>
      <c r="M104" s="48" t="n">
        <f aca="false">M102*M48</f>
        <v>-2273.8500815587</v>
      </c>
      <c r="N104" s="48" t="n">
        <f aca="false">N102*N48</f>
        <v>-1643.93006807541</v>
      </c>
      <c r="O104" s="48" t="n">
        <f aca="false">O102*O48</f>
        <v>641.51744385943</v>
      </c>
      <c r="P104" s="48" t="n">
        <f aca="false">P102*P48</f>
        <v>575.43205455235</v>
      </c>
      <c r="Q104" s="48" t="n">
        <f aca="false">Q102*Q48</f>
        <v>548.022491739429</v>
      </c>
      <c r="R104" s="48" t="n">
        <f aca="false">R102*R48</f>
        <v>632.514941819197</v>
      </c>
      <c r="S104" s="48" t="n">
        <f aca="false">S102*S48</f>
        <v>570.717477334366</v>
      </c>
      <c r="T104" s="48" t="n">
        <f aca="false">T102*T48</f>
        <v>543.533276716295</v>
      </c>
      <c r="U104" s="48" t="n">
        <f aca="false">U102*U48</f>
        <v>546.377146123622</v>
      </c>
      <c r="V104" s="48" t="n">
        <f aca="false">V102*V48</f>
        <v>477.930274984482</v>
      </c>
      <c r="W104" s="48" t="n">
        <f aca="false">W102*W48</f>
        <v>452.004277311411</v>
      </c>
      <c r="X104" s="48" t="n">
        <f aca="false">X102*X48</f>
        <v>415.508949838771</v>
      </c>
      <c r="Y104" s="48" t="n">
        <f aca="false">Y102*Y48</f>
        <v>404.235232639229</v>
      </c>
      <c r="Z104" s="48" t="n">
        <f aca="false">Z102*Z48</f>
        <v>375.917648717012</v>
      </c>
      <c r="AA104" s="48" t="n">
        <f aca="false">AA102*AA48</f>
        <v>364.38959415</v>
      </c>
      <c r="AB104" s="48" t="n">
        <f aca="false">AB102*AB48</f>
        <v>330.501401149001</v>
      </c>
      <c r="AC104" s="48" t="n">
        <f aca="false">AC102*AC48</f>
        <v>300.580859459307</v>
      </c>
      <c r="AD104" s="48" t="n">
        <f aca="false">AD102*AD48</f>
        <v>295.863684178909</v>
      </c>
      <c r="AE104" s="48" t="n">
        <f aca="false">AE102*AE48</f>
        <v>267.493999471553</v>
      </c>
      <c r="AF104" s="48" t="n">
        <f aca="false">AF102*AF48</f>
        <v>254.759769285899</v>
      </c>
      <c r="AG104" s="48" t="n">
        <f aca="false">AG102*AG48</f>
        <v>255.588330064718</v>
      </c>
      <c r="AH104" s="48" t="n">
        <f aca="false">AH102*AH48</f>
        <v>218.741591716237</v>
      </c>
      <c r="AI104" s="48" t="n">
        <f aca="false">AI102*AI48</f>
        <v>220.080455447946</v>
      </c>
      <c r="AJ104" s="48" t="n">
        <f aca="false">AJ102*AJ48</f>
        <v>220.795768431958</v>
      </c>
      <c r="AK104" s="48" t="n">
        <f aca="false">AK102*AK48</f>
        <v>196.265407550708</v>
      </c>
      <c r="AL104" s="48" t="n">
        <f aca="false">AL102*AL48</f>
        <v>186.007957461328</v>
      </c>
      <c r="AM104" s="48" t="n">
        <f aca="false">AM102*AM48</f>
        <v>186.821462166645</v>
      </c>
      <c r="AN104" s="48" t="n">
        <f aca="false">AN102*AN48</f>
        <v>168.719742534274</v>
      </c>
      <c r="AO104" s="48" t="n">
        <f aca="false">AO102*AO48</f>
        <v>160.687869979823</v>
      </c>
      <c r="AP104" s="48" t="n">
        <f aca="false">AP102*AP48</f>
        <v>161.387976374195</v>
      </c>
      <c r="AQ104" s="48" t="n">
        <f aca="false">AQ102*AQ48</f>
        <v>145.748634902334</v>
      </c>
      <c r="AR104" s="48" t="n">
        <f aca="false">AR102*AR48</f>
        <v>131.23279539293</v>
      </c>
      <c r="AS104" s="48" t="n">
        <f aca="false">AS102*AS48</f>
        <v>139.413001942939</v>
      </c>
      <c r="AT104" s="48" t="n">
        <f aca="false">AT102*AT48</f>
        <v>125.903150763273</v>
      </c>
      <c r="AU104" s="48" t="n">
        <f aca="false">AU102*AU48</f>
        <v>119.907762631688</v>
      </c>
      <c r="AV104" s="48" t="n">
        <f aca="false">AV102*AV48</f>
        <v>120.430192802453</v>
      </c>
      <c r="AW104" s="48" t="n">
        <f aca="false">AW102*AW48</f>
        <v>108.759875402892</v>
      </c>
      <c r="AX104" s="48" t="n">
        <f aca="false">AX102*AX48</f>
        <v>103.58083371704</v>
      </c>
      <c r="AY104" s="48" t="n">
        <f aca="false">AY102*AY48</f>
        <v>104.032128541153</v>
      </c>
      <c r="AZ104" s="48" t="n">
        <f aca="false">AZ102*AZ48</f>
        <v>93.9508695846166</v>
      </c>
      <c r="BA104" s="48" t="n">
        <f aca="false">BA102*BA48</f>
        <v>89.4770186520158</v>
      </c>
      <c r="BB104" s="48" t="n">
        <f aca="false">BB102*BB48</f>
        <v>82.1157710072865</v>
      </c>
      <c r="BC104" s="48" t="n">
        <f aca="false">BC102*BC48</f>
        <v>44.2069165105713</v>
      </c>
      <c r="BD104" s="48" t="n">
        <f aca="false">BD102*BD48</f>
        <v>42.1018252481631</v>
      </c>
      <c r="BE104" s="48" t="n">
        <f aca="false">BE102*BE48</f>
        <v>43.190190681912</v>
      </c>
      <c r="BF104" s="48" t="n">
        <f aca="false">BF102*BF48</f>
        <v>38.1875965969733</v>
      </c>
      <c r="BG104" s="48" t="n">
        <f aca="false">BG102*BG48</f>
        <v>36.3691396161651</v>
      </c>
      <c r="BH104" s="48" t="n">
        <f aca="false">BH102*BH48</f>
        <v>37.3093105987794</v>
      </c>
      <c r="BI104" s="48" t="n">
        <f aca="false">BI102*BI48</f>
        <v>32.9878817380182</v>
      </c>
      <c r="BJ104" s="48" t="n">
        <f aca="false">BJ102*BJ48</f>
        <v>31.417030226684</v>
      </c>
      <c r="BK104" s="48" t="n">
        <f aca="false">BK102*BK48</f>
        <v>32.2291852705145</v>
      </c>
      <c r="BL104" s="48" t="n">
        <f aca="false">BL102*BL48</f>
        <v>26.6753888350771</v>
      </c>
      <c r="BM104" s="48" t="n">
        <f aca="false">BM102*BM48</f>
        <v>27.1392119440095</v>
      </c>
      <c r="BN104" s="48" t="n">
        <f aca="false">BN102*BN48</f>
        <v>27.8407820067073</v>
      </c>
      <c r="BO104" s="48" t="n">
        <f aca="false">BO102*BO48</f>
        <v>24.6160652553374</v>
      </c>
      <c r="BP104" s="48" t="n">
        <f aca="false">BP102*BP48</f>
        <v>23.4438716717499</v>
      </c>
      <c r="BQ104" s="48" t="n">
        <f aca="false">BQ102*BQ48</f>
        <v>24.0499142699124</v>
      </c>
      <c r="BR104" s="48" t="n">
        <f aca="false">BR102*BR48</f>
        <v>21.2642826954648</v>
      </c>
      <c r="BS104" s="48" t="n">
        <f aca="false">BS102*BS48</f>
        <v>20.2516978052046</v>
      </c>
      <c r="BT104" s="48" t="n">
        <f aca="false">BT102*BT48</f>
        <v>20.775220187809</v>
      </c>
      <c r="BU104" s="48" t="n">
        <f aca="false">BU102*BU48</f>
        <v>18.3688868981447</v>
      </c>
      <c r="BV104" s="48" t="n">
        <f aca="false">BV102*BV48</f>
        <v>16.376374749207</v>
      </c>
      <c r="BW104" s="48" t="n">
        <f aca="false">BW102*BW48</f>
        <v>0</v>
      </c>
      <c r="BX104" s="48" t="n">
        <f aca="false">BX102*BX48</f>
        <v>0</v>
      </c>
    </row>
    <row r="105" customFormat="false" ht="15" hidden="false" customHeight="false" outlineLevel="0" collapsed="false">
      <c r="A105" s="1"/>
      <c r="B105" s="4" t="s">
        <v>364</v>
      </c>
      <c r="C105" s="1"/>
      <c r="D105" s="44" t="n">
        <f aca="false">SUMPRODUCT($G$102:$BX$102,$G$48:$BX$48)</f>
        <v>501.546562190623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</row>
    <row r="106" customFormat="false" ht="15" hidden="false" customHeight="false" outlineLevel="0" collapsed="false">
      <c r="A106" s="1"/>
      <c r="B106" s="4" t="s">
        <v>365</v>
      </c>
      <c r="C106" s="1"/>
      <c r="D106" s="44" t="n">
        <f aca="false">SUMPRODUCT($G$101:$BX$101,$G$48:$BX$48)</f>
        <v>1715.42489063734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</row>
    <row r="107" customFormat="false" ht="15" hidden="false" customHeight="false" outlineLevel="0" collapsed="false">
      <c r="A107" s="1"/>
      <c r="B107" s="4" t="s">
        <v>366</v>
      </c>
      <c r="C107" s="1"/>
      <c r="D107" s="50" t="n">
        <f aca="true">IFERROR(IRR(OFFSET(G102,0,$D$12-2027,1,$D$11+$D$9),0.05),"n/a")</f>
        <v>0.0525930002854898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</row>
    <row r="108" customFormat="false" ht="15" hidden="false" customHeight="false" outlineLevel="0" collapsed="false">
      <c r="A108" s="1"/>
      <c r="B108" s="4" t="s">
        <v>367</v>
      </c>
      <c r="C108" s="1"/>
      <c r="D108" s="44" t="n">
        <f aca="false">SUMPRODUCT($G$62:$BX$62,$G$48:$BX$48)</f>
        <v>37590927.1015748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</row>
    <row r="109" customFormat="false" ht="15" hidden="false" customHeight="false" outlineLevel="0" collapsed="false">
      <c r="A109" s="1"/>
      <c r="B109" s="4" t="s">
        <v>368</v>
      </c>
      <c r="C109" s="1"/>
      <c r="D109" s="44" t="n">
        <f aca="false">SUMPRODUCT($G$55:$BX$55,$G$48:$BX$48)+SUMPRODUCT($G$83:$BX$83,$G$48:$BX$48)+SUMPRODUCT($G$85:$BX$85,$G$48:$BX$48)</f>
        <v>18342.2345111668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</row>
    <row r="110" customFormat="false" ht="15" hidden="false" customHeight="false" outlineLevel="0" collapsed="false">
      <c r="A110" s="1"/>
      <c r="B110" s="8" t="s">
        <v>369</v>
      </c>
      <c r="C110" s="1"/>
      <c r="D110" s="48" t="n">
        <f aca="false">SUMPRODUCT($G$55:$BX$55,$G$48:$BX$48)</f>
        <v>11424.2033310145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</row>
    <row r="111" customFormat="false" ht="15" hidden="false" customHeight="false" outlineLevel="0" collapsed="false">
      <c r="A111" s="1"/>
      <c r="B111" s="8" t="s">
        <v>370</v>
      </c>
      <c r="C111" s="1"/>
      <c r="D111" s="48" t="n">
        <f aca="false">SUMPRODUCT($G$77:$BX$77,$G$48:$BX$48)</f>
        <v>2630.20970671591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</row>
    <row r="112" customFormat="false" ht="15" hidden="false" customHeight="false" outlineLevel="0" collapsed="false">
      <c r="A112" s="1"/>
      <c r="B112" s="8" t="s">
        <v>371</v>
      </c>
      <c r="C112" s="1"/>
      <c r="D112" s="48" t="n">
        <f aca="false">SUMPRODUCT($G$72:$BX$72,$G$48:$BX$48)</f>
        <v>1165.69042994611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</row>
    <row r="113" customFormat="false" ht="15" hidden="false" customHeight="false" outlineLevel="0" collapsed="false">
      <c r="A113" s="1"/>
      <c r="B113" s="8" t="s">
        <v>372</v>
      </c>
      <c r="C113" s="1"/>
      <c r="D113" s="48" t="n">
        <f aca="false">SUMPRODUCT($G$73:$BX$73,$G$48:$BX$48)</f>
        <v>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</row>
    <row r="114" customFormat="false" ht="15" hidden="false" customHeight="false" outlineLevel="0" collapsed="false">
      <c r="A114" s="1"/>
      <c r="B114" s="8" t="s">
        <v>373</v>
      </c>
      <c r="C114" s="1"/>
      <c r="D114" s="48" t="n">
        <f aca="false">SUMPRODUCT($G$74:$BX$74,$G$48:$BX$48)+SUMPRODUCT($G$75:$BX$75,$G$48:$BX$48)</f>
        <v>413.500198117323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</row>
    <row r="115" customFormat="false" ht="15" hidden="false" customHeight="false" outlineLevel="0" collapsed="false">
      <c r="A115" s="1"/>
      <c r="B115" s="8" t="s">
        <v>374</v>
      </c>
      <c r="C115" s="1"/>
      <c r="D115" s="48" t="n">
        <f aca="false">SUMPRODUCT($G$76:$BX$76,$G$48:$BX$48)+SUMPRODUCT($G$85:$BX$85,$G$48:$BX$48)</f>
        <v>977.364104640946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</row>
    <row r="116" customFormat="false" ht="15" hidden="false" customHeight="false" outlineLevel="0" collapsed="false">
      <c r="A116" s="1"/>
      <c r="B116" s="8" t="s">
        <v>375</v>
      </c>
      <c r="C116" s="1"/>
      <c r="D116" s="48" t="n">
        <f aca="false">SUMPRODUCT($G$79:$BX$79,$G$48:$BX$48)</f>
        <v>920.841739495288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</row>
    <row r="117" customFormat="false" ht="15" hidden="false" customHeight="false" outlineLevel="0" collapsed="false">
      <c r="A117" s="1"/>
      <c r="B117" s="8" t="s">
        <v>376</v>
      </c>
      <c r="C117" s="1"/>
      <c r="D117" s="48" t="n">
        <f aca="false">SUMPRODUCT($G$81:$BX$81,$G$48:$BX$48)+SUMPRODUCT($G$82:$BX$82,$G$48:$BX$48)+SUMPRODUCT($G$80:$BX$80,$G$48:$BX$48)</f>
        <v>810.425001236742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</row>
    <row r="118" customFormat="false" ht="15" hidden="false" customHeight="false" outlineLevel="0" collapsed="false">
      <c r="A118" s="1"/>
      <c r="B118" s="4" t="s">
        <v>377</v>
      </c>
      <c r="C118" s="1"/>
      <c r="D118" s="44" t="n">
        <f aca="false">SUMPRODUCT($G$69:$BX$69,$G$48:$BX$48)</f>
        <v>20057.6594018042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</row>
    <row r="119" customFormat="false" ht="15" hidden="false" customHeight="false" outlineLevel="0" collapsed="false">
      <c r="A119" s="1"/>
      <c r="B119" s="4" t="s">
        <v>10</v>
      </c>
      <c r="C119" s="1"/>
      <c r="D119" s="46" t="n">
        <f aca="false">IFERROR($D$109*1000000/$D$108,0)</f>
        <v>487.943126850904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</row>
    <row r="120" customFormat="false" ht="15" hidden="false" customHeight="false" outlineLevel="0" collapsed="false">
      <c r="A120" s="1"/>
      <c r="B120" s="4" t="s">
        <v>11</v>
      </c>
      <c r="C120" s="1"/>
      <c r="D120" s="46" t="n">
        <f aca="false">IFERROR($D$118*1000000/$D$108,0)</f>
        <v>533.577140771393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</row>
    <row r="121" customFormat="false" ht="15" hidden="false" customHeight="false" outlineLevel="0" collapsed="false">
      <c r="A121" s="1"/>
      <c r="B121" s="4" t="s">
        <v>378</v>
      </c>
      <c r="C121" s="1"/>
      <c r="D121" s="50" t="n">
        <f aca="false">IFERROR(AVERAGEIF($G$45:$BX$45,1,$G$61:$BX$61),0)</f>
        <v>0.91178077195586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</row>
    <row r="122" customFormat="false" ht="15" hidden="false" customHeight="false" outlineLevel="0" collapsed="false">
      <c r="A122" s="1"/>
      <c r="B122" s="4" t="s">
        <v>379</v>
      </c>
      <c r="C122" s="1"/>
      <c r="D122" s="44" t="n">
        <f aca="false">SUMPRODUCT($G$66:$BX$66,$G$48:$BX$48)+SUMPRODUCT($G$67:$BX$67,$G$48:$BX$48)</f>
        <v>5501.48998845857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</row>
    <row r="123" customFormat="false" ht="15" hidden="false" customHeight="false" outlineLevel="0" collapsed="false">
      <c r="A123" s="1"/>
      <c r="B123" s="4" t="s">
        <v>380</v>
      </c>
      <c r="C123" s="1"/>
      <c r="D123" s="46" t="n">
        <f aca="false">($D$38-$D$105/((1-$D$17)*SUMPRODUCT($G$62:$BX$62,$G$48:$BX$48,--($G$46:$BX$46&lt;=$D$39),--($G$46:$BX$46&gt;0))/1000000))/$D$16</f>
        <v>120.848343073217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</row>
    <row r="125" customFormat="false" ht="15" hidden="false" customHeight="false" outlineLevel="0" collapsed="false">
      <c r="A125" s="1"/>
      <c r="B125" s="13" t="s">
        <v>381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</row>
    <row r="126" customFormat="false" ht="15" hidden="false" customHeight="false" outlineLevel="0" collapsed="false">
      <c r="A126" s="1"/>
      <c r="B126" s="8" t="s">
        <v>382</v>
      </c>
      <c r="C126" s="8" t="s">
        <v>126</v>
      </c>
      <c r="D126" s="44" t="n">
        <f aca="false">SUM(G126:BX126)</f>
        <v>1368</v>
      </c>
      <c r="E126" s="1"/>
      <c r="F126" s="1"/>
      <c r="G126" s="48" t="n">
        <f aca="false">G81*$D$23</f>
        <v>0</v>
      </c>
      <c r="H126" s="48" t="n">
        <f aca="false">H81*$D$23</f>
        <v>0</v>
      </c>
      <c r="I126" s="48" t="n">
        <f aca="false">I81*$D$23</f>
        <v>0</v>
      </c>
      <c r="J126" s="48" t="n">
        <f aca="false">J81*$D$23</f>
        <v>0</v>
      </c>
      <c r="K126" s="48" t="n">
        <f aca="false">K81*$D$23</f>
        <v>0</v>
      </c>
      <c r="L126" s="48" t="n">
        <f aca="false">L81*$D$23</f>
        <v>0</v>
      </c>
      <c r="M126" s="48" t="n">
        <f aca="false">M81*$D$23</f>
        <v>0</v>
      </c>
      <c r="N126" s="48" t="n">
        <f aca="false">N81*$D$23</f>
        <v>0</v>
      </c>
      <c r="O126" s="48" t="n">
        <f aca="false">O81*$D$23</f>
        <v>22.8</v>
      </c>
      <c r="P126" s="48" t="n">
        <f aca="false">P81*$D$23</f>
        <v>22.8</v>
      </c>
      <c r="Q126" s="48" t="n">
        <f aca="false">Q81*$D$23</f>
        <v>22.8</v>
      </c>
      <c r="R126" s="48" t="n">
        <f aca="false">R81*$D$23</f>
        <v>22.8</v>
      </c>
      <c r="S126" s="48" t="n">
        <f aca="false">S81*$D$23</f>
        <v>22.8</v>
      </c>
      <c r="T126" s="48" t="n">
        <f aca="false">T81*$D$23</f>
        <v>22.8</v>
      </c>
      <c r="U126" s="48" t="n">
        <f aca="false">U81*$D$23</f>
        <v>22.8</v>
      </c>
      <c r="V126" s="48" t="n">
        <f aca="false">V81*$D$23</f>
        <v>22.8</v>
      </c>
      <c r="W126" s="48" t="n">
        <f aca="false">W81*$D$23</f>
        <v>22.8</v>
      </c>
      <c r="X126" s="48" t="n">
        <f aca="false">X81*$D$23</f>
        <v>22.8</v>
      </c>
      <c r="Y126" s="48" t="n">
        <f aca="false">Y81*$D$23</f>
        <v>22.8</v>
      </c>
      <c r="Z126" s="48" t="n">
        <f aca="false">Z81*$D$23</f>
        <v>22.8</v>
      </c>
      <c r="AA126" s="48" t="n">
        <f aca="false">AA81*$D$23</f>
        <v>22.8</v>
      </c>
      <c r="AB126" s="48" t="n">
        <f aca="false">AB81*$D$23</f>
        <v>22.8</v>
      </c>
      <c r="AC126" s="48" t="n">
        <f aca="false">AC81*$D$23</f>
        <v>22.8</v>
      </c>
      <c r="AD126" s="48" t="n">
        <f aca="false">AD81*$D$23</f>
        <v>22.8</v>
      </c>
      <c r="AE126" s="48" t="n">
        <f aca="false">AE81*$D$23</f>
        <v>22.8</v>
      </c>
      <c r="AF126" s="48" t="n">
        <f aca="false">AF81*$D$23</f>
        <v>22.8</v>
      </c>
      <c r="AG126" s="48" t="n">
        <f aca="false">AG81*$D$23</f>
        <v>22.8</v>
      </c>
      <c r="AH126" s="48" t="n">
        <f aca="false">AH81*$D$23</f>
        <v>22.8</v>
      </c>
      <c r="AI126" s="48" t="n">
        <f aca="false">AI81*$D$23</f>
        <v>22.8</v>
      </c>
      <c r="AJ126" s="48" t="n">
        <f aca="false">AJ81*$D$23</f>
        <v>22.8</v>
      </c>
      <c r="AK126" s="48" t="n">
        <f aca="false">AK81*$D$23</f>
        <v>22.8</v>
      </c>
      <c r="AL126" s="48" t="n">
        <f aca="false">AL81*$D$23</f>
        <v>22.8</v>
      </c>
      <c r="AM126" s="48" t="n">
        <f aca="false">AM81*$D$23</f>
        <v>22.8</v>
      </c>
      <c r="AN126" s="48" t="n">
        <f aca="false">AN81*$D$23</f>
        <v>22.8</v>
      </c>
      <c r="AO126" s="48" t="n">
        <f aca="false">AO81*$D$23</f>
        <v>22.8</v>
      </c>
      <c r="AP126" s="48" t="n">
        <f aca="false">AP81*$D$23</f>
        <v>22.8</v>
      </c>
      <c r="AQ126" s="48" t="n">
        <f aca="false">AQ81*$D$23</f>
        <v>22.8</v>
      </c>
      <c r="AR126" s="48" t="n">
        <f aca="false">AR81*$D$23</f>
        <v>22.8</v>
      </c>
      <c r="AS126" s="48" t="n">
        <f aca="false">AS81*$D$23</f>
        <v>22.8</v>
      </c>
      <c r="AT126" s="48" t="n">
        <f aca="false">AT81*$D$23</f>
        <v>22.8</v>
      </c>
      <c r="AU126" s="48" t="n">
        <f aca="false">AU81*$D$23</f>
        <v>22.8</v>
      </c>
      <c r="AV126" s="48" t="n">
        <f aca="false">AV81*$D$23</f>
        <v>22.8</v>
      </c>
      <c r="AW126" s="48" t="n">
        <f aca="false">AW81*$D$23</f>
        <v>22.8</v>
      </c>
      <c r="AX126" s="48" t="n">
        <f aca="false">AX81*$D$23</f>
        <v>22.8</v>
      </c>
      <c r="AY126" s="48" t="n">
        <f aca="false">AY81*$D$23</f>
        <v>22.8</v>
      </c>
      <c r="AZ126" s="48" t="n">
        <f aca="false">AZ81*$D$23</f>
        <v>22.8</v>
      </c>
      <c r="BA126" s="48" t="n">
        <f aca="false">BA81*$D$23</f>
        <v>22.8</v>
      </c>
      <c r="BB126" s="48" t="n">
        <f aca="false">BB81*$D$23</f>
        <v>22.8</v>
      </c>
      <c r="BC126" s="48" t="n">
        <f aca="false">BC81*$D$23</f>
        <v>22.8</v>
      </c>
      <c r="BD126" s="48" t="n">
        <f aca="false">BD81*$D$23</f>
        <v>22.8</v>
      </c>
      <c r="BE126" s="48" t="n">
        <f aca="false">BE81*$D$23</f>
        <v>22.8</v>
      </c>
      <c r="BF126" s="48" t="n">
        <f aca="false">BF81*$D$23</f>
        <v>22.8</v>
      </c>
      <c r="BG126" s="48" t="n">
        <f aca="false">BG81*$D$23</f>
        <v>22.8</v>
      </c>
      <c r="BH126" s="48" t="n">
        <f aca="false">BH81*$D$23</f>
        <v>22.8</v>
      </c>
      <c r="BI126" s="48" t="n">
        <f aca="false">BI81*$D$23</f>
        <v>22.8</v>
      </c>
      <c r="BJ126" s="48" t="n">
        <f aca="false">BJ81*$D$23</f>
        <v>22.8</v>
      </c>
      <c r="BK126" s="48" t="n">
        <f aca="false">BK81*$D$23</f>
        <v>22.8</v>
      </c>
      <c r="BL126" s="48" t="n">
        <f aca="false">BL81*$D$23</f>
        <v>22.8</v>
      </c>
      <c r="BM126" s="48" t="n">
        <f aca="false">BM81*$D$23</f>
        <v>22.8</v>
      </c>
      <c r="BN126" s="48" t="n">
        <f aca="false">BN81*$D$23</f>
        <v>22.8</v>
      </c>
      <c r="BO126" s="48" t="n">
        <f aca="false">BO81*$D$23</f>
        <v>22.8</v>
      </c>
      <c r="BP126" s="48" t="n">
        <f aca="false">BP81*$D$23</f>
        <v>22.8</v>
      </c>
      <c r="BQ126" s="48" t="n">
        <f aca="false">BQ81*$D$23</f>
        <v>22.8</v>
      </c>
      <c r="BR126" s="48" t="n">
        <f aca="false">BR81*$D$23</f>
        <v>22.8</v>
      </c>
      <c r="BS126" s="48" t="n">
        <f aca="false">BS81*$D$23</f>
        <v>22.8</v>
      </c>
      <c r="BT126" s="48" t="n">
        <f aca="false">BT81*$D$23</f>
        <v>22.8</v>
      </c>
      <c r="BU126" s="48" t="n">
        <f aca="false">BU81*$D$23</f>
        <v>22.8</v>
      </c>
      <c r="BV126" s="48" t="n">
        <f aca="false">BV81*$D$23</f>
        <v>22.8</v>
      </c>
      <c r="BW126" s="48" t="n">
        <f aca="false">BW81*$D$23</f>
        <v>0</v>
      </c>
      <c r="BX126" s="48" t="n">
        <f aca="false">BX81*$D$23</f>
        <v>0</v>
      </c>
    </row>
    <row r="127" customFormat="false" ht="15" hidden="false" customHeight="false" outlineLevel="0" collapsed="false">
      <c r="A127" s="1"/>
      <c r="B127" s="8" t="s">
        <v>383</v>
      </c>
      <c r="C127" s="8" t="s">
        <v>126</v>
      </c>
      <c r="D127" s="44" t="n">
        <f aca="false">SUM(G127:BX127)</f>
        <v>1368</v>
      </c>
      <c r="E127" s="1"/>
      <c r="F127" s="1"/>
      <c r="G127" s="48" t="n">
        <f aca="false">G81*(1-$D$23)</f>
        <v>0</v>
      </c>
      <c r="H127" s="48" t="n">
        <f aca="false">H81*(1-$D$23)</f>
        <v>0</v>
      </c>
      <c r="I127" s="48" t="n">
        <f aca="false">I81*(1-$D$23)</f>
        <v>0</v>
      </c>
      <c r="J127" s="48" t="n">
        <f aca="false">J81*(1-$D$23)</f>
        <v>0</v>
      </c>
      <c r="K127" s="48" t="n">
        <f aca="false">K81*(1-$D$23)</f>
        <v>0</v>
      </c>
      <c r="L127" s="48" t="n">
        <f aca="false">L81*(1-$D$23)</f>
        <v>0</v>
      </c>
      <c r="M127" s="48" t="n">
        <f aca="false">M81*(1-$D$23)</f>
        <v>0</v>
      </c>
      <c r="N127" s="48" t="n">
        <f aca="false">N81*(1-$D$23)</f>
        <v>0</v>
      </c>
      <c r="O127" s="48" t="n">
        <f aca="false">O81*(1-$D$23)</f>
        <v>22.8</v>
      </c>
      <c r="P127" s="48" t="n">
        <f aca="false">P81*(1-$D$23)</f>
        <v>22.8</v>
      </c>
      <c r="Q127" s="48" t="n">
        <f aca="false">Q81*(1-$D$23)</f>
        <v>22.8</v>
      </c>
      <c r="R127" s="48" t="n">
        <f aca="false">R81*(1-$D$23)</f>
        <v>22.8</v>
      </c>
      <c r="S127" s="48" t="n">
        <f aca="false">S81*(1-$D$23)</f>
        <v>22.8</v>
      </c>
      <c r="T127" s="48" t="n">
        <f aca="false">T81*(1-$D$23)</f>
        <v>22.8</v>
      </c>
      <c r="U127" s="48" t="n">
        <f aca="false">U81*(1-$D$23)</f>
        <v>22.8</v>
      </c>
      <c r="V127" s="48" t="n">
        <f aca="false">V81*(1-$D$23)</f>
        <v>22.8</v>
      </c>
      <c r="W127" s="48" t="n">
        <f aca="false">W81*(1-$D$23)</f>
        <v>22.8</v>
      </c>
      <c r="X127" s="48" t="n">
        <f aca="false">X81*(1-$D$23)</f>
        <v>22.8</v>
      </c>
      <c r="Y127" s="48" t="n">
        <f aca="false">Y81*(1-$D$23)</f>
        <v>22.8</v>
      </c>
      <c r="Z127" s="48" t="n">
        <f aca="false">Z81*(1-$D$23)</f>
        <v>22.8</v>
      </c>
      <c r="AA127" s="48" t="n">
        <f aca="false">AA81*(1-$D$23)</f>
        <v>22.8</v>
      </c>
      <c r="AB127" s="48" t="n">
        <f aca="false">AB81*(1-$D$23)</f>
        <v>22.8</v>
      </c>
      <c r="AC127" s="48" t="n">
        <f aca="false">AC81*(1-$D$23)</f>
        <v>22.8</v>
      </c>
      <c r="AD127" s="48" t="n">
        <f aca="false">AD81*(1-$D$23)</f>
        <v>22.8</v>
      </c>
      <c r="AE127" s="48" t="n">
        <f aca="false">AE81*(1-$D$23)</f>
        <v>22.8</v>
      </c>
      <c r="AF127" s="48" t="n">
        <f aca="false">AF81*(1-$D$23)</f>
        <v>22.8</v>
      </c>
      <c r="AG127" s="48" t="n">
        <f aca="false">AG81*(1-$D$23)</f>
        <v>22.8</v>
      </c>
      <c r="AH127" s="48" t="n">
        <f aca="false">AH81*(1-$D$23)</f>
        <v>22.8</v>
      </c>
      <c r="AI127" s="48" t="n">
        <f aca="false">AI81*(1-$D$23)</f>
        <v>22.8</v>
      </c>
      <c r="AJ127" s="48" t="n">
        <f aca="false">AJ81*(1-$D$23)</f>
        <v>22.8</v>
      </c>
      <c r="AK127" s="48" t="n">
        <f aca="false">AK81*(1-$D$23)</f>
        <v>22.8</v>
      </c>
      <c r="AL127" s="48" t="n">
        <f aca="false">AL81*(1-$D$23)</f>
        <v>22.8</v>
      </c>
      <c r="AM127" s="48" t="n">
        <f aca="false">AM81*(1-$D$23)</f>
        <v>22.8</v>
      </c>
      <c r="AN127" s="48" t="n">
        <f aca="false">AN81*(1-$D$23)</f>
        <v>22.8</v>
      </c>
      <c r="AO127" s="48" t="n">
        <f aca="false">AO81*(1-$D$23)</f>
        <v>22.8</v>
      </c>
      <c r="AP127" s="48" t="n">
        <f aca="false">AP81*(1-$D$23)</f>
        <v>22.8</v>
      </c>
      <c r="AQ127" s="48" t="n">
        <f aca="false">AQ81*(1-$D$23)</f>
        <v>22.8</v>
      </c>
      <c r="AR127" s="48" t="n">
        <f aca="false">AR81*(1-$D$23)</f>
        <v>22.8</v>
      </c>
      <c r="AS127" s="48" t="n">
        <f aca="false">AS81*(1-$D$23)</f>
        <v>22.8</v>
      </c>
      <c r="AT127" s="48" t="n">
        <f aca="false">AT81*(1-$D$23)</f>
        <v>22.8</v>
      </c>
      <c r="AU127" s="48" t="n">
        <f aca="false">AU81*(1-$D$23)</f>
        <v>22.8</v>
      </c>
      <c r="AV127" s="48" t="n">
        <f aca="false">AV81*(1-$D$23)</f>
        <v>22.8</v>
      </c>
      <c r="AW127" s="48" t="n">
        <f aca="false">AW81*(1-$D$23)</f>
        <v>22.8</v>
      </c>
      <c r="AX127" s="48" t="n">
        <f aca="false">AX81*(1-$D$23)</f>
        <v>22.8</v>
      </c>
      <c r="AY127" s="48" t="n">
        <f aca="false">AY81*(1-$D$23)</f>
        <v>22.8</v>
      </c>
      <c r="AZ127" s="48" t="n">
        <f aca="false">AZ81*(1-$D$23)</f>
        <v>22.8</v>
      </c>
      <c r="BA127" s="48" t="n">
        <f aca="false">BA81*(1-$D$23)</f>
        <v>22.8</v>
      </c>
      <c r="BB127" s="48" t="n">
        <f aca="false">BB81*(1-$D$23)</f>
        <v>22.8</v>
      </c>
      <c r="BC127" s="48" t="n">
        <f aca="false">BC81*(1-$D$23)</f>
        <v>22.8</v>
      </c>
      <c r="BD127" s="48" t="n">
        <f aca="false">BD81*(1-$D$23)</f>
        <v>22.8</v>
      </c>
      <c r="BE127" s="48" t="n">
        <f aca="false">BE81*(1-$D$23)</f>
        <v>22.8</v>
      </c>
      <c r="BF127" s="48" t="n">
        <f aca="false">BF81*(1-$D$23)</f>
        <v>22.8</v>
      </c>
      <c r="BG127" s="48" t="n">
        <f aca="false">BG81*(1-$D$23)</f>
        <v>22.8</v>
      </c>
      <c r="BH127" s="48" t="n">
        <f aca="false">BH81*(1-$D$23)</f>
        <v>22.8</v>
      </c>
      <c r="BI127" s="48" t="n">
        <f aca="false">BI81*(1-$D$23)</f>
        <v>22.8</v>
      </c>
      <c r="BJ127" s="48" t="n">
        <f aca="false">BJ81*(1-$D$23)</f>
        <v>22.8</v>
      </c>
      <c r="BK127" s="48" t="n">
        <f aca="false">BK81*(1-$D$23)</f>
        <v>22.8</v>
      </c>
      <c r="BL127" s="48" t="n">
        <f aca="false">BL81*(1-$D$23)</f>
        <v>22.8</v>
      </c>
      <c r="BM127" s="48" t="n">
        <f aca="false">BM81*(1-$D$23)</f>
        <v>22.8</v>
      </c>
      <c r="BN127" s="48" t="n">
        <f aca="false">BN81*(1-$D$23)</f>
        <v>22.8</v>
      </c>
      <c r="BO127" s="48" t="n">
        <f aca="false">BO81*(1-$D$23)</f>
        <v>22.8</v>
      </c>
      <c r="BP127" s="48" t="n">
        <f aca="false">BP81*(1-$D$23)</f>
        <v>22.8</v>
      </c>
      <c r="BQ127" s="48" t="n">
        <f aca="false">BQ81*(1-$D$23)</f>
        <v>22.8</v>
      </c>
      <c r="BR127" s="48" t="n">
        <f aca="false">BR81*(1-$D$23)</f>
        <v>22.8</v>
      </c>
      <c r="BS127" s="48" t="n">
        <f aca="false">BS81*(1-$D$23)</f>
        <v>22.8</v>
      </c>
      <c r="BT127" s="48" t="n">
        <f aca="false">BT81*(1-$D$23)</f>
        <v>22.8</v>
      </c>
      <c r="BU127" s="48" t="n">
        <f aca="false">BU81*(1-$D$23)</f>
        <v>22.8</v>
      </c>
      <c r="BV127" s="48" t="n">
        <f aca="false">BV81*(1-$D$23)</f>
        <v>22.8</v>
      </c>
      <c r="BW127" s="48" t="n">
        <f aca="false">BW81*(1-$D$23)</f>
        <v>0</v>
      </c>
      <c r="BX127" s="48" t="n">
        <f aca="false">BX81*(1-$D$23)</f>
        <v>0</v>
      </c>
    </row>
    <row r="128" customFormat="false" ht="15" hidden="false" customHeight="false" outlineLevel="0" collapsed="false">
      <c r="A128" s="1"/>
      <c r="B128" s="8" t="s">
        <v>384</v>
      </c>
      <c r="C128" s="8" t="s">
        <v>126</v>
      </c>
      <c r="D128" s="44" t="n">
        <f aca="false">SUM(G128:BX128)</f>
        <v>526.329240871171</v>
      </c>
      <c r="E128" s="1"/>
      <c r="F128" s="1"/>
      <c r="G128" s="48" t="n">
        <f aca="false">G97*Input!$H$147</f>
        <v>0</v>
      </c>
      <c r="H128" s="48" t="n">
        <f aca="false">H97*Input!$H$147</f>
        <v>0</v>
      </c>
      <c r="I128" s="48" t="n">
        <f aca="false">I97*Input!$H$147</f>
        <v>0</v>
      </c>
      <c r="J128" s="48" t="n">
        <f aca="false">J97*Input!$H$147</f>
        <v>0</v>
      </c>
      <c r="K128" s="48" t="n">
        <f aca="false">K97*Input!$H$147</f>
        <v>0</v>
      </c>
      <c r="L128" s="48" t="n">
        <f aca="false">L97*Input!$H$147</f>
        <v>0</v>
      </c>
      <c r="M128" s="48" t="n">
        <f aca="false">M97*Input!$H$147</f>
        <v>0</v>
      </c>
      <c r="N128" s="48" t="n">
        <f aca="false">N97*Input!$H$147</f>
        <v>0</v>
      </c>
      <c r="O128" s="48" t="n">
        <f aca="false">O97*Input!$H$147</f>
        <v>0</v>
      </c>
      <c r="P128" s="48" t="n">
        <f aca="false">P97*Input!$H$147</f>
        <v>0</v>
      </c>
      <c r="Q128" s="48" t="n">
        <f aca="false">Q97*Input!$H$147</f>
        <v>0</v>
      </c>
      <c r="R128" s="48" t="n">
        <f aca="false">R97*Input!$H$147</f>
        <v>0</v>
      </c>
      <c r="S128" s="48" t="n">
        <f aca="false">S97*Input!$H$147</f>
        <v>0</v>
      </c>
      <c r="T128" s="48" t="n">
        <f aca="false">T97*Input!$H$147</f>
        <v>0</v>
      </c>
      <c r="U128" s="48" t="n">
        <f aca="false">U97*Input!$H$147</f>
        <v>0</v>
      </c>
      <c r="V128" s="48" t="n">
        <f aca="false">V97*Input!$H$147</f>
        <v>2.27922968157683</v>
      </c>
      <c r="W128" s="48" t="n">
        <f aca="false">W97*Input!$H$147</f>
        <v>2.78223405824262</v>
      </c>
      <c r="X128" s="48" t="n">
        <f aca="false">X97*Input!$H$147</f>
        <v>2.52020375368542</v>
      </c>
      <c r="Y128" s="48" t="n">
        <f aca="false">Y97*Input!$H$147</f>
        <v>3.7882410275766</v>
      </c>
      <c r="Z128" s="48" t="n">
        <f aca="false">Z97*Input!$H$147</f>
        <v>5.45521895797176</v>
      </c>
      <c r="AA128" s="48" t="n">
        <f aca="false">AA97*Input!$H$147</f>
        <v>8.36259505398288</v>
      </c>
      <c r="AB128" s="48" t="n">
        <f aca="false">AB97*Input!$H$147</f>
        <v>7.57648945712667</v>
      </c>
      <c r="AC128" s="48" t="n">
        <f aca="false">AC97*Input!$H$147</f>
        <v>10.5945009686296</v>
      </c>
      <c r="AD128" s="48" t="n">
        <f aca="false">AD97*Input!$H$147</f>
        <v>12.5878159855304</v>
      </c>
      <c r="AE128" s="48" t="n">
        <f aca="false">AE97*Input!$H$147</f>
        <v>11.8019165567341</v>
      </c>
      <c r="AF128" s="48" t="n">
        <f aca="false">AF97*Input!$H$147</f>
        <v>11.8021233799183</v>
      </c>
      <c r="AG128" s="48" t="n">
        <f aca="false">AG97*Input!$H$147</f>
        <v>12.5884321487238</v>
      </c>
      <c r="AH128" s="48" t="n">
        <f aca="false">AH97*Input!$H$147</f>
        <v>11.0164394100125</v>
      </c>
      <c r="AI128" s="48" t="n">
        <f aca="false">AI97*Input!$H$147</f>
        <v>11.8027513620057</v>
      </c>
      <c r="AJ128" s="48" t="n">
        <f aca="false">AJ97*Input!$H$147</f>
        <v>12.5890614010311</v>
      </c>
      <c r="AK128" s="48" t="n">
        <f aca="false">AK97*Input!$H$147</f>
        <v>12.8594731195484</v>
      </c>
      <c r="AL128" s="48" t="n">
        <f aca="false">AL97*Input!$H$147</f>
        <v>13.1614857092213</v>
      </c>
      <c r="AM128" s="48" t="n">
        <f aca="false">AM97*Input!$H$147</f>
        <v>13.9478018845503</v>
      </c>
      <c r="AN128" s="48" t="n">
        <f aca="false">AN97*Input!$H$147</f>
        <v>13.1619161438694</v>
      </c>
      <c r="AO128" s="48" t="n">
        <f aca="false">AO97*Input!$H$147</f>
        <v>13.1621313611935</v>
      </c>
      <c r="AP128" s="48" t="n">
        <f aca="false">AP97*Input!$H$147</f>
        <v>13.9482323191985</v>
      </c>
      <c r="AQ128" s="48" t="n">
        <f aca="false">AQ97*Input!$H$147</f>
        <v>13.1621313611935</v>
      </c>
      <c r="AR128" s="48" t="n">
        <f aca="false">AR97*Input!$H$147</f>
        <v>12.3760304031886</v>
      </c>
      <c r="AS128" s="48" t="n">
        <f aca="false">AS97*Input!$H$147</f>
        <v>13.9482323191985</v>
      </c>
      <c r="AT128" s="48" t="n">
        <f aca="false">AT97*Input!$H$147</f>
        <v>13.1621313611935</v>
      </c>
      <c r="AU128" s="48" t="n">
        <f aca="false">AU97*Input!$H$147</f>
        <v>13.1621313611935</v>
      </c>
      <c r="AV128" s="48" t="n">
        <f aca="false">AV97*Input!$H$147</f>
        <v>13.9482323191985</v>
      </c>
      <c r="AW128" s="48" t="n">
        <f aca="false">AW97*Input!$H$147</f>
        <v>13.1621313611935</v>
      </c>
      <c r="AX128" s="48" t="n">
        <f aca="false">AX97*Input!$H$147</f>
        <v>13.1621313611935</v>
      </c>
      <c r="AY128" s="48" t="n">
        <f aca="false">AY97*Input!$H$147</f>
        <v>13.9482323191985</v>
      </c>
      <c r="AZ128" s="48" t="n">
        <f aca="false">AZ97*Input!$H$147</f>
        <v>13.1621313611935</v>
      </c>
      <c r="BA128" s="48" t="n">
        <f aca="false">BA97*Input!$H$147</f>
        <v>13.1621313611935</v>
      </c>
      <c r="BB128" s="48" t="n">
        <f aca="false">BB97*Input!$H$147</f>
        <v>12.6380640558569</v>
      </c>
      <c r="BC128" s="48" t="n">
        <f aca="false">BC97*Input!$H$147</f>
        <v>7.84591583948187</v>
      </c>
      <c r="BD128" s="48" t="n">
        <f aca="false">BD97*Input!$H$147</f>
        <v>7.84591583948187</v>
      </c>
      <c r="BE128" s="48" t="n">
        <f aca="false">BE97*Input!$H$147</f>
        <v>8.45117590848516</v>
      </c>
      <c r="BF128" s="48" t="n">
        <f aca="false">BF97*Input!$H$147</f>
        <v>7.84591583948187</v>
      </c>
      <c r="BG128" s="48" t="n">
        <f aca="false">BG97*Input!$H$147</f>
        <v>7.84591583948187</v>
      </c>
      <c r="BH128" s="48" t="n">
        <f aca="false">BH97*Input!$H$147</f>
        <v>8.45117590848516</v>
      </c>
      <c r="BI128" s="48" t="n">
        <f aca="false">BI97*Input!$H$147</f>
        <v>7.84591583948187</v>
      </c>
      <c r="BJ128" s="48" t="n">
        <f aca="false">BJ97*Input!$H$147</f>
        <v>7.84591583948187</v>
      </c>
      <c r="BK128" s="48" t="n">
        <f aca="false">BK97*Input!$H$147</f>
        <v>8.45117590848516</v>
      </c>
      <c r="BL128" s="48" t="n">
        <f aca="false">BL97*Input!$H$147</f>
        <v>7.34459533057635</v>
      </c>
      <c r="BM128" s="48" t="n">
        <f aca="false">BM97*Input!$H$147</f>
        <v>7.84591583948187</v>
      </c>
      <c r="BN128" s="48" t="n">
        <f aca="false">BN97*Input!$H$147</f>
        <v>8.45117590848516</v>
      </c>
      <c r="BO128" s="48" t="n">
        <f aca="false">BO97*Input!$H$147</f>
        <v>7.84591583948187</v>
      </c>
      <c r="BP128" s="48" t="n">
        <f aca="false">BP97*Input!$H$147</f>
        <v>7.84591583948187</v>
      </c>
      <c r="BQ128" s="48" t="n">
        <f aca="false">BQ97*Input!$H$147</f>
        <v>8.45117590848516</v>
      </c>
      <c r="BR128" s="48" t="n">
        <f aca="false">BR97*Input!$H$147</f>
        <v>7.84591583948187</v>
      </c>
      <c r="BS128" s="48" t="n">
        <f aca="false">BS97*Input!$H$147</f>
        <v>7.84591583948187</v>
      </c>
      <c r="BT128" s="48" t="n">
        <f aca="false">BT97*Input!$H$147</f>
        <v>8.45117590848516</v>
      </c>
      <c r="BU128" s="48" t="n">
        <f aca="false">BU97*Input!$H$147</f>
        <v>7.84591583948187</v>
      </c>
      <c r="BV128" s="48" t="n">
        <f aca="false">BV97*Input!$H$147</f>
        <v>7.34459533057635</v>
      </c>
      <c r="BW128" s="48" t="n">
        <f aca="false">BW97*Input!$H$147</f>
        <v>0</v>
      </c>
      <c r="BX128" s="48" t="n">
        <f aca="false">BX97*Input!$H$147</f>
        <v>0</v>
      </c>
    </row>
    <row r="129" customFormat="false" ht="15" hidden="false" customHeight="false" outlineLevel="0" collapsed="false">
      <c r="A129" s="1"/>
      <c r="B129" s="8" t="s">
        <v>385</v>
      </c>
      <c r="C129" s="8" t="s">
        <v>126</v>
      </c>
      <c r="D129" s="44" t="n">
        <f aca="false">SUM(G129:BX129)</f>
        <v>559.224818425619</v>
      </c>
      <c r="E129" s="1"/>
      <c r="F129" s="1"/>
      <c r="G129" s="48" t="n">
        <f aca="false">G97*Input!$H$148</f>
        <v>0</v>
      </c>
      <c r="H129" s="48" t="n">
        <f aca="false">H97*Input!$H$148</f>
        <v>0</v>
      </c>
      <c r="I129" s="48" t="n">
        <f aca="false">I97*Input!$H$148</f>
        <v>0</v>
      </c>
      <c r="J129" s="48" t="n">
        <f aca="false">J97*Input!$H$148</f>
        <v>0</v>
      </c>
      <c r="K129" s="48" t="n">
        <f aca="false">K97*Input!$H$148</f>
        <v>0</v>
      </c>
      <c r="L129" s="48" t="n">
        <f aca="false">L97*Input!$H$148</f>
        <v>0</v>
      </c>
      <c r="M129" s="48" t="n">
        <f aca="false">M97*Input!$H$148</f>
        <v>0</v>
      </c>
      <c r="N129" s="48" t="n">
        <f aca="false">N97*Input!$H$148</f>
        <v>0</v>
      </c>
      <c r="O129" s="48" t="n">
        <f aca="false">O97*Input!$H$148</f>
        <v>0</v>
      </c>
      <c r="P129" s="48" t="n">
        <f aca="false">P97*Input!$H$148</f>
        <v>0</v>
      </c>
      <c r="Q129" s="48" t="n">
        <f aca="false">Q97*Input!$H$148</f>
        <v>0</v>
      </c>
      <c r="R129" s="48" t="n">
        <f aca="false">R97*Input!$H$148</f>
        <v>0</v>
      </c>
      <c r="S129" s="48" t="n">
        <f aca="false">S97*Input!$H$148</f>
        <v>0</v>
      </c>
      <c r="T129" s="48" t="n">
        <f aca="false">T97*Input!$H$148</f>
        <v>0</v>
      </c>
      <c r="U129" s="48" t="n">
        <f aca="false">U97*Input!$H$148</f>
        <v>0</v>
      </c>
      <c r="V129" s="48" t="n">
        <f aca="false">V97*Input!$H$148</f>
        <v>2.42168153667538</v>
      </c>
      <c r="W129" s="48" t="n">
        <f aca="false">W97*Input!$H$148</f>
        <v>2.95612368688278</v>
      </c>
      <c r="X129" s="48" t="n">
        <f aca="false">X97*Input!$H$148</f>
        <v>2.67771648829076</v>
      </c>
      <c r="Y129" s="48" t="n">
        <f aca="false">Y97*Input!$H$148</f>
        <v>4.02500609180014</v>
      </c>
      <c r="Z129" s="48" t="n">
        <f aca="false">Z97*Input!$H$148</f>
        <v>5.796170142845</v>
      </c>
      <c r="AA129" s="48" t="n">
        <f aca="false">AA97*Input!$H$148</f>
        <v>8.88525724485681</v>
      </c>
      <c r="AB129" s="48" t="n">
        <f aca="false">AB97*Input!$H$148</f>
        <v>8.05002004819708</v>
      </c>
      <c r="AC129" s="48" t="n">
        <f aca="false">AC97*Input!$H$148</f>
        <v>11.2566572791689</v>
      </c>
      <c r="AD129" s="48" t="n">
        <f aca="false">AD97*Input!$H$148</f>
        <v>13.374554484626</v>
      </c>
      <c r="AE129" s="48" t="n">
        <f aca="false">AE97*Input!$H$148</f>
        <v>12.53953634153</v>
      </c>
      <c r="AF129" s="48" t="n">
        <f aca="false">AF97*Input!$H$148</f>
        <v>12.5397560911632</v>
      </c>
      <c r="AG129" s="48" t="n">
        <f aca="false">AG97*Input!$H$148</f>
        <v>13.3752091580191</v>
      </c>
      <c r="AH129" s="48" t="n">
        <f aca="false">AH97*Input!$H$148</f>
        <v>11.7049668731383</v>
      </c>
      <c r="AI129" s="48" t="n">
        <f aca="false">AI97*Input!$H$148</f>
        <v>12.540423322131</v>
      </c>
      <c r="AJ129" s="48" t="n">
        <f aca="false">AJ97*Input!$H$148</f>
        <v>13.3758777385955</v>
      </c>
      <c r="AK129" s="48" t="n">
        <f aca="false">AK97*Input!$H$148</f>
        <v>13.6631901895202</v>
      </c>
      <c r="AL129" s="48" t="n">
        <f aca="false">AL97*Input!$H$148</f>
        <v>13.9840785660476</v>
      </c>
      <c r="AM129" s="48" t="n">
        <f aca="false">AM97*Input!$H$148</f>
        <v>14.8195395023347</v>
      </c>
      <c r="AN129" s="48" t="n">
        <f aca="false">AN97*Input!$H$148</f>
        <v>13.9845359028613</v>
      </c>
      <c r="AO129" s="48" t="n">
        <f aca="false">AO97*Input!$H$148</f>
        <v>13.9847645712681</v>
      </c>
      <c r="AP129" s="48" t="n">
        <f aca="false">AP97*Input!$H$148</f>
        <v>14.8199968391484</v>
      </c>
      <c r="AQ129" s="48" t="n">
        <f aca="false">AQ97*Input!$H$148</f>
        <v>13.9847645712681</v>
      </c>
      <c r="AR129" s="48" t="n">
        <f aca="false">AR97*Input!$H$148</f>
        <v>13.1495323033878</v>
      </c>
      <c r="AS129" s="48" t="n">
        <f aca="false">AS97*Input!$H$148</f>
        <v>14.8199968391484</v>
      </c>
      <c r="AT129" s="48" t="n">
        <f aca="false">AT97*Input!$H$148</f>
        <v>13.9847645712681</v>
      </c>
      <c r="AU129" s="48" t="n">
        <f aca="false">AU97*Input!$H$148</f>
        <v>13.9847645712681</v>
      </c>
      <c r="AV129" s="48" t="n">
        <f aca="false">AV97*Input!$H$148</f>
        <v>14.8199968391484</v>
      </c>
      <c r="AW129" s="48" t="n">
        <f aca="false">AW97*Input!$H$148</f>
        <v>13.9847645712681</v>
      </c>
      <c r="AX129" s="48" t="n">
        <f aca="false">AX97*Input!$H$148</f>
        <v>13.9847645712681</v>
      </c>
      <c r="AY129" s="48" t="n">
        <f aca="false">AY97*Input!$H$148</f>
        <v>14.8199968391484</v>
      </c>
      <c r="AZ129" s="48" t="n">
        <f aca="false">AZ97*Input!$H$148</f>
        <v>13.9847645712681</v>
      </c>
      <c r="BA129" s="48" t="n">
        <f aca="false">BA97*Input!$H$148</f>
        <v>13.9847645712681</v>
      </c>
      <c r="BB129" s="48" t="n">
        <f aca="false">BB97*Input!$H$148</f>
        <v>13.4279430593479</v>
      </c>
      <c r="BC129" s="48" t="n">
        <f aca="false">BC97*Input!$H$148</f>
        <v>8.33628557944948</v>
      </c>
      <c r="BD129" s="48" t="n">
        <f aca="false">BD97*Input!$H$148</f>
        <v>8.33628557944948</v>
      </c>
      <c r="BE129" s="48" t="n">
        <f aca="false">BE97*Input!$H$148</f>
        <v>8.97937440276548</v>
      </c>
      <c r="BF129" s="48" t="n">
        <f aca="false">BF97*Input!$H$148</f>
        <v>8.33628557944948</v>
      </c>
      <c r="BG129" s="48" t="n">
        <f aca="false">BG97*Input!$H$148</f>
        <v>8.33628557944948</v>
      </c>
      <c r="BH129" s="48" t="n">
        <f aca="false">BH97*Input!$H$148</f>
        <v>8.97937440276548</v>
      </c>
      <c r="BI129" s="48" t="n">
        <f aca="false">BI97*Input!$H$148</f>
        <v>8.33628557944948</v>
      </c>
      <c r="BJ129" s="48" t="n">
        <f aca="false">BJ97*Input!$H$148</f>
        <v>8.33628557944948</v>
      </c>
      <c r="BK129" s="48" t="n">
        <f aca="false">BK97*Input!$H$148</f>
        <v>8.97937440276548</v>
      </c>
      <c r="BL129" s="48" t="n">
        <f aca="false">BL97*Input!$H$148</f>
        <v>7.80363253873737</v>
      </c>
      <c r="BM129" s="48" t="n">
        <f aca="false">BM97*Input!$H$148</f>
        <v>8.33628557944948</v>
      </c>
      <c r="BN129" s="48" t="n">
        <f aca="false">BN97*Input!$H$148</f>
        <v>8.97937440276548</v>
      </c>
      <c r="BO129" s="48" t="n">
        <f aca="false">BO97*Input!$H$148</f>
        <v>8.33628557944948</v>
      </c>
      <c r="BP129" s="48" t="n">
        <f aca="false">BP97*Input!$H$148</f>
        <v>8.33628557944948</v>
      </c>
      <c r="BQ129" s="48" t="n">
        <f aca="false">BQ97*Input!$H$148</f>
        <v>8.97937440276548</v>
      </c>
      <c r="BR129" s="48" t="n">
        <f aca="false">BR97*Input!$H$148</f>
        <v>8.33628557944948</v>
      </c>
      <c r="BS129" s="48" t="n">
        <f aca="false">BS97*Input!$H$148</f>
        <v>8.33628557944948</v>
      </c>
      <c r="BT129" s="48" t="n">
        <f aca="false">BT97*Input!$H$148</f>
        <v>8.97937440276548</v>
      </c>
      <c r="BU129" s="48" t="n">
        <f aca="false">BU97*Input!$H$148</f>
        <v>8.33628557944948</v>
      </c>
      <c r="BV129" s="48" t="n">
        <f aca="false">BV97*Input!$H$148</f>
        <v>7.80363253873737</v>
      </c>
      <c r="BW129" s="48" t="n">
        <f aca="false">BW97*Input!$H$148</f>
        <v>0</v>
      </c>
      <c r="BX129" s="48" t="n">
        <f aca="false">BX97*Input!$H$148</f>
        <v>0</v>
      </c>
    </row>
    <row r="130" customFormat="false" ht="15" hidden="false" customHeight="false" outlineLevel="0" collapsed="false">
      <c r="A130" s="1"/>
      <c r="B130" s="8" t="s">
        <v>386</v>
      </c>
      <c r="C130" s="8" t="s">
        <v>126</v>
      </c>
      <c r="D130" s="44" t="n">
        <f aca="false">SUM(G130:BX130)</f>
        <v>756.598283752308</v>
      </c>
      <c r="E130" s="1"/>
      <c r="F130" s="1"/>
      <c r="G130" s="48" t="n">
        <f aca="false">G97*Input!$H$149</f>
        <v>0</v>
      </c>
      <c r="H130" s="48" t="n">
        <f aca="false">H97*Input!$H$149</f>
        <v>0</v>
      </c>
      <c r="I130" s="48" t="n">
        <f aca="false">I97*Input!$H$149</f>
        <v>0</v>
      </c>
      <c r="J130" s="48" t="n">
        <f aca="false">J97*Input!$H$149</f>
        <v>0</v>
      </c>
      <c r="K130" s="48" t="n">
        <f aca="false">K97*Input!$H$149</f>
        <v>0</v>
      </c>
      <c r="L130" s="48" t="n">
        <f aca="false">L97*Input!$H$149</f>
        <v>0</v>
      </c>
      <c r="M130" s="48" t="n">
        <f aca="false">M97*Input!$H$149</f>
        <v>0</v>
      </c>
      <c r="N130" s="48" t="n">
        <f aca="false">N97*Input!$H$149</f>
        <v>0</v>
      </c>
      <c r="O130" s="48" t="n">
        <f aca="false">O97*Input!$H$149</f>
        <v>0</v>
      </c>
      <c r="P130" s="48" t="n">
        <f aca="false">P97*Input!$H$149</f>
        <v>0</v>
      </c>
      <c r="Q130" s="48" t="n">
        <f aca="false">Q97*Input!$H$149</f>
        <v>0</v>
      </c>
      <c r="R130" s="48" t="n">
        <f aca="false">R97*Input!$H$149</f>
        <v>0</v>
      </c>
      <c r="S130" s="48" t="n">
        <f aca="false">S97*Input!$H$149</f>
        <v>0</v>
      </c>
      <c r="T130" s="48" t="n">
        <f aca="false">T97*Input!$H$149</f>
        <v>0</v>
      </c>
      <c r="U130" s="48" t="n">
        <f aca="false">U97*Input!$H$149</f>
        <v>0</v>
      </c>
      <c r="V130" s="48" t="n">
        <f aca="false">V97*Input!$H$149</f>
        <v>3.27639266726669</v>
      </c>
      <c r="W130" s="48" t="n">
        <f aca="false">W97*Input!$H$149</f>
        <v>3.99946145872376</v>
      </c>
      <c r="X130" s="48" t="n">
        <f aca="false">X97*Input!$H$149</f>
        <v>3.6227928959228</v>
      </c>
      <c r="Y130" s="48" t="n">
        <f aca="false">Y97*Input!$H$149</f>
        <v>5.44559647714137</v>
      </c>
      <c r="Z130" s="48" t="n">
        <f aca="false">Z97*Input!$H$149</f>
        <v>7.84187725208441</v>
      </c>
      <c r="AA130" s="48" t="n">
        <f aca="false">AA97*Input!$H$149</f>
        <v>12.0212303901004</v>
      </c>
      <c r="AB130" s="48" t="n">
        <f aca="false">AB97*Input!$H$149</f>
        <v>10.8912035946196</v>
      </c>
      <c r="AC130" s="48" t="n">
        <f aca="false">AC97*Input!$H$149</f>
        <v>15.229595142405</v>
      </c>
      <c r="AD130" s="48" t="n">
        <f aca="false">AD97*Input!$H$149</f>
        <v>18.0949854791999</v>
      </c>
      <c r="AE130" s="48" t="n">
        <f aca="false">AE97*Input!$H$149</f>
        <v>16.9652550503052</v>
      </c>
      <c r="AF130" s="48" t="n">
        <f aca="false">AF97*Input!$H$149</f>
        <v>16.9655523586325</v>
      </c>
      <c r="AG130" s="48" t="n">
        <f aca="false">AG97*Input!$H$149</f>
        <v>18.0958712137905</v>
      </c>
      <c r="AH130" s="48" t="n">
        <f aca="false">AH97*Input!$H$149</f>
        <v>15.8361316518929</v>
      </c>
      <c r="AI130" s="48" t="n">
        <f aca="false">AI97*Input!$H$149</f>
        <v>16.9664550828832</v>
      </c>
      <c r="AJ130" s="48" t="n">
        <f aca="false">AJ97*Input!$H$149</f>
        <v>18.0967757639822</v>
      </c>
      <c r="AK130" s="48" t="n">
        <f aca="false">AK97*Input!$H$149</f>
        <v>18.4854926093508</v>
      </c>
      <c r="AL130" s="48" t="n">
        <f aca="false">AL97*Input!$H$149</f>
        <v>18.9196357070056</v>
      </c>
      <c r="AM130" s="48" t="n">
        <f aca="false">AM97*Input!$H$149</f>
        <v>20.0499652090411</v>
      </c>
      <c r="AN130" s="48" t="n">
        <f aca="false">AN97*Input!$H$149</f>
        <v>18.9202544568123</v>
      </c>
      <c r="AO130" s="48" t="n">
        <f aca="false">AO97*Input!$H$149</f>
        <v>18.9205638317157</v>
      </c>
      <c r="AP130" s="48" t="n">
        <f aca="false">AP97*Input!$H$149</f>
        <v>20.0505839588478</v>
      </c>
      <c r="AQ130" s="48" t="n">
        <f aca="false">AQ97*Input!$H$149</f>
        <v>18.9205638317157</v>
      </c>
      <c r="AR130" s="48" t="n">
        <f aca="false">AR97*Input!$H$149</f>
        <v>17.7905437045835</v>
      </c>
      <c r="AS130" s="48" t="n">
        <f aca="false">AS97*Input!$H$149</f>
        <v>20.0505839588478</v>
      </c>
      <c r="AT130" s="48" t="n">
        <f aca="false">AT97*Input!$H$149</f>
        <v>18.9205638317157</v>
      </c>
      <c r="AU130" s="48" t="n">
        <f aca="false">AU97*Input!$H$149</f>
        <v>18.9205638317157</v>
      </c>
      <c r="AV130" s="48" t="n">
        <f aca="false">AV97*Input!$H$149</f>
        <v>20.0505839588478</v>
      </c>
      <c r="AW130" s="48" t="n">
        <f aca="false">AW97*Input!$H$149</f>
        <v>18.9205638317157</v>
      </c>
      <c r="AX130" s="48" t="n">
        <f aca="false">AX97*Input!$H$149</f>
        <v>18.9205638317157</v>
      </c>
      <c r="AY130" s="48" t="n">
        <f aca="false">AY97*Input!$H$149</f>
        <v>20.0505839588478</v>
      </c>
      <c r="AZ130" s="48" t="n">
        <f aca="false">AZ97*Input!$H$149</f>
        <v>18.9205638317157</v>
      </c>
      <c r="BA130" s="48" t="n">
        <f aca="false">BA97*Input!$H$149</f>
        <v>18.9205638317157</v>
      </c>
      <c r="BB130" s="48" t="n">
        <f aca="false">BB97*Input!$H$149</f>
        <v>18.1672170802942</v>
      </c>
      <c r="BC130" s="48" t="n">
        <f aca="false">BC97*Input!$H$149</f>
        <v>11.2785040192552</v>
      </c>
      <c r="BD130" s="48" t="n">
        <f aca="false">BD97*Input!$H$149</f>
        <v>11.2785040192552</v>
      </c>
      <c r="BE130" s="48" t="n">
        <f aca="false">BE97*Input!$H$149</f>
        <v>12.1485653684474</v>
      </c>
      <c r="BF130" s="48" t="n">
        <f aca="false">BF97*Input!$H$149</f>
        <v>11.2785040192552</v>
      </c>
      <c r="BG130" s="48" t="n">
        <f aca="false">BG97*Input!$H$149</f>
        <v>11.2785040192552</v>
      </c>
      <c r="BH130" s="48" t="n">
        <f aca="false">BH97*Input!$H$149</f>
        <v>12.1485653684474</v>
      </c>
      <c r="BI130" s="48" t="n">
        <f aca="false">BI97*Input!$H$149</f>
        <v>11.2785040192552</v>
      </c>
      <c r="BJ130" s="48" t="n">
        <f aca="false">BJ97*Input!$H$149</f>
        <v>11.2785040192552</v>
      </c>
      <c r="BK130" s="48" t="n">
        <f aca="false">BK97*Input!$H$149</f>
        <v>12.1485653684474</v>
      </c>
      <c r="BL130" s="48" t="n">
        <f aca="false">BL97*Input!$H$149</f>
        <v>10.5578557877035</v>
      </c>
      <c r="BM130" s="48" t="n">
        <f aca="false">BM97*Input!$H$149</f>
        <v>11.2785040192552</v>
      </c>
      <c r="BN130" s="48" t="n">
        <f aca="false">BN97*Input!$H$149</f>
        <v>12.1485653684474</v>
      </c>
      <c r="BO130" s="48" t="n">
        <f aca="false">BO97*Input!$H$149</f>
        <v>11.2785040192552</v>
      </c>
      <c r="BP130" s="48" t="n">
        <f aca="false">BP97*Input!$H$149</f>
        <v>11.2785040192552</v>
      </c>
      <c r="BQ130" s="48" t="n">
        <f aca="false">BQ97*Input!$H$149</f>
        <v>12.1485653684474</v>
      </c>
      <c r="BR130" s="48" t="n">
        <f aca="false">BR97*Input!$H$149</f>
        <v>11.2785040192552</v>
      </c>
      <c r="BS130" s="48" t="n">
        <f aca="false">BS97*Input!$H$149</f>
        <v>11.2785040192552</v>
      </c>
      <c r="BT130" s="48" t="n">
        <f aca="false">BT97*Input!$H$149</f>
        <v>12.1485653684474</v>
      </c>
      <c r="BU130" s="48" t="n">
        <f aca="false">BU97*Input!$H$149</f>
        <v>11.2785040192552</v>
      </c>
      <c r="BV130" s="48" t="n">
        <f aca="false">BV97*Input!$H$149</f>
        <v>10.5578557877035</v>
      </c>
      <c r="BW130" s="48" t="n">
        <f aca="false">BW97*Input!$H$149</f>
        <v>0</v>
      </c>
      <c r="BX130" s="48" t="n">
        <f aca="false">BX97*Input!$H$149</f>
        <v>0</v>
      </c>
    </row>
    <row r="131" customFormat="false" ht="15" hidden="false" customHeight="false" outlineLevel="0" collapsed="false">
      <c r="A131" s="1"/>
      <c r="B131" s="8" t="s">
        <v>387</v>
      </c>
      <c r="C131" s="1"/>
      <c r="D131" s="48" t="n">
        <f aca="false">$D$20*1000/(1+Input!$H$154)</f>
        <v>240703.85126162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</row>
    <row r="132" customFormat="false" ht="15" hidden="false" customHeight="false" outlineLevel="0" collapsed="false">
      <c r="A132" s="1"/>
      <c r="B132" s="8" t="s">
        <v>388</v>
      </c>
      <c r="C132" s="1"/>
      <c r="D132" s="48" t="n">
        <f aca="false">$D$131*(1-Input!$H$153)</f>
        <v>207703.353253652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</row>
    <row r="133" customFormat="false" ht="15" hidden="false" customHeight="false" outlineLevel="0" collapsed="false">
      <c r="A133" s="1"/>
      <c r="B133" s="8" t="s">
        <v>389</v>
      </c>
      <c r="C133" s="1"/>
      <c r="D133" s="48" t="n">
        <f aca="false">MAX(Input!$H$156*MIN($D$132,Input!$H$155)+Input!$H$157*MAX($D$132-Input!$H$155,0)-Input!$H$158,0)</f>
        <v>38865.0730411687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</row>
    <row r="134" customFormat="false" ht="15" hidden="false" customHeight="false" outlineLevel="0" collapsed="false">
      <c r="A134" s="1"/>
      <c r="B134" s="8" t="s">
        <v>390</v>
      </c>
      <c r="C134" s="1"/>
      <c r="D134" s="48" t="n">
        <f aca="false">Input!$H$160*12*(1-Input!$H$153)</f>
        <v>93193.2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</row>
    <row r="135" customFormat="false" ht="15" hidden="false" customHeight="false" outlineLevel="0" collapsed="false">
      <c r="A135" s="1"/>
      <c r="B135" s="8" t="s">
        <v>391</v>
      </c>
      <c r="C135" s="8" t="s">
        <v>126</v>
      </c>
      <c r="D135" s="44" t="n">
        <f aca="false">SUM(G135:BX135)</f>
        <v>102.595157285857</v>
      </c>
      <c r="E135" s="1"/>
      <c r="F135" s="1"/>
      <c r="G135" s="48" t="n">
        <f aca="false">(G45*$D$19*$D$132*Input!$H$159+G44*$D$36*G50/MAX($G$50:$BX$50)*$D$134*Input!$H$161)*Input!$H$150/1000000</f>
        <v>0</v>
      </c>
      <c r="H135" s="48" t="n">
        <f aca="false">(H45*$D$19*$D$132*Input!$H$159+H44*$D$36*H50/MAX($G$50:$BX$50)*$D$134*Input!$H$161)*Input!$H$150/1000000</f>
        <v>0</v>
      </c>
      <c r="I135" s="48" t="n">
        <f aca="false">(I45*$D$19*$D$132*Input!$H$159+I44*$D$36*I50/MAX($G$50:$BX$50)*$D$134*Input!$H$161)*Input!$H$150/1000000</f>
        <v>0</v>
      </c>
      <c r="J135" s="48" t="n">
        <f aca="false">(J45*$D$19*$D$132*Input!$H$159+J44*$D$36*J50/MAX($G$50:$BX$50)*$D$134*Input!$H$161)*Input!$H$150/1000000</f>
        <v>1.05312831773182</v>
      </c>
      <c r="K135" s="48" t="n">
        <f aca="false">(K45*$D$19*$D$132*Input!$H$159+K44*$D$36*K50/MAX($G$50:$BX$50)*$D$134*Input!$H$161)*Input!$H$150/1000000</f>
        <v>1.91416905726818</v>
      </c>
      <c r="L135" s="48" t="n">
        <f aca="false">(L45*$D$19*$D$132*Input!$H$159+L44*$D$36*L50/MAX($G$50:$BX$50)*$D$134*Input!$H$161)*Input!$H$150/1000000</f>
        <v>2.4463215</v>
      </c>
      <c r="M135" s="48" t="n">
        <f aca="false">(M45*$D$19*$D$132*Input!$H$159+M44*$D$36*M50/MAX($G$50:$BX$50)*$D$134*Input!$H$161)*Input!$H$150/1000000</f>
        <v>1.91416905726818</v>
      </c>
      <c r="N135" s="48" t="n">
        <f aca="false">(N45*$D$19*$D$132*Input!$H$159+N44*$D$36*N50/MAX($G$50:$BX$50)*$D$134*Input!$H$161)*Input!$H$150/1000000</f>
        <v>1.05312831773182</v>
      </c>
      <c r="O135" s="48" t="n">
        <f aca="false">(O45*$D$19*$D$132*Input!$H$159+O44*$D$36*O50/MAX($G$50:$BX$50)*$D$134*Input!$H$161)*Input!$H$150/1000000</f>
        <v>1.57023735059761</v>
      </c>
      <c r="P135" s="48" t="n">
        <f aca="false">(P45*$D$19*$D$132*Input!$H$159+P44*$D$36*P50/MAX($G$50:$BX$50)*$D$134*Input!$H$161)*Input!$H$150/1000000</f>
        <v>1.57023735059761</v>
      </c>
      <c r="Q135" s="48" t="n">
        <f aca="false">(Q45*$D$19*$D$132*Input!$H$159+Q44*$D$36*Q50/MAX($G$50:$BX$50)*$D$134*Input!$H$161)*Input!$H$150/1000000</f>
        <v>1.57023735059761</v>
      </c>
      <c r="R135" s="48" t="n">
        <f aca="false">(R45*$D$19*$D$132*Input!$H$159+R44*$D$36*R50/MAX($G$50:$BX$50)*$D$134*Input!$H$161)*Input!$H$150/1000000</f>
        <v>1.57023735059761</v>
      </c>
      <c r="S135" s="48" t="n">
        <f aca="false">(S45*$D$19*$D$132*Input!$H$159+S44*$D$36*S50/MAX($G$50:$BX$50)*$D$134*Input!$H$161)*Input!$H$150/1000000</f>
        <v>1.57023735059761</v>
      </c>
      <c r="T135" s="48" t="n">
        <f aca="false">(T45*$D$19*$D$132*Input!$H$159+T44*$D$36*T50/MAX($G$50:$BX$50)*$D$134*Input!$H$161)*Input!$H$150/1000000</f>
        <v>1.57023735059761</v>
      </c>
      <c r="U135" s="48" t="n">
        <f aca="false">(U45*$D$19*$D$132*Input!$H$159+U44*$D$36*U50/MAX($G$50:$BX$50)*$D$134*Input!$H$161)*Input!$H$150/1000000</f>
        <v>1.57023735059761</v>
      </c>
      <c r="V135" s="48" t="n">
        <f aca="false">(V45*$D$19*$D$132*Input!$H$159+V44*$D$36*V50/MAX($G$50:$BX$50)*$D$134*Input!$H$161)*Input!$H$150/1000000</f>
        <v>1.57023735059761</v>
      </c>
      <c r="W135" s="48" t="n">
        <f aca="false">(W45*$D$19*$D$132*Input!$H$159+W44*$D$36*W50/MAX($G$50:$BX$50)*$D$134*Input!$H$161)*Input!$H$150/1000000</f>
        <v>1.57023735059761</v>
      </c>
      <c r="X135" s="48" t="n">
        <f aca="false">(X45*$D$19*$D$132*Input!$H$159+X44*$D$36*X50/MAX($G$50:$BX$50)*$D$134*Input!$H$161)*Input!$H$150/1000000</f>
        <v>1.57023735059761</v>
      </c>
      <c r="Y135" s="48" t="n">
        <f aca="false">(Y45*$D$19*$D$132*Input!$H$159+Y44*$D$36*Y50/MAX($G$50:$BX$50)*$D$134*Input!$H$161)*Input!$H$150/1000000</f>
        <v>1.57023735059761</v>
      </c>
      <c r="Z135" s="48" t="n">
        <f aca="false">(Z45*$D$19*$D$132*Input!$H$159+Z44*$D$36*Z50/MAX($G$50:$BX$50)*$D$134*Input!$H$161)*Input!$H$150/1000000</f>
        <v>1.57023735059761</v>
      </c>
      <c r="AA135" s="48" t="n">
        <f aca="false">(AA45*$D$19*$D$132*Input!$H$159+AA44*$D$36*AA50/MAX($G$50:$BX$50)*$D$134*Input!$H$161)*Input!$H$150/1000000</f>
        <v>1.57023735059761</v>
      </c>
      <c r="AB135" s="48" t="n">
        <f aca="false">(AB45*$D$19*$D$132*Input!$H$159+AB44*$D$36*AB50/MAX($G$50:$BX$50)*$D$134*Input!$H$161)*Input!$H$150/1000000</f>
        <v>1.57023735059761</v>
      </c>
      <c r="AC135" s="48" t="n">
        <f aca="false">(AC45*$D$19*$D$132*Input!$H$159+AC44*$D$36*AC50/MAX($G$50:$BX$50)*$D$134*Input!$H$161)*Input!$H$150/1000000</f>
        <v>1.57023735059761</v>
      </c>
      <c r="AD135" s="48" t="n">
        <f aca="false">(AD45*$D$19*$D$132*Input!$H$159+AD44*$D$36*AD50/MAX($G$50:$BX$50)*$D$134*Input!$H$161)*Input!$H$150/1000000</f>
        <v>1.57023735059761</v>
      </c>
      <c r="AE135" s="48" t="n">
        <f aca="false">(AE45*$D$19*$D$132*Input!$H$159+AE44*$D$36*AE50/MAX($G$50:$BX$50)*$D$134*Input!$H$161)*Input!$H$150/1000000</f>
        <v>1.57023735059761</v>
      </c>
      <c r="AF135" s="48" t="n">
        <f aca="false">(AF45*$D$19*$D$132*Input!$H$159+AF44*$D$36*AF50/MAX($G$50:$BX$50)*$D$134*Input!$H$161)*Input!$H$150/1000000</f>
        <v>1.57023735059761</v>
      </c>
      <c r="AG135" s="48" t="n">
        <f aca="false">(AG45*$D$19*$D$132*Input!$H$159+AG44*$D$36*AG50/MAX($G$50:$BX$50)*$D$134*Input!$H$161)*Input!$H$150/1000000</f>
        <v>1.57023735059761</v>
      </c>
      <c r="AH135" s="48" t="n">
        <f aca="false">(AH45*$D$19*$D$132*Input!$H$159+AH44*$D$36*AH50/MAX($G$50:$BX$50)*$D$134*Input!$H$161)*Input!$H$150/1000000</f>
        <v>1.57023735059761</v>
      </c>
      <c r="AI135" s="48" t="n">
        <f aca="false">(AI45*$D$19*$D$132*Input!$H$159+AI44*$D$36*AI50/MAX($G$50:$BX$50)*$D$134*Input!$H$161)*Input!$H$150/1000000</f>
        <v>1.57023735059761</v>
      </c>
      <c r="AJ135" s="48" t="n">
        <f aca="false">(AJ45*$D$19*$D$132*Input!$H$159+AJ44*$D$36*AJ50/MAX($G$50:$BX$50)*$D$134*Input!$H$161)*Input!$H$150/1000000</f>
        <v>1.57023735059761</v>
      </c>
      <c r="AK135" s="48" t="n">
        <f aca="false">(AK45*$D$19*$D$132*Input!$H$159+AK44*$D$36*AK50/MAX($G$50:$BX$50)*$D$134*Input!$H$161)*Input!$H$150/1000000</f>
        <v>1.57023735059761</v>
      </c>
      <c r="AL135" s="48" t="n">
        <f aca="false">(AL45*$D$19*$D$132*Input!$H$159+AL44*$D$36*AL50/MAX($G$50:$BX$50)*$D$134*Input!$H$161)*Input!$H$150/1000000</f>
        <v>1.57023735059761</v>
      </c>
      <c r="AM135" s="48" t="n">
        <f aca="false">(AM45*$D$19*$D$132*Input!$H$159+AM44*$D$36*AM50/MAX($G$50:$BX$50)*$D$134*Input!$H$161)*Input!$H$150/1000000</f>
        <v>1.57023735059761</v>
      </c>
      <c r="AN135" s="48" t="n">
        <f aca="false">(AN45*$D$19*$D$132*Input!$H$159+AN44*$D$36*AN50/MAX($G$50:$BX$50)*$D$134*Input!$H$161)*Input!$H$150/1000000</f>
        <v>1.57023735059761</v>
      </c>
      <c r="AO135" s="48" t="n">
        <f aca="false">(AO45*$D$19*$D$132*Input!$H$159+AO44*$D$36*AO50/MAX($G$50:$BX$50)*$D$134*Input!$H$161)*Input!$H$150/1000000</f>
        <v>1.57023735059761</v>
      </c>
      <c r="AP135" s="48" t="n">
        <f aca="false">(AP45*$D$19*$D$132*Input!$H$159+AP44*$D$36*AP50/MAX($G$50:$BX$50)*$D$134*Input!$H$161)*Input!$H$150/1000000</f>
        <v>1.57023735059761</v>
      </c>
      <c r="AQ135" s="48" t="n">
        <f aca="false">(AQ45*$D$19*$D$132*Input!$H$159+AQ44*$D$36*AQ50/MAX($G$50:$BX$50)*$D$134*Input!$H$161)*Input!$H$150/1000000</f>
        <v>1.57023735059761</v>
      </c>
      <c r="AR135" s="48" t="n">
        <f aca="false">(AR45*$D$19*$D$132*Input!$H$159+AR44*$D$36*AR50/MAX($G$50:$BX$50)*$D$134*Input!$H$161)*Input!$H$150/1000000</f>
        <v>1.57023735059761</v>
      </c>
      <c r="AS135" s="48" t="n">
        <f aca="false">(AS45*$D$19*$D$132*Input!$H$159+AS44*$D$36*AS50/MAX($G$50:$BX$50)*$D$134*Input!$H$161)*Input!$H$150/1000000</f>
        <v>1.57023735059761</v>
      </c>
      <c r="AT135" s="48" t="n">
        <f aca="false">(AT45*$D$19*$D$132*Input!$H$159+AT44*$D$36*AT50/MAX($G$50:$BX$50)*$D$134*Input!$H$161)*Input!$H$150/1000000</f>
        <v>1.57023735059761</v>
      </c>
      <c r="AU135" s="48" t="n">
        <f aca="false">(AU45*$D$19*$D$132*Input!$H$159+AU44*$D$36*AU50/MAX($G$50:$BX$50)*$D$134*Input!$H$161)*Input!$H$150/1000000</f>
        <v>1.57023735059761</v>
      </c>
      <c r="AV135" s="48" t="n">
        <f aca="false">(AV45*$D$19*$D$132*Input!$H$159+AV44*$D$36*AV50/MAX($G$50:$BX$50)*$D$134*Input!$H$161)*Input!$H$150/1000000</f>
        <v>1.57023735059761</v>
      </c>
      <c r="AW135" s="48" t="n">
        <f aca="false">(AW45*$D$19*$D$132*Input!$H$159+AW44*$D$36*AW50/MAX($G$50:$BX$50)*$D$134*Input!$H$161)*Input!$H$150/1000000</f>
        <v>1.57023735059761</v>
      </c>
      <c r="AX135" s="48" t="n">
        <f aca="false">(AX45*$D$19*$D$132*Input!$H$159+AX44*$D$36*AX50/MAX($G$50:$BX$50)*$D$134*Input!$H$161)*Input!$H$150/1000000</f>
        <v>1.57023735059761</v>
      </c>
      <c r="AY135" s="48" t="n">
        <f aca="false">(AY45*$D$19*$D$132*Input!$H$159+AY44*$D$36*AY50/MAX($G$50:$BX$50)*$D$134*Input!$H$161)*Input!$H$150/1000000</f>
        <v>1.57023735059761</v>
      </c>
      <c r="AZ135" s="48" t="n">
        <f aca="false">(AZ45*$D$19*$D$132*Input!$H$159+AZ44*$D$36*AZ50/MAX($G$50:$BX$50)*$D$134*Input!$H$161)*Input!$H$150/1000000</f>
        <v>1.57023735059761</v>
      </c>
      <c r="BA135" s="48" t="n">
        <f aca="false">(BA45*$D$19*$D$132*Input!$H$159+BA44*$D$36*BA50/MAX($G$50:$BX$50)*$D$134*Input!$H$161)*Input!$H$150/1000000</f>
        <v>1.57023735059761</v>
      </c>
      <c r="BB135" s="48" t="n">
        <f aca="false">(BB45*$D$19*$D$132*Input!$H$159+BB44*$D$36*BB50/MAX($G$50:$BX$50)*$D$134*Input!$H$161)*Input!$H$150/1000000</f>
        <v>1.57023735059761</v>
      </c>
      <c r="BC135" s="48" t="n">
        <f aca="false">(BC45*$D$19*$D$132*Input!$H$159+BC44*$D$36*BC50/MAX($G$50:$BX$50)*$D$134*Input!$H$161)*Input!$H$150/1000000</f>
        <v>1.57023735059761</v>
      </c>
      <c r="BD135" s="48" t="n">
        <f aca="false">(BD45*$D$19*$D$132*Input!$H$159+BD44*$D$36*BD50/MAX($G$50:$BX$50)*$D$134*Input!$H$161)*Input!$H$150/1000000</f>
        <v>1.57023735059761</v>
      </c>
      <c r="BE135" s="48" t="n">
        <f aca="false">(BE45*$D$19*$D$132*Input!$H$159+BE44*$D$36*BE50/MAX($G$50:$BX$50)*$D$134*Input!$H$161)*Input!$H$150/1000000</f>
        <v>1.57023735059761</v>
      </c>
      <c r="BF135" s="48" t="n">
        <f aca="false">(BF45*$D$19*$D$132*Input!$H$159+BF44*$D$36*BF50/MAX($G$50:$BX$50)*$D$134*Input!$H$161)*Input!$H$150/1000000</f>
        <v>1.57023735059761</v>
      </c>
      <c r="BG135" s="48" t="n">
        <f aca="false">(BG45*$D$19*$D$132*Input!$H$159+BG44*$D$36*BG50/MAX($G$50:$BX$50)*$D$134*Input!$H$161)*Input!$H$150/1000000</f>
        <v>1.57023735059761</v>
      </c>
      <c r="BH135" s="48" t="n">
        <f aca="false">(BH45*$D$19*$D$132*Input!$H$159+BH44*$D$36*BH50/MAX($G$50:$BX$50)*$D$134*Input!$H$161)*Input!$H$150/1000000</f>
        <v>1.57023735059761</v>
      </c>
      <c r="BI135" s="48" t="n">
        <f aca="false">(BI45*$D$19*$D$132*Input!$H$159+BI44*$D$36*BI50/MAX($G$50:$BX$50)*$D$134*Input!$H$161)*Input!$H$150/1000000</f>
        <v>1.57023735059761</v>
      </c>
      <c r="BJ135" s="48" t="n">
        <f aca="false">(BJ45*$D$19*$D$132*Input!$H$159+BJ44*$D$36*BJ50/MAX($G$50:$BX$50)*$D$134*Input!$H$161)*Input!$H$150/1000000</f>
        <v>1.57023735059761</v>
      </c>
      <c r="BK135" s="48" t="n">
        <f aca="false">(BK45*$D$19*$D$132*Input!$H$159+BK44*$D$36*BK50/MAX($G$50:$BX$50)*$D$134*Input!$H$161)*Input!$H$150/1000000</f>
        <v>1.57023735059761</v>
      </c>
      <c r="BL135" s="48" t="n">
        <f aca="false">(BL45*$D$19*$D$132*Input!$H$159+BL44*$D$36*BL50/MAX($G$50:$BX$50)*$D$134*Input!$H$161)*Input!$H$150/1000000</f>
        <v>1.57023735059761</v>
      </c>
      <c r="BM135" s="48" t="n">
        <f aca="false">(BM45*$D$19*$D$132*Input!$H$159+BM44*$D$36*BM50/MAX($G$50:$BX$50)*$D$134*Input!$H$161)*Input!$H$150/1000000</f>
        <v>1.57023735059761</v>
      </c>
      <c r="BN135" s="48" t="n">
        <f aca="false">(BN45*$D$19*$D$132*Input!$H$159+BN44*$D$36*BN50/MAX($G$50:$BX$50)*$D$134*Input!$H$161)*Input!$H$150/1000000</f>
        <v>1.57023735059761</v>
      </c>
      <c r="BO135" s="48" t="n">
        <f aca="false">(BO45*$D$19*$D$132*Input!$H$159+BO44*$D$36*BO50/MAX($G$50:$BX$50)*$D$134*Input!$H$161)*Input!$H$150/1000000</f>
        <v>1.57023735059761</v>
      </c>
      <c r="BP135" s="48" t="n">
        <f aca="false">(BP45*$D$19*$D$132*Input!$H$159+BP44*$D$36*BP50/MAX($G$50:$BX$50)*$D$134*Input!$H$161)*Input!$H$150/1000000</f>
        <v>1.57023735059761</v>
      </c>
      <c r="BQ135" s="48" t="n">
        <f aca="false">(BQ45*$D$19*$D$132*Input!$H$159+BQ44*$D$36*BQ50/MAX($G$50:$BX$50)*$D$134*Input!$H$161)*Input!$H$150/1000000</f>
        <v>1.57023735059761</v>
      </c>
      <c r="BR135" s="48" t="n">
        <f aca="false">(BR45*$D$19*$D$132*Input!$H$159+BR44*$D$36*BR50/MAX($G$50:$BX$50)*$D$134*Input!$H$161)*Input!$H$150/1000000</f>
        <v>1.57023735059761</v>
      </c>
      <c r="BS135" s="48" t="n">
        <f aca="false">(BS45*$D$19*$D$132*Input!$H$159+BS44*$D$36*BS50/MAX($G$50:$BX$50)*$D$134*Input!$H$161)*Input!$H$150/1000000</f>
        <v>1.57023735059761</v>
      </c>
      <c r="BT135" s="48" t="n">
        <f aca="false">(BT45*$D$19*$D$132*Input!$H$159+BT44*$D$36*BT50/MAX($G$50:$BX$50)*$D$134*Input!$H$161)*Input!$H$150/1000000</f>
        <v>1.57023735059761</v>
      </c>
      <c r="BU135" s="48" t="n">
        <f aca="false">(BU45*$D$19*$D$132*Input!$H$159+BU44*$D$36*BU50/MAX($G$50:$BX$50)*$D$134*Input!$H$161)*Input!$H$150/1000000</f>
        <v>1.57023735059761</v>
      </c>
      <c r="BV135" s="48" t="n">
        <f aca="false">(BV45*$D$19*$D$132*Input!$H$159+BV44*$D$36*BV50/MAX($G$50:$BX$50)*$D$134*Input!$H$161)*Input!$H$150/1000000</f>
        <v>1.57023735059761</v>
      </c>
      <c r="BW135" s="48" t="n">
        <f aca="false">(BW45*$D$19*$D$132*Input!$H$159+BW44*$D$36*BW50/MAX($G$50:$BX$50)*$D$134*Input!$H$161)*Input!$H$150/1000000</f>
        <v>0</v>
      </c>
      <c r="BX135" s="48" t="n">
        <f aca="false">(BX45*$D$19*$D$132*Input!$H$159+BX44*$D$36*BX50/MAX($G$50:$BX$50)*$D$134*Input!$H$161)*Input!$H$150/1000000</f>
        <v>0</v>
      </c>
    </row>
    <row r="136" customFormat="false" ht="15" hidden="false" customHeight="false" outlineLevel="0" collapsed="false">
      <c r="A136" s="1"/>
      <c r="B136" s="8" t="s">
        <v>392</v>
      </c>
      <c r="C136" s="8" t="s">
        <v>126</v>
      </c>
      <c r="D136" s="44" t="n">
        <f aca="false">SUM(G136:BX136)</f>
        <v>29.3129020816733</v>
      </c>
      <c r="E136" s="1"/>
      <c r="F136" s="1"/>
      <c r="G136" s="48" t="n">
        <f aca="false">(G45*$D$19*$D$132*Input!$H$159+G44*$D$36*G50/MAX($G$50:$BX$50)*$D$134*Input!$H$161)*Input!$H$151/1000000</f>
        <v>0</v>
      </c>
      <c r="H136" s="48" t="n">
        <f aca="false">(H45*$D$19*$D$132*Input!$H$159+H44*$D$36*H50/MAX($G$50:$BX$50)*$D$134*Input!$H$161)*Input!$H$151/1000000</f>
        <v>0</v>
      </c>
      <c r="I136" s="48" t="n">
        <f aca="false">(I45*$D$19*$D$132*Input!$H$159+I44*$D$36*I50/MAX($G$50:$BX$50)*$D$134*Input!$H$161)*Input!$H$151/1000000</f>
        <v>0</v>
      </c>
      <c r="J136" s="48" t="n">
        <f aca="false">(J45*$D$19*$D$132*Input!$H$159+J44*$D$36*J50/MAX($G$50:$BX$50)*$D$134*Input!$H$161)*Input!$H$151/1000000</f>
        <v>0.300893805066234</v>
      </c>
      <c r="K136" s="48" t="n">
        <f aca="false">(K45*$D$19*$D$132*Input!$H$159+K44*$D$36*K50/MAX($G$50:$BX$50)*$D$134*Input!$H$161)*Input!$H$151/1000000</f>
        <v>0.546905444933766</v>
      </c>
      <c r="L136" s="48" t="n">
        <f aca="false">(L45*$D$19*$D$132*Input!$H$159+L44*$D$36*L50/MAX($G$50:$BX$50)*$D$134*Input!$H$161)*Input!$H$151/1000000</f>
        <v>0.698949</v>
      </c>
      <c r="M136" s="48" t="n">
        <f aca="false">(M45*$D$19*$D$132*Input!$H$159+M44*$D$36*M50/MAX($G$50:$BX$50)*$D$134*Input!$H$161)*Input!$H$151/1000000</f>
        <v>0.546905444933766</v>
      </c>
      <c r="N136" s="48" t="n">
        <f aca="false">(N45*$D$19*$D$132*Input!$H$159+N44*$D$36*N50/MAX($G$50:$BX$50)*$D$134*Input!$H$161)*Input!$H$151/1000000</f>
        <v>0.300893805066234</v>
      </c>
      <c r="O136" s="48" t="n">
        <f aca="false">(O45*$D$19*$D$132*Input!$H$159+O44*$D$36*O50/MAX($G$50:$BX$50)*$D$134*Input!$H$161)*Input!$H$151/1000000</f>
        <v>0.448639243027888</v>
      </c>
      <c r="P136" s="48" t="n">
        <f aca="false">(P45*$D$19*$D$132*Input!$H$159+P44*$D$36*P50/MAX($G$50:$BX$50)*$D$134*Input!$H$161)*Input!$H$151/1000000</f>
        <v>0.448639243027888</v>
      </c>
      <c r="Q136" s="48" t="n">
        <f aca="false">(Q45*$D$19*$D$132*Input!$H$159+Q44*$D$36*Q50/MAX($G$50:$BX$50)*$D$134*Input!$H$161)*Input!$H$151/1000000</f>
        <v>0.448639243027888</v>
      </c>
      <c r="R136" s="48" t="n">
        <f aca="false">(R45*$D$19*$D$132*Input!$H$159+R44*$D$36*R50/MAX($G$50:$BX$50)*$D$134*Input!$H$161)*Input!$H$151/1000000</f>
        <v>0.448639243027888</v>
      </c>
      <c r="S136" s="48" t="n">
        <f aca="false">(S45*$D$19*$D$132*Input!$H$159+S44*$D$36*S50/MAX($G$50:$BX$50)*$D$134*Input!$H$161)*Input!$H$151/1000000</f>
        <v>0.448639243027888</v>
      </c>
      <c r="T136" s="48" t="n">
        <f aca="false">(T45*$D$19*$D$132*Input!$H$159+T44*$D$36*T50/MAX($G$50:$BX$50)*$D$134*Input!$H$161)*Input!$H$151/1000000</f>
        <v>0.448639243027888</v>
      </c>
      <c r="U136" s="48" t="n">
        <f aca="false">(U45*$D$19*$D$132*Input!$H$159+U44*$D$36*U50/MAX($G$50:$BX$50)*$D$134*Input!$H$161)*Input!$H$151/1000000</f>
        <v>0.448639243027888</v>
      </c>
      <c r="V136" s="48" t="n">
        <f aca="false">(V45*$D$19*$D$132*Input!$H$159+V44*$D$36*V50/MAX($G$50:$BX$50)*$D$134*Input!$H$161)*Input!$H$151/1000000</f>
        <v>0.448639243027888</v>
      </c>
      <c r="W136" s="48" t="n">
        <f aca="false">(W45*$D$19*$D$132*Input!$H$159+W44*$D$36*W50/MAX($G$50:$BX$50)*$D$134*Input!$H$161)*Input!$H$151/1000000</f>
        <v>0.448639243027888</v>
      </c>
      <c r="X136" s="48" t="n">
        <f aca="false">(X45*$D$19*$D$132*Input!$H$159+X44*$D$36*X50/MAX($G$50:$BX$50)*$D$134*Input!$H$161)*Input!$H$151/1000000</f>
        <v>0.448639243027888</v>
      </c>
      <c r="Y136" s="48" t="n">
        <f aca="false">(Y45*$D$19*$D$132*Input!$H$159+Y44*$D$36*Y50/MAX($G$50:$BX$50)*$D$134*Input!$H$161)*Input!$H$151/1000000</f>
        <v>0.448639243027888</v>
      </c>
      <c r="Z136" s="48" t="n">
        <f aca="false">(Z45*$D$19*$D$132*Input!$H$159+Z44*$D$36*Z50/MAX($G$50:$BX$50)*$D$134*Input!$H$161)*Input!$H$151/1000000</f>
        <v>0.448639243027888</v>
      </c>
      <c r="AA136" s="48" t="n">
        <f aca="false">(AA45*$D$19*$D$132*Input!$H$159+AA44*$D$36*AA50/MAX($G$50:$BX$50)*$D$134*Input!$H$161)*Input!$H$151/1000000</f>
        <v>0.448639243027888</v>
      </c>
      <c r="AB136" s="48" t="n">
        <f aca="false">(AB45*$D$19*$D$132*Input!$H$159+AB44*$D$36*AB50/MAX($G$50:$BX$50)*$D$134*Input!$H$161)*Input!$H$151/1000000</f>
        <v>0.448639243027888</v>
      </c>
      <c r="AC136" s="48" t="n">
        <f aca="false">(AC45*$D$19*$D$132*Input!$H$159+AC44*$D$36*AC50/MAX($G$50:$BX$50)*$D$134*Input!$H$161)*Input!$H$151/1000000</f>
        <v>0.448639243027888</v>
      </c>
      <c r="AD136" s="48" t="n">
        <f aca="false">(AD45*$D$19*$D$132*Input!$H$159+AD44*$D$36*AD50/MAX($G$50:$BX$50)*$D$134*Input!$H$161)*Input!$H$151/1000000</f>
        <v>0.448639243027888</v>
      </c>
      <c r="AE136" s="48" t="n">
        <f aca="false">(AE45*$D$19*$D$132*Input!$H$159+AE44*$D$36*AE50/MAX($G$50:$BX$50)*$D$134*Input!$H$161)*Input!$H$151/1000000</f>
        <v>0.448639243027888</v>
      </c>
      <c r="AF136" s="48" t="n">
        <f aca="false">(AF45*$D$19*$D$132*Input!$H$159+AF44*$D$36*AF50/MAX($G$50:$BX$50)*$D$134*Input!$H$161)*Input!$H$151/1000000</f>
        <v>0.448639243027888</v>
      </c>
      <c r="AG136" s="48" t="n">
        <f aca="false">(AG45*$D$19*$D$132*Input!$H$159+AG44*$D$36*AG50/MAX($G$50:$BX$50)*$D$134*Input!$H$161)*Input!$H$151/1000000</f>
        <v>0.448639243027888</v>
      </c>
      <c r="AH136" s="48" t="n">
        <f aca="false">(AH45*$D$19*$D$132*Input!$H$159+AH44*$D$36*AH50/MAX($G$50:$BX$50)*$D$134*Input!$H$161)*Input!$H$151/1000000</f>
        <v>0.448639243027888</v>
      </c>
      <c r="AI136" s="48" t="n">
        <f aca="false">(AI45*$D$19*$D$132*Input!$H$159+AI44*$D$36*AI50/MAX($G$50:$BX$50)*$D$134*Input!$H$161)*Input!$H$151/1000000</f>
        <v>0.448639243027888</v>
      </c>
      <c r="AJ136" s="48" t="n">
        <f aca="false">(AJ45*$D$19*$D$132*Input!$H$159+AJ44*$D$36*AJ50/MAX($G$50:$BX$50)*$D$134*Input!$H$161)*Input!$H$151/1000000</f>
        <v>0.448639243027888</v>
      </c>
      <c r="AK136" s="48" t="n">
        <f aca="false">(AK45*$D$19*$D$132*Input!$H$159+AK44*$D$36*AK50/MAX($G$50:$BX$50)*$D$134*Input!$H$161)*Input!$H$151/1000000</f>
        <v>0.448639243027888</v>
      </c>
      <c r="AL136" s="48" t="n">
        <f aca="false">(AL45*$D$19*$D$132*Input!$H$159+AL44*$D$36*AL50/MAX($G$50:$BX$50)*$D$134*Input!$H$161)*Input!$H$151/1000000</f>
        <v>0.448639243027888</v>
      </c>
      <c r="AM136" s="48" t="n">
        <f aca="false">(AM45*$D$19*$D$132*Input!$H$159+AM44*$D$36*AM50/MAX($G$50:$BX$50)*$D$134*Input!$H$161)*Input!$H$151/1000000</f>
        <v>0.448639243027888</v>
      </c>
      <c r="AN136" s="48" t="n">
        <f aca="false">(AN45*$D$19*$D$132*Input!$H$159+AN44*$D$36*AN50/MAX($G$50:$BX$50)*$D$134*Input!$H$161)*Input!$H$151/1000000</f>
        <v>0.448639243027888</v>
      </c>
      <c r="AO136" s="48" t="n">
        <f aca="false">(AO45*$D$19*$D$132*Input!$H$159+AO44*$D$36*AO50/MAX($G$50:$BX$50)*$D$134*Input!$H$161)*Input!$H$151/1000000</f>
        <v>0.448639243027888</v>
      </c>
      <c r="AP136" s="48" t="n">
        <f aca="false">(AP45*$D$19*$D$132*Input!$H$159+AP44*$D$36*AP50/MAX($G$50:$BX$50)*$D$134*Input!$H$161)*Input!$H$151/1000000</f>
        <v>0.448639243027888</v>
      </c>
      <c r="AQ136" s="48" t="n">
        <f aca="false">(AQ45*$D$19*$D$132*Input!$H$159+AQ44*$D$36*AQ50/MAX($G$50:$BX$50)*$D$134*Input!$H$161)*Input!$H$151/1000000</f>
        <v>0.448639243027888</v>
      </c>
      <c r="AR136" s="48" t="n">
        <f aca="false">(AR45*$D$19*$D$132*Input!$H$159+AR44*$D$36*AR50/MAX($G$50:$BX$50)*$D$134*Input!$H$161)*Input!$H$151/1000000</f>
        <v>0.448639243027888</v>
      </c>
      <c r="AS136" s="48" t="n">
        <f aca="false">(AS45*$D$19*$D$132*Input!$H$159+AS44*$D$36*AS50/MAX($G$50:$BX$50)*$D$134*Input!$H$161)*Input!$H$151/1000000</f>
        <v>0.448639243027888</v>
      </c>
      <c r="AT136" s="48" t="n">
        <f aca="false">(AT45*$D$19*$D$132*Input!$H$159+AT44*$D$36*AT50/MAX($G$50:$BX$50)*$D$134*Input!$H$161)*Input!$H$151/1000000</f>
        <v>0.448639243027888</v>
      </c>
      <c r="AU136" s="48" t="n">
        <f aca="false">(AU45*$D$19*$D$132*Input!$H$159+AU44*$D$36*AU50/MAX($G$50:$BX$50)*$D$134*Input!$H$161)*Input!$H$151/1000000</f>
        <v>0.448639243027888</v>
      </c>
      <c r="AV136" s="48" t="n">
        <f aca="false">(AV45*$D$19*$D$132*Input!$H$159+AV44*$D$36*AV50/MAX($G$50:$BX$50)*$D$134*Input!$H$161)*Input!$H$151/1000000</f>
        <v>0.448639243027888</v>
      </c>
      <c r="AW136" s="48" t="n">
        <f aca="false">(AW45*$D$19*$D$132*Input!$H$159+AW44*$D$36*AW50/MAX($G$50:$BX$50)*$D$134*Input!$H$161)*Input!$H$151/1000000</f>
        <v>0.448639243027888</v>
      </c>
      <c r="AX136" s="48" t="n">
        <f aca="false">(AX45*$D$19*$D$132*Input!$H$159+AX44*$D$36*AX50/MAX($G$50:$BX$50)*$D$134*Input!$H$161)*Input!$H$151/1000000</f>
        <v>0.448639243027888</v>
      </c>
      <c r="AY136" s="48" t="n">
        <f aca="false">(AY45*$D$19*$D$132*Input!$H$159+AY44*$D$36*AY50/MAX($G$50:$BX$50)*$D$134*Input!$H$161)*Input!$H$151/1000000</f>
        <v>0.448639243027888</v>
      </c>
      <c r="AZ136" s="48" t="n">
        <f aca="false">(AZ45*$D$19*$D$132*Input!$H$159+AZ44*$D$36*AZ50/MAX($G$50:$BX$50)*$D$134*Input!$H$161)*Input!$H$151/1000000</f>
        <v>0.448639243027888</v>
      </c>
      <c r="BA136" s="48" t="n">
        <f aca="false">(BA45*$D$19*$D$132*Input!$H$159+BA44*$D$36*BA50/MAX($G$50:$BX$50)*$D$134*Input!$H$161)*Input!$H$151/1000000</f>
        <v>0.448639243027888</v>
      </c>
      <c r="BB136" s="48" t="n">
        <f aca="false">(BB45*$D$19*$D$132*Input!$H$159+BB44*$D$36*BB50/MAX($G$50:$BX$50)*$D$134*Input!$H$161)*Input!$H$151/1000000</f>
        <v>0.448639243027888</v>
      </c>
      <c r="BC136" s="48" t="n">
        <f aca="false">(BC45*$D$19*$D$132*Input!$H$159+BC44*$D$36*BC50/MAX($G$50:$BX$50)*$D$134*Input!$H$161)*Input!$H$151/1000000</f>
        <v>0.448639243027888</v>
      </c>
      <c r="BD136" s="48" t="n">
        <f aca="false">(BD45*$D$19*$D$132*Input!$H$159+BD44*$D$36*BD50/MAX($G$50:$BX$50)*$D$134*Input!$H$161)*Input!$H$151/1000000</f>
        <v>0.448639243027888</v>
      </c>
      <c r="BE136" s="48" t="n">
        <f aca="false">(BE45*$D$19*$D$132*Input!$H$159+BE44*$D$36*BE50/MAX($G$50:$BX$50)*$D$134*Input!$H$161)*Input!$H$151/1000000</f>
        <v>0.448639243027888</v>
      </c>
      <c r="BF136" s="48" t="n">
        <f aca="false">(BF45*$D$19*$D$132*Input!$H$159+BF44*$D$36*BF50/MAX($G$50:$BX$50)*$D$134*Input!$H$161)*Input!$H$151/1000000</f>
        <v>0.448639243027888</v>
      </c>
      <c r="BG136" s="48" t="n">
        <f aca="false">(BG45*$D$19*$D$132*Input!$H$159+BG44*$D$36*BG50/MAX($G$50:$BX$50)*$D$134*Input!$H$161)*Input!$H$151/1000000</f>
        <v>0.448639243027888</v>
      </c>
      <c r="BH136" s="48" t="n">
        <f aca="false">(BH45*$D$19*$D$132*Input!$H$159+BH44*$D$36*BH50/MAX($G$50:$BX$50)*$D$134*Input!$H$161)*Input!$H$151/1000000</f>
        <v>0.448639243027888</v>
      </c>
      <c r="BI136" s="48" t="n">
        <f aca="false">(BI45*$D$19*$D$132*Input!$H$159+BI44*$D$36*BI50/MAX($G$50:$BX$50)*$D$134*Input!$H$161)*Input!$H$151/1000000</f>
        <v>0.448639243027888</v>
      </c>
      <c r="BJ136" s="48" t="n">
        <f aca="false">(BJ45*$D$19*$D$132*Input!$H$159+BJ44*$D$36*BJ50/MAX($G$50:$BX$50)*$D$134*Input!$H$161)*Input!$H$151/1000000</f>
        <v>0.448639243027888</v>
      </c>
      <c r="BK136" s="48" t="n">
        <f aca="false">(BK45*$D$19*$D$132*Input!$H$159+BK44*$D$36*BK50/MAX($G$50:$BX$50)*$D$134*Input!$H$161)*Input!$H$151/1000000</f>
        <v>0.448639243027888</v>
      </c>
      <c r="BL136" s="48" t="n">
        <f aca="false">(BL45*$D$19*$D$132*Input!$H$159+BL44*$D$36*BL50/MAX($G$50:$BX$50)*$D$134*Input!$H$161)*Input!$H$151/1000000</f>
        <v>0.448639243027888</v>
      </c>
      <c r="BM136" s="48" t="n">
        <f aca="false">(BM45*$D$19*$D$132*Input!$H$159+BM44*$D$36*BM50/MAX($G$50:$BX$50)*$D$134*Input!$H$161)*Input!$H$151/1000000</f>
        <v>0.448639243027888</v>
      </c>
      <c r="BN136" s="48" t="n">
        <f aca="false">(BN45*$D$19*$D$132*Input!$H$159+BN44*$D$36*BN50/MAX($G$50:$BX$50)*$D$134*Input!$H$161)*Input!$H$151/1000000</f>
        <v>0.448639243027888</v>
      </c>
      <c r="BO136" s="48" t="n">
        <f aca="false">(BO45*$D$19*$D$132*Input!$H$159+BO44*$D$36*BO50/MAX($G$50:$BX$50)*$D$134*Input!$H$161)*Input!$H$151/1000000</f>
        <v>0.448639243027888</v>
      </c>
      <c r="BP136" s="48" t="n">
        <f aca="false">(BP45*$D$19*$D$132*Input!$H$159+BP44*$D$36*BP50/MAX($G$50:$BX$50)*$D$134*Input!$H$161)*Input!$H$151/1000000</f>
        <v>0.448639243027888</v>
      </c>
      <c r="BQ136" s="48" t="n">
        <f aca="false">(BQ45*$D$19*$D$132*Input!$H$159+BQ44*$D$36*BQ50/MAX($G$50:$BX$50)*$D$134*Input!$H$161)*Input!$H$151/1000000</f>
        <v>0.448639243027888</v>
      </c>
      <c r="BR136" s="48" t="n">
        <f aca="false">(BR45*$D$19*$D$132*Input!$H$159+BR44*$D$36*BR50/MAX($G$50:$BX$50)*$D$134*Input!$H$161)*Input!$H$151/1000000</f>
        <v>0.448639243027888</v>
      </c>
      <c r="BS136" s="48" t="n">
        <f aca="false">(BS45*$D$19*$D$132*Input!$H$159+BS44*$D$36*BS50/MAX($G$50:$BX$50)*$D$134*Input!$H$161)*Input!$H$151/1000000</f>
        <v>0.448639243027888</v>
      </c>
      <c r="BT136" s="48" t="n">
        <f aca="false">(BT45*$D$19*$D$132*Input!$H$159+BT44*$D$36*BT50/MAX($G$50:$BX$50)*$D$134*Input!$H$161)*Input!$H$151/1000000</f>
        <v>0.448639243027888</v>
      </c>
      <c r="BU136" s="48" t="n">
        <f aca="false">(BU45*$D$19*$D$132*Input!$H$159+BU44*$D$36*BU50/MAX($G$50:$BX$50)*$D$134*Input!$H$161)*Input!$H$151/1000000</f>
        <v>0.448639243027888</v>
      </c>
      <c r="BV136" s="48" t="n">
        <f aca="false">(BV45*$D$19*$D$132*Input!$H$159+BV44*$D$36*BV50/MAX($G$50:$BX$50)*$D$134*Input!$H$161)*Input!$H$151/1000000</f>
        <v>0.448639243027888</v>
      </c>
      <c r="BW136" s="48" t="n">
        <f aca="false">(BW45*$D$19*$D$132*Input!$H$159+BW44*$D$36*BW50/MAX($G$50:$BX$50)*$D$134*Input!$H$161)*Input!$H$151/1000000</f>
        <v>0</v>
      </c>
      <c r="BX136" s="48" t="n">
        <f aca="false">(BX45*$D$19*$D$132*Input!$H$159+BX44*$D$36*BX50/MAX($G$50:$BX$50)*$D$134*Input!$H$161)*Input!$H$151/1000000</f>
        <v>0</v>
      </c>
    </row>
    <row r="137" customFormat="false" ht="15" hidden="false" customHeight="false" outlineLevel="0" collapsed="false">
      <c r="A137" s="1"/>
      <c r="B137" s="8" t="s">
        <v>393</v>
      </c>
      <c r="C137" s="8" t="s">
        <v>126</v>
      </c>
      <c r="D137" s="44" t="n">
        <f aca="false">SUM(G137:BX137)</f>
        <v>4.71071205179283</v>
      </c>
      <c r="E137" s="1"/>
      <c r="F137" s="1"/>
      <c r="G137" s="48" t="n">
        <f aca="false">G45*$D$19*$D$132*Input!$H$159*Input!$H$152/1000000</f>
        <v>0</v>
      </c>
      <c r="H137" s="48" t="n">
        <f aca="false">H45*$D$19*$D$132*Input!$H$159*Input!$H$152/1000000</f>
        <v>0</v>
      </c>
      <c r="I137" s="48" t="n">
        <f aca="false">I45*$D$19*$D$132*Input!$H$159*Input!$H$152/1000000</f>
        <v>0</v>
      </c>
      <c r="J137" s="48" t="n">
        <f aca="false">J45*$D$19*$D$132*Input!$H$159*Input!$H$152/1000000</f>
        <v>0</v>
      </c>
      <c r="K137" s="48" t="n">
        <f aca="false">K45*$D$19*$D$132*Input!$H$159*Input!$H$152/1000000</f>
        <v>0</v>
      </c>
      <c r="L137" s="48" t="n">
        <f aca="false">L45*$D$19*$D$132*Input!$H$159*Input!$H$152/1000000</f>
        <v>0</v>
      </c>
      <c r="M137" s="48" t="n">
        <f aca="false">M45*$D$19*$D$132*Input!$H$159*Input!$H$152/1000000</f>
        <v>0</v>
      </c>
      <c r="N137" s="48" t="n">
        <f aca="false">N45*$D$19*$D$132*Input!$H$159*Input!$H$152/1000000</f>
        <v>0</v>
      </c>
      <c r="O137" s="48" t="n">
        <f aca="false">O45*$D$19*$D$132*Input!$H$159*Input!$H$152/1000000</f>
        <v>0.0785118675298805</v>
      </c>
      <c r="P137" s="48" t="n">
        <f aca="false">P45*$D$19*$D$132*Input!$H$159*Input!$H$152/1000000</f>
        <v>0.0785118675298805</v>
      </c>
      <c r="Q137" s="48" t="n">
        <f aca="false">Q45*$D$19*$D$132*Input!$H$159*Input!$H$152/1000000</f>
        <v>0.0785118675298805</v>
      </c>
      <c r="R137" s="48" t="n">
        <f aca="false">R45*$D$19*$D$132*Input!$H$159*Input!$H$152/1000000</f>
        <v>0.0785118675298805</v>
      </c>
      <c r="S137" s="48" t="n">
        <f aca="false">S45*$D$19*$D$132*Input!$H$159*Input!$H$152/1000000</f>
        <v>0.0785118675298805</v>
      </c>
      <c r="T137" s="48" t="n">
        <f aca="false">T45*$D$19*$D$132*Input!$H$159*Input!$H$152/1000000</f>
        <v>0.0785118675298805</v>
      </c>
      <c r="U137" s="48" t="n">
        <f aca="false">U45*$D$19*$D$132*Input!$H$159*Input!$H$152/1000000</f>
        <v>0.0785118675298805</v>
      </c>
      <c r="V137" s="48" t="n">
        <f aca="false">V45*$D$19*$D$132*Input!$H$159*Input!$H$152/1000000</f>
        <v>0.0785118675298805</v>
      </c>
      <c r="W137" s="48" t="n">
        <f aca="false">W45*$D$19*$D$132*Input!$H$159*Input!$H$152/1000000</f>
        <v>0.0785118675298805</v>
      </c>
      <c r="X137" s="48" t="n">
        <f aca="false">X45*$D$19*$D$132*Input!$H$159*Input!$H$152/1000000</f>
        <v>0.0785118675298805</v>
      </c>
      <c r="Y137" s="48" t="n">
        <f aca="false">Y45*$D$19*$D$132*Input!$H$159*Input!$H$152/1000000</f>
        <v>0.0785118675298805</v>
      </c>
      <c r="Z137" s="48" t="n">
        <f aca="false">Z45*$D$19*$D$132*Input!$H$159*Input!$H$152/1000000</f>
        <v>0.0785118675298805</v>
      </c>
      <c r="AA137" s="48" t="n">
        <f aca="false">AA45*$D$19*$D$132*Input!$H$159*Input!$H$152/1000000</f>
        <v>0.0785118675298805</v>
      </c>
      <c r="AB137" s="48" t="n">
        <f aca="false">AB45*$D$19*$D$132*Input!$H$159*Input!$H$152/1000000</f>
        <v>0.0785118675298805</v>
      </c>
      <c r="AC137" s="48" t="n">
        <f aca="false">AC45*$D$19*$D$132*Input!$H$159*Input!$H$152/1000000</f>
        <v>0.0785118675298805</v>
      </c>
      <c r="AD137" s="48" t="n">
        <f aca="false">AD45*$D$19*$D$132*Input!$H$159*Input!$H$152/1000000</f>
        <v>0.0785118675298805</v>
      </c>
      <c r="AE137" s="48" t="n">
        <f aca="false">AE45*$D$19*$D$132*Input!$H$159*Input!$H$152/1000000</f>
        <v>0.0785118675298805</v>
      </c>
      <c r="AF137" s="48" t="n">
        <f aca="false">AF45*$D$19*$D$132*Input!$H$159*Input!$H$152/1000000</f>
        <v>0.0785118675298805</v>
      </c>
      <c r="AG137" s="48" t="n">
        <f aca="false">AG45*$D$19*$D$132*Input!$H$159*Input!$H$152/1000000</f>
        <v>0.0785118675298805</v>
      </c>
      <c r="AH137" s="48" t="n">
        <f aca="false">AH45*$D$19*$D$132*Input!$H$159*Input!$H$152/1000000</f>
        <v>0.0785118675298805</v>
      </c>
      <c r="AI137" s="48" t="n">
        <f aca="false">AI45*$D$19*$D$132*Input!$H$159*Input!$H$152/1000000</f>
        <v>0.0785118675298805</v>
      </c>
      <c r="AJ137" s="48" t="n">
        <f aca="false">AJ45*$D$19*$D$132*Input!$H$159*Input!$H$152/1000000</f>
        <v>0.0785118675298805</v>
      </c>
      <c r="AK137" s="48" t="n">
        <f aca="false">AK45*$D$19*$D$132*Input!$H$159*Input!$H$152/1000000</f>
        <v>0.0785118675298805</v>
      </c>
      <c r="AL137" s="48" t="n">
        <f aca="false">AL45*$D$19*$D$132*Input!$H$159*Input!$H$152/1000000</f>
        <v>0.0785118675298805</v>
      </c>
      <c r="AM137" s="48" t="n">
        <f aca="false">AM45*$D$19*$D$132*Input!$H$159*Input!$H$152/1000000</f>
        <v>0.0785118675298805</v>
      </c>
      <c r="AN137" s="48" t="n">
        <f aca="false">AN45*$D$19*$D$132*Input!$H$159*Input!$H$152/1000000</f>
        <v>0.0785118675298805</v>
      </c>
      <c r="AO137" s="48" t="n">
        <f aca="false">AO45*$D$19*$D$132*Input!$H$159*Input!$H$152/1000000</f>
        <v>0.0785118675298805</v>
      </c>
      <c r="AP137" s="48" t="n">
        <f aca="false">AP45*$D$19*$D$132*Input!$H$159*Input!$H$152/1000000</f>
        <v>0.0785118675298805</v>
      </c>
      <c r="AQ137" s="48" t="n">
        <f aca="false">AQ45*$D$19*$D$132*Input!$H$159*Input!$H$152/1000000</f>
        <v>0.0785118675298805</v>
      </c>
      <c r="AR137" s="48" t="n">
        <f aca="false">AR45*$D$19*$D$132*Input!$H$159*Input!$H$152/1000000</f>
        <v>0.0785118675298805</v>
      </c>
      <c r="AS137" s="48" t="n">
        <f aca="false">AS45*$D$19*$D$132*Input!$H$159*Input!$H$152/1000000</f>
        <v>0.0785118675298805</v>
      </c>
      <c r="AT137" s="48" t="n">
        <f aca="false">AT45*$D$19*$D$132*Input!$H$159*Input!$H$152/1000000</f>
        <v>0.0785118675298805</v>
      </c>
      <c r="AU137" s="48" t="n">
        <f aca="false">AU45*$D$19*$D$132*Input!$H$159*Input!$H$152/1000000</f>
        <v>0.0785118675298805</v>
      </c>
      <c r="AV137" s="48" t="n">
        <f aca="false">AV45*$D$19*$D$132*Input!$H$159*Input!$H$152/1000000</f>
        <v>0.0785118675298805</v>
      </c>
      <c r="AW137" s="48" t="n">
        <f aca="false">AW45*$D$19*$D$132*Input!$H$159*Input!$H$152/1000000</f>
        <v>0.0785118675298805</v>
      </c>
      <c r="AX137" s="48" t="n">
        <f aca="false">AX45*$D$19*$D$132*Input!$H$159*Input!$H$152/1000000</f>
        <v>0.0785118675298805</v>
      </c>
      <c r="AY137" s="48" t="n">
        <f aca="false">AY45*$D$19*$D$132*Input!$H$159*Input!$H$152/1000000</f>
        <v>0.0785118675298805</v>
      </c>
      <c r="AZ137" s="48" t="n">
        <f aca="false">AZ45*$D$19*$D$132*Input!$H$159*Input!$H$152/1000000</f>
        <v>0.0785118675298805</v>
      </c>
      <c r="BA137" s="48" t="n">
        <f aca="false">BA45*$D$19*$D$132*Input!$H$159*Input!$H$152/1000000</f>
        <v>0.0785118675298805</v>
      </c>
      <c r="BB137" s="48" t="n">
        <f aca="false">BB45*$D$19*$D$132*Input!$H$159*Input!$H$152/1000000</f>
        <v>0.0785118675298805</v>
      </c>
      <c r="BC137" s="48" t="n">
        <f aca="false">BC45*$D$19*$D$132*Input!$H$159*Input!$H$152/1000000</f>
        <v>0.0785118675298805</v>
      </c>
      <c r="BD137" s="48" t="n">
        <f aca="false">BD45*$D$19*$D$132*Input!$H$159*Input!$H$152/1000000</f>
        <v>0.0785118675298805</v>
      </c>
      <c r="BE137" s="48" t="n">
        <f aca="false">BE45*$D$19*$D$132*Input!$H$159*Input!$H$152/1000000</f>
        <v>0.0785118675298805</v>
      </c>
      <c r="BF137" s="48" t="n">
        <f aca="false">BF45*$D$19*$D$132*Input!$H$159*Input!$H$152/1000000</f>
        <v>0.0785118675298805</v>
      </c>
      <c r="BG137" s="48" t="n">
        <f aca="false">BG45*$D$19*$D$132*Input!$H$159*Input!$H$152/1000000</f>
        <v>0.0785118675298805</v>
      </c>
      <c r="BH137" s="48" t="n">
        <f aca="false">BH45*$D$19*$D$132*Input!$H$159*Input!$H$152/1000000</f>
        <v>0.0785118675298805</v>
      </c>
      <c r="BI137" s="48" t="n">
        <f aca="false">BI45*$D$19*$D$132*Input!$H$159*Input!$H$152/1000000</f>
        <v>0.0785118675298805</v>
      </c>
      <c r="BJ137" s="48" t="n">
        <f aca="false">BJ45*$D$19*$D$132*Input!$H$159*Input!$H$152/1000000</f>
        <v>0.0785118675298805</v>
      </c>
      <c r="BK137" s="48" t="n">
        <f aca="false">BK45*$D$19*$D$132*Input!$H$159*Input!$H$152/1000000</f>
        <v>0.0785118675298805</v>
      </c>
      <c r="BL137" s="48" t="n">
        <f aca="false">BL45*$D$19*$D$132*Input!$H$159*Input!$H$152/1000000</f>
        <v>0.0785118675298805</v>
      </c>
      <c r="BM137" s="48" t="n">
        <f aca="false">BM45*$D$19*$D$132*Input!$H$159*Input!$H$152/1000000</f>
        <v>0.0785118675298805</v>
      </c>
      <c r="BN137" s="48" t="n">
        <f aca="false">BN45*$D$19*$D$132*Input!$H$159*Input!$H$152/1000000</f>
        <v>0.0785118675298805</v>
      </c>
      <c r="BO137" s="48" t="n">
        <f aca="false">BO45*$D$19*$D$132*Input!$H$159*Input!$H$152/1000000</f>
        <v>0.0785118675298805</v>
      </c>
      <c r="BP137" s="48" t="n">
        <f aca="false">BP45*$D$19*$D$132*Input!$H$159*Input!$H$152/1000000</f>
        <v>0.0785118675298805</v>
      </c>
      <c r="BQ137" s="48" t="n">
        <f aca="false">BQ45*$D$19*$D$132*Input!$H$159*Input!$H$152/1000000</f>
        <v>0.0785118675298805</v>
      </c>
      <c r="BR137" s="48" t="n">
        <f aca="false">BR45*$D$19*$D$132*Input!$H$159*Input!$H$152/1000000</f>
        <v>0.0785118675298805</v>
      </c>
      <c r="BS137" s="48" t="n">
        <f aca="false">BS45*$D$19*$D$132*Input!$H$159*Input!$H$152/1000000</f>
        <v>0.0785118675298805</v>
      </c>
      <c r="BT137" s="48" t="n">
        <f aca="false">BT45*$D$19*$D$132*Input!$H$159*Input!$H$152/1000000</f>
        <v>0.0785118675298805</v>
      </c>
      <c r="BU137" s="48" t="n">
        <f aca="false">BU45*$D$19*$D$132*Input!$H$159*Input!$H$152/1000000</f>
        <v>0.0785118675298805</v>
      </c>
      <c r="BV137" s="48" t="n">
        <f aca="false">BV45*$D$19*$D$132*Input!$H$159*Input!$H$152/1000000</f>
        <v>0.0785118675298805</v>
      </c>
      <c r="BW137" s="48" t="n">
        <f aca="false">BW45*$D$19*$D$132*Input!$H$159*Input!$H$152/1000000</f>
        <v>0</v>
      </c>
      <c r="BX137" s="48" t="n">
        <f aca="false">BX45*$D$19*$D$132*Input!$H$159*Input!$H$152/1000000</f>
        <v>0</v>
      </c>
    </row>
    <row r="138" customFormat="false" ht="15" hidden="false" customHeight="false" outlineLevel="0" collapsed="false">
      <c r="A138" s="1"/>
      <c r="B138" s="4" t="s">
        <v>394</v>
      </c>
      <c r="C138" s="8" t="s">
        <v>126</v>
      </c>
      <c r="D138" s="44" t="n">
        <f aca="false">SUM(G138:BX138)</f>
        <v>4714.77111446842</v>
      </c>
      <c r="E138" s="1"/>
      <c r="F138" s="1"/>
      <c r="G138" s="44" t="n">
        <f aca="false">G126+G127+G128+G129+G130+G135+G136+G137</f>
        <v>0</v>
      </c>
      <c r="H138" s="44" t="n">
        <f aca="false">H126+H127+H128+H129+H130+H135+H136+H137</f>
        <v>0</v>
      </c>
      <c r="I138" s="44" t="n">
        <f aca="false">I126+I127+I128+I129+I130+I135+I136+I137</f>
        <v>0</v>
      </c>
      <c r="J138" s="44" t="n">
        <f aca="false">J126+J127+J128+J129+J130+J135+J136+J137</f>
        <v>1.35402212279805</v>
      </c>
      <c r="K138" s="44" t="n">
        <f aca="false">K126+K127+K128+K129+K130+K135+K136+K137</f>
        <v>2.46107450220195</v>
      </c>
      <c r="L138" s="44" t="n">
        <f aca="false">L126+L127+L128+L129+L130+L135+L136+L137</f>
        <v>3.1452705</v>
      </c>
      <c r="M138" s="44" t="n">
        <f aca="false">M126+M127+M128+M129+M130+M135+M136+M137</f>
        <v>2.46107450220195</v>
      </c>
      <c r="N138" s="44" t="n">
        <f aca="false">N126+N127+N128+N129+N130+N135+N136+N137</f>
        <v>1.35402212279805</v>
      </c>
      <c r="O138" s="44" t="n">
        <f aca="false">O126+O127+O128+O129+O130+O135+O136+O137</f>
        <v>47.6973884611554</v>
      </c>
      <c r="P138" s="44" t="n">
        <f aca="false">P126+P127+P128+P129+P130+P135+P136+P137</f>
        <v>47.6973884611554</v>
      </c>
      <c r="Q138" s="44" t="n">
        <f aca="false">Q126+Q127+Q128+Q129+Q130+Q135+Q136+Q137</f>
        <v>47.6973884611554</v>
      </c>
      <c r="R138" s="44" t="n">
        <f aca="false">R126+R127+R128+R129+R130+R135+R136+R137</f>
        <v>47.6973884611554</v>
      </c>
      <c r="S138" s="44" t="n">
        <f aca="false">S126+S127+S128+S129+S130+S135+S136+S137</f>
        <v>47.6973884611554</v>
      </c>
      <c r="T138" s="44" t="n">
        <f aca="false">T126+T127+T128+T129+T130+T135+T136+T137</f>
        <v>47.6973884611554</v>
      </c>
      <c r="U138" s="44" t="n">
        <f aca="false">U126+U127+U128+U129+U130+U135+U136+U137</f>
        <v>47.6973884611554</v>
      </c>
      <c r="V138" s="44" t="n">
        <f aca="false">V126+V127+V128+V129+V130+V135+V136+V137</f>
        <v>55.6746923466743</v>
      </c>
      <c r="W138" s="44" t="n">
        <f aca="false">W126+W127+W128+W129+W130+W135+W136+W137</f>
        <v>57.4352076650045</v>
      </c>
      <c r="X138" s="44" t="n">
        <f aca="false">X126+X127+X128+X129+X130+X135+X136+X137</f>
        <v>56.5181015990544</v>
      </c>
      <c r="Y138" s="44" t="n">
        <f aca="false">Y126+Y127+Y128+Y129+Y130+Y135+Y136+Y137</f>
        <v>60.9562320576735</v>
      </c>
      <c r="Z138" s="44" t="n">
        <f aca="false">Z126+Z127+Z128+Z129+Z130+Z135+Z136+Z137</f>
        <v>66.7906548140565</v>
      </c>
      <c r="AA138" s="44" t="n">
        <f aca="false">AA126+AA127+AA128+AA129+AA130+AA135+AA136+AA137</f>
        <v>76.9664711500955</v>
      </c>
      <c r="AB138" s="44" t="n">
        <f aca="false">AB126+AB127+AB128+AB129+AB130+AB135+AB136+AB137</f>
        <v>74.2151015610987</v>
      </c>
      <c r="AC138" s="44" t="n">
        <f aca="false">AC126+AC127+AC128+AC129+AC130+AC135+AC136+AC137</f>
        <v>84.7781418513589</v>
      </c>
      <c r="AD138" s="44" t="n">
        <f aca="false">AD126+AD127+AD128+AD129+AD130+AD135+AD136+AD137</f>
        <v>91.7547444105116</v>
      </c>
      <c r="AE138" s="44" t="n">
        <f aca="false">AE126+AE127+AE128+AE129+AE130+AE135+AE136+AE137</f>
        <v>89.0040964097247</v>
      </c>
      <c r="AF138" s="44" t="n">
        <f aca="false">AF126+AF127+AF128+AF129+AF130+AF135+AF136+AF137</f>
        <v>89.0048202908693</v>
      </c>
      <c r="AG138" s="44" t="n">
        <f aca="false">AG126+AG127+AG128+AG129+AG130+AG135+AG136+AG137</f>
        <v>91.7569009816888</v>
      </c>
      <c r="AH138" s="44" t="n">
        <f aca="false">AH126+AH127+AH128+AH129+AH130+AH135+AH136+AH137</f>
        <v>86.2549263961991</v>
      </c>
      <c r="AI138" s="44" t="n">
        <f aca="false">AI126+AI127+AI128+AI129+AI130+AI135+AI136+AI137</f>
        <v>89.0070182281753</v>
      </c>
      <c r="AJ138" s="44" t="n">
        <f aca="false">AJ126+AJ127+AJ128+AJ129+AJ130+AJ135+AJ136+AJ137</f>
        <v>91.7591033647642</v>
      </c>
      <c r="AK138" s="44" t="n">
        <f aca="false">AK126+AK127+AK128+AK129+AK130+AK135+AK136+AK137</f>
        <v>92.7055443795748</v>
      </c>
      <c r="AL138" s="44" t="n">
        <f aca="false">AL126+AL127+AL128+AL129+AL130+AL135+AL136+AL137</f>
        <v>93.76258844343</v>
      </c>
      <c r="AM138" s="44" t="n">
        <f aca="false">AM126+AM127+AM128+AM129+AM130+AM135+AM136+AM137</f>
        <v>96.5146950570816</v>
      </c>
      <c r="AN138" s="44" t="n">
        <f aca="false">AN126+AN127+AN128+AN129+AN130+AN135+AN136+AN137</f>
        <v>93.7640949646984</v>
      </c>
      <c r="AO138" s="44" t="n">
        <f aca="false">AO126+AO127+AO128+AO129+AO130+AO135+AO136+AO137</f>
        <v>93.7648482253327</v>
      </c>
      <c r="AP138" s="44" t="n">
        <f aca="false">AP126+AP127+AP128+AP129+AP130+AP135+AP136+AP137</f>
        <v>96.51620157835</v>
      </c>
      <c r="AQ138" s="44" t="n">
        <f aca="false">AQ126+AQ127+AQ128+AQ129+AQ130+AQ135+AQ136+AQ137</f>
        <v>93.7648482253327</v>
      </c>
      <c r="AR138" s="44" t="n">
        <f aca="false">AR126+AR127+AR128+AR129+AR130+AR135+AR136+AR137</f>
        <v>91.0134948723153</v>
      </c>
      <c r="AS138" s="44" t="n">
        <f aca="false">AS126+AS127+AS128+AS129+AS130+AS135+AS136+AS137</f>
        <v>96.51620157835</v>
      </c>
      <c r="AT138" s="44" t="n">
        <f aca="false">AT126+AT127+AT128+AT129+AT130+AT135+AT136+AT137</f>
        <v>93.7648482253327</v>
      </c>
      <c r="AU138" s="44" t="n">
        <f aca="false">AU126+AU127+AU128+AU129+AU130+AU135+AU136+AU137</f>
        <v>93.7648482253327</v>
      </c>
      <c r="AV138" s="44" t="n">
        <f aca="false">AV126+AV127+AV128+AV129+AV130+AV135+AV136+AV137</f>
        <v>96.51620157835</v>
      </c>
      <c r="AW138" s="44" t="n">
        <f aca="false">AW126+AW127+AW128+AW129+AW130+AW135+AW136+AW137</f>
        <v>93.7648482253327</v>
      </c>
      <c r="AX138" s="44" t="n">
        <f aca="false">AX126+AX127+AX128+AX129+AX130+AX135+AX136+AX137</f>
        <v>93.7648482253327</v>
      </c>
      <c r="AY138" s="44" t="n">
        <f aca="false">AY126+AY127+AY128+AY129+AY130+AY135+AY136+AY137</f>
        <v>96.51620157835</v>
      </c>
      <c r="AZ138" s="44" t="n">
        <f aca="false">AZ126+AZ127+AZ128+AZ129+AZ130+AZ135+AZ136+AZ137</f>
        <v>93.7648482253327</v>
      </c>
      <c r="BA138" s="44" t="n">
        <f aca="false">BA126+BA127+BA128+BA129+BA130+BA135+BA136+BA137</f>
        <v>93.7648482253327</v>
      </c>
      <c r="BB138" s="44" t="n">
        <f aca="false">BB126+BB127+BB128+BB129+BB130+BB135+BB136+BB137</f>
        <v>91.9306126566544</v>
      </c>
      <c r="BC138" s="44" t="n">
        <f aca="false">BC126+BC127+BC128+BC129+BC130+BC135+BC136+BC137</f>
        <v>75.1580938993419</v>
      </c>
      <c r="BD138" s="44" t="n">
        <f aca="false">BD126+BD127+BD128+BD129+BD130+BD135+BD136+BD137</f>
        <v>75.1580938993419</v>
      </c>
      <c r="BE138" s="44" t="n">
        <f aca="false">BE126+BE127+BE128+BE129+BE130+BE135+BE136+BE137</f>
        <v>77.2765041408534</v>
      </c>
      <c r="BF138" s="44" t="n">
        <f aca="false">BF126+BF127+BF128+BF129+BF130+BF135+BF136+BF137</f>
        <v>75.1580938993419</v>
      </c>
      <c r="BG138" s="44" t="n">
        <f aca="false">BG126+BG127+BG128+BG129+BG130+BG135+BG136+BG137</f>
        <v>75.1580938993419</v>
      </c>
      <c r="BH138" s="44" t="n">
        <f aca="false">BH126+BH127+BH128+BH129+BH130+BH135+BH136+BH137</f>
        <v>77.2765041408534</v>
      </c>
      <c r="BI138" s="44" t="n">
        <f aca="false">BI126+BI127+BI128+BI129+BI130+BI135+BI136+BI137</f>
        <v>75.1580938993419</v>
      </c>
      <c r="BJ138" s="44" t="n">
        <f aca="false">BJ126+BJ127+BJ128+BJ129+BJ130+BJ135+BJ136+BJ137</f>
        <v>75.1580938993419</v>
      </c>
      <c r="BK138" s="44" t="n">
        <f aca="false">BK126+BK127+BK128+BK129+BK130+BK135+BK136+BK137</f>
        <v>77.2765041408534</v>
      </c>
      <c r="BL138" s="44" t="n">
        <f aca="false">BL126+BL127+BL128+BL129+BL130+BL135+BL136+BL137</f>
        <v>73.4034721181726</v>
      </c>
      <c r="BM138" s="44" t="n">
        <f aca="false">BM126+BM127+BM128+BM129+BM130+BM135+BM136+BM137</f>
        <v>75.1580938993419</v>
      </c>
      <c r="BN138" s="44" t="n">
        <f aca="false">BN126+BN127+BN128+BN129+BN130+BN135+BN136+BN137</f>
        <v>77.2765041408534</v>
      </c>
      <c r="BO138" s="44" t="n">
        <f aca="false">BO126+BO127+BO128+BO129+BO130+BO135+BO136+BO137</f>
        <v>75.1580938993419</v>
      </c>
      <c r="BP138" s="44" t="n">
        <f aca="false">BP126+BP127+BP128+BP129+BP130+BP135+BP136+BP137</f>
        <v>75.1580938993419</v>
      </c>
      <c r="BQ138" s="44" t="n">
        <f aca="false">BQ126+BQ127+BQ128+BQ129+BQ130+BQ135+BQ136+BQ137</f>
        <v>77.2765041408534</v>
      </c>
      <c r="BR138" s="44" t="n">
        <f aca="false">BR126+BR127+BR128+BR129+BR130+BR135+BR136+BR137</f>
        <v>75.1580938993419</v>
      </c>
      <c r="BS138" s="44" t="n">
        <f aca="false">BS126+BS127+BS128+BS129+BS130+BS135+BS136+BS137</f>
        <v>75.1580938993419</v>
      </c>
      <c r="BT138" s="44" t="n">
        <f aca="false">BT126+BT127+BT128+BT129+BT130+BT135+BT136+BT137</f>
        <v>77.2765041408534</v>
      </c>
      <c r="BU138" s="44" t="n">
        <f aca="false">BU126+BU127+BU128+BU129+BU130+BU135+BU136+BU137</f>
        <v>75.1580938993419</v>
      </c>
      <c r="BV138" s="44" t="n">
        <f aca="false">BV126+BV127+BV128+BV129+BV130+BV135+BV136+BV137</f>
        <v>73.4034721181726</v>
      </c>
      <c r="BW138" s="44" t="n">
        <f aca="false">BW126+BW127+BW128+BW129+BW130+BW135+BW136+BW137</f>
        <v>0</v>
      </c>
      <c r="BX138" s="44" t="n">
        <f aca="false">BX126+BX127+BX128+BX129+BX130+BX135+BX136+BX137</f>
        <v>0</v>
      </c>
    </row>
    <row r="139" customFormat="false" ht="15" hidden="false" customHeight="false" outlineLevel="0" collapsed="false">
      <c r="A139" s="1"/>
      <c r="B139" s="8" t="s">
        <v>395</v>
      </c>
      <c r="C139" s="8" t="s">
        <v>126</v>
      </c>
      <c r="D139" s="44" t="n">
        <f aca="false">SUM(G139:BX139)</f>
        <v>419.742788844621</v>
      </c>
      <c r="E139" s="1"/>
      <c r="F139" s="1"/>
      <c r="G139" s="48" t="n">
        <f aca="false">G45*$D$19*$D$133/1000000</f>
        <v>0</v>
      </c>
      <c r="H139" s="48" t="n">
        <f aca="false">H45*$D$19*$D$133/1000000</f>
        <v>0</v>
      </c>
      <c r="I139" s="48" t="n">
        <f aca="false">I45*$D$19*$D$133/1000000</f>
        <v>0</v>
      </c>
      <c r="J139" s="48" t="n">
        <f aca="false">J45*$D$19*$D$133/1000000</f>
        <v>0</v>
      </c>
      <c r="K139" s="48" t="n">
        <f aca="false">K45*$D$19*$D$133/1000000</f>
        <v>0</v>
      </c>
      <c r="L139" s="48" t="n">
        <f aca="false">L45*$D$19*$D$133/1000000</f>
        <v>0</v>
      </c>
      <c r="M139" s="48" t="n">
        <f aca="false">M45*$D$19*$D$133/1000000</f>
        <v>0</v>
      </c>
      <c r="N139" s="48" t="n">
        <f aca="false">N45*$D$19*$D$133/1000000</f>
        <v>0</v>
      </c>
      <c r="O139" s="48" t="n">
        <f aca="false">O45*$D$19*$D$133/1000000</f>
        <v>6.99571314741036</v>
      </c>
      <c r="P139" s="48" t="n">
        <f aca="false">P45*$D$19*$D$133/1000000</f>
        <v>6.99571314741036</v>
      </c>
      <c r="Q139" s="48" t="n">
        <f aca="false">Q45*$D$19*$D$133/1000000</f>
        <v>6.99571314741036</v>
      </c>
      <c r="R139" s="48" t="n">
        <f aca="false">R45*$D$19*$D$133/1000000</f>
        <v>6.99571314741036</v>
      </c>
      <c r="S139" s="48" t="n">
        <f aca="false">S45*$D$19*$D$133/1000000</f>
        <v>6.99571314741036</v>
      </c>
      <c r="T139" s="48" t="n">
        <f aca="false">T45*$D$19*$D$133/1000000</f>
        <v>6.99571314741036</v>
      </c>
      <c r="U139" s="48" t="n">
        <f aca="false">U45*$D$19*$D$133/1000000</f>
        <v>6.99571314741036</v>
      </c>
      <c r="V139" s="48" t="n">
        <f aca="false">V45*$D$19*$D$133/1000000</f>
        <v>6.99571314741036</v>
      </c>
      <c r="W139" s="48" t="n">
        <f aca="false">W45*$D$19*$D$133/1000000</f>
        <v>6.99571314741036</v>
      </c>
      <c r="X139" s="48" t="n">
        <f aca="false">X45*$D$19*$D$133/1000000</f>
        <v>6.99571314741036</v>
      </c>
      <c r="Y139" s="48" t="n">
        <f aca="false">Y45*$D$19*$D$133/1000000</f>
        <v>6.99571314741036</v>
      </c>
      <c r="Z139" s="48" t="n">
        <f aca="false">Z45*$D$19*$D$133/1000000</f>
        <v>6.99571314741036</v>
      </c>
      <c r="AA139" s="48" t="n">
        <f aca="false">AA45*$D$19*$D$133/1000000</f>
        <v>6.99571314741036</v>
      </c>
      <c r="AB139" s="48" t="n">
        <f aca="false">AB45*$D$19*$D$133/1000000</f>
        <v>6.99571314741036</v>
      </c>
      <c r="AC139" s="48" t="n">
        <f aca="false">AC45*$D$19*$D$133/1000000</f>
        <v>6.99571314741036</v>
      </c>
      <c r="AD139" s="48" t="n">
        <f aca="false">AD45*$D$19*$D$133/1000000</f>
        <v>6.99571314741036</v>
      </c>
      <c r="AE139" s="48" t="n">
        <f aca="false">AE45*$D$19*$D$133/1000000</f>
        <v>6.99571314741036</v>
      </c>
      <c r="AF139" s="48" t="n">
        <f aca="false">AF45*$D$19*$D$133/1000000</f>
        <v>6.99571314741036</v>
      </c>
      <c r="AG139" s="48" t="n">
        <f aca="false">AG45*$D$19*$D$133/1000000</f>
        <v>6.99571314741036</v>
      </c>
      <c r="AH139" s="48" t="n">
        <f aca="false">AH45*$D$19*$D$133/1000000</f>
        <v>6.99571314741036</v>
      </c>
      <c r="AI139" s="48" t="n">
        <f aca="false">AI45*$D$19*$D$133/1000000</f>
        <v>6.99571314741036</v>
      </c>
      <c r="AJ139" s="48" t="n">
        <f aca="false">AJ45*$D$19*$D$133/1000000</f>
        <v>6.99571314741036</v>
      </c>
      <c r="AK139" s="48" t="n">
        <f aca="false">AK45*$D$19*$D$133/1000000</f>
        <v>6.99571314741036</v>
      </c>
      <c r="AL139" s="48" t="n">
        <f aca="false">AL45*$D$19*$D$133/1000000</f>
        <v>6.99571314741036</v>
      </c>
      <c r="AM139" s="48" t="n">
        <f aca="false">AM45*$D$19*$D$133/1000000</f>
        <v>6.99571314741036</v>
      </c>
      <c r="AN139" s="48" t="n">
        <f aca="false">AN45*$D$19*$D$133/1000000</f>
        <v>6.99571314741036</v>
      </c>
      <c r="AO139" s="48" t="n">
        <f aca="false">AO45*$D$19*$D$133/1000000</f>
        <v>6.99571314741036</v>
      </c>
      <c r="AP139" s="48" t="n">
        <f aca="false">AP45*$D$19*$D$133/1000000</f>
        <v>6.99571314741036</v>
      </c>
      <c r="AQ139" s="48" t="n">
        <f aca="false">AQ45*$D$19*$D$133/1000000</f>
        <v>6.99571314741036</v>
      </c>
      <c r="AR139" s="48" t="n">
        <f aca="false">AR45*$D$19*$D$133/1000000</f>
        <v>6.99571314741036</v>
      </c>
      <c r="AS139" s="48" t="n">
        <f aca="false">AS45*$D$19*$D$133/1000000</f>
        <v>6.99571314741036</v>
      </c>
      <c r="AT139" s="48" t="n">
        <f aca="false">AT45*$D$19*$D$133/1000000</f>
        <v>6.99571314741036</v>
      </c>
      <c r="AU139" s="48" t="n">
        <f aca="false">AU45*$D$19*$D$133/1000000</f>
        <v>6.99571314741036</v>
      </c>
      <c r="AV139" s="48" t="n">
        <f aca="false">AV45*$D$19*$D$133/1000000</f>
        <v>6.99571314741036</v>
      </c>
      <c r="AW139" s="48" t="n">
        <f aca="false">AW45*$D$19*$D$133/1000000</f>
        <v>6.99571314741036</v>
      </c>
      <c r="AX139" s="48" t="n">
        <f aca="false">AX45*$D$19*$D$133/1000000</f>
        <v>6.99571314741036</v>
      </c>
      <c r="AY139" s="48" t="n">
        <f aca="false">AY45*$D$19*$D$133/1000000</f>
        <v>6.99571314741036</v>
      </c>
      <c r="AZ139" s="48" t="n">
        <f aca="false">AZ45*$D$19*$D$133/1000000</f>
        <v>6.99571314741036</v>
      </c>
      <c r="BA139" s="48" t="n">
        <f aca="false">BA45*$D$19*$D$133/1000000</f>
        <v>6.99571314741036</v>
      </c>
      <c r="BB139" s="48" t="n">
        <f aca="false">BB45*$D$19*$D$133/1000000</f>
        <v>6.99571314741036</v>
      </c>
      <c r="BC139" s="48" t="n">
        <f aca="false">BC45*$D$19*$D$133/1000000</f>
        <v>6.99571314741036</v>
      </c>
      <c r="BD139" s="48" t="n">
        <f aca="false">BD45*$D$19*$D$133/1000000</f>
        <v>6.99571314741036</v>
      </c>
      <c r="BE139" s="48" t="n">
        <f aca="false">BE45*$D$19*$D$133/1000000</f>
        <v>6.99571314741036</v>
      </c>
      <c r="BF139" s="48" t="n">
        <f aca="false">BF45*$D$19*$D$133/1000000</f>
        <v>6.99571314741036</v>
      </c>
      <c r="BG139" s="48" t="n">
        <f aca="false">BG45*$D$19*$D$133/1000000</f>
        <v>6.99571314741036</v>
      </c>
      <c r="BH139" s="48" t="n">
        <f aca="false">BH45*$D$19*$D$133/1000000</f>
        <v>6.99571314741036</v>
      </c>
      <c r="BI139" s="48" t="n">
        <f aca="false">BI45*$D$19*$D$133/1000000</f>
        <v>6.99571314741036</v>
      </c>
      <c r="BJ139" s="48" t="n">
        <f aca="false">BJ45*$D$19*$D$133/1000000</f>
        <v>6.99571314741036</v>
      </c>
      <c r="BK139" s="48" t="n">
        <f aca="false">BK45*$D$19*$D$133/1000000</f>
        <v>6.99571314741036</v>
      </c>
      <c r="BL139" s="48" t="n">
        <f aca="false">BL45*$D$19*$D$133/1000000</f>
        <v>6.99571314741036</v>
      </c>
      <c r="BM139" s="48" t="n">
        <f aca="false">BM45*$D$19*$D$133/1000000</f>
        <v>6.99571314741036</v>
      </c>
      <c r="BN139" s="48" t="n">
        <f aca="false">BN45*$D$19*$D$133/1000000</f>
        <v>6.99571314741036</v>
      </c>
      <c r="BO139" s="48" t="n">
        <f aca="false">BO45*$D$19*$D$133/1000000</f>
        <v>6.99571314741036</v>
      </c>
      <c r="BP139" s="48" t="n">
        <f aca="false">BP45*$D$19*$D$133/1000000</f>
        <v>6.99571314741036</v>
      </c>
      <c r="BQ139" s="48" t="n">
        <f aca="false">BQ45*$D$19*$D$133/1000000</f>
        <v>6.99571314741036</v>
      </c>
      <c r="BR139" s="48" t="n">
        <f aca="false">BR45*$D$19*$D$133/1000000</f>
        <v>6.99571314741036</v>
      </c>
      <c r="BS139" s="48" t="n">
        <f aca="false">BS45*$D$19*$D$133/1000000</f>
        <v>6.99571314741036</v>
      </c>
      <c r="BT139" s="48" t="n">
        <f aca="false">BT45*$D$19*$D$133/1000000</f>
        <v>6.99571314741036</v>
      </c>
      <c r="BU139" s="48" t="n">
        <f aca="false">BU45*$D$19*$D$133/1000000</f>
        <v>6.99571314741036</v>
      </c>
      <c r="BV139" s="48" t="n">
        <f aca="false">BV45*$D$19*$D$133/1000000</f>
        <v>6.99571314741036</v>
      </c>
      <c r="BW139" s="48" t="n">
        <f aca="false">BW45*$D$19*$D$133/1000000</f>
        <v>0</v>
      </c>
      <c r="BX139" s="48" t="n">
        <f aca="false">BX45*$D$19*$D$133/1000000</f>
        <v>0</v>
      </c>
    </row>
    <row r="140" customFormat="false" ht="15" hidden="false" customHeight="false" outlineLevel="0" collapsed="false">
      <c r="A140" s="1"/>
      <c r="B140" s="4" t="s">
        <v>396</v>
      </c>
      <c r="C140" s="1"/>
      <c r="D140" s="46" t="n">
        <f aca="false">IFERROR(SUMIF($G$45:$BX$45,1,$G$138:$BX$138)/COUNTIF($G$45:$BX$45,1),0)</f>
        <v>78.3999275119737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</row>
    <row r="141" customFormat="false" ht="15" hidden="false" customHeight="false" outlineLevel="0" collapsed="false">
      <c r="A141" s="1"/>
      <c r="B141" s="8" t="s">
        <v>397</v>
      </c>
      <c r="C141" s="1"/>
      <c r="D141" s="48" t="n">
        <f aca="false">SUM($G$98:$BX$98)</f>
        <v>6250.15973534516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</row>
    <row r="142" customFormat="false" ht="15" hidden="false" customHeight="false" outlineLevel="0" collapsed="false">
      <c r="A142" s="1"/>
      <c r="B142" s="8" t="s">
        <v>398</v>
      </c>
      <c r="C142" s="1"/>
      <c r="D142" s="48" t="n">
        <f aca="false">SUM($G$73:$BX$73)</f>
        <v>0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</row>
    <row r="143" customFormat="false" ht="15" hidden="false" customHeight="false" outlineLevel="0" collapsed="false">
      <c r="A143" s="1"/>
      <c r="B143" s="8" t="s">
        <v>399</v>
      </c>
      <c r="C143" s="1"/>
      <c r="D143" s="48" t="n">
        <f aca="false">SUM($G$76:$BX$76)</f>
        <v>3738.009395172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</row>
    <row r="144" customFormat="false" ht="15" hidden="false" customHeight="false" outlineLevel="0" collapsed="false">
      <c r="A144" s="1"/>
      <c r="B144" s="8" t="s">
        <v>400</v>
      </c>
      <c r="C144" s="1"/>
      <c r="D144" s="48" t="n">
        <f aca="false">SUM($G$66:$BX$66)</f>
        <v>15881.9830857916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</row>
    <row r="145" customFormat="false" ht="15" hidden="false" customHeight="false" outlineLevel="0" collapsed="false">
      <c r="A145" s="1"/>
      <c r="B145" s="8" t="s">
        <v>401</v>
      </c>
      <c r="C145" s="1"/>
      <c r="D145" s="48" t="n">
        <f aca="false">SUM($G$126:$BX$126)</f>
        <v>1368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</row>
    <row r="146" customFormat="false" ht="15" hidden="false" customHeight="false" outlineLevel="0" collapsed="false">
      <c r="A146" s="1"/>
      <c r="B146" s="8" t="s">
        <v>402</v>
      </c>
      <c r="C146" s="1"/>
      <c r="D146" s="48" t="n">
        <f aca="false">SUM($G$127:$BX$127)</f>
        <v>1368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</row>
    <row r="147" customFormat="false" ht="15" hidden="false" customHeight="false" outlineLevel="0" collapsed="false">
      <c r="A147" s="1"/>
      <c r="B147" s="8" t="s">
        <v>403</v>
      </c>
      <c r="C147" s="1"/>
      <c r="D147" s="48" t="n">
        <f aca="false">SUM($G$128:$BX$128)+SUM($G$129:$BX$129)+SUM($G$130:$BX$130)</f>
        <v>1842.1523430491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</row>
    <row r="148" customFormat="false" ht="15" hidden="false" customHeight="false" outlineLevel="0" collapsed="false">
      <c r="A148" s="1"/>
      <c r="B148" s="8" t="s">
        <v>404</v>
      </c>
      <c r="C148" s="1"/>
      <c r="D148" s="48" t="n">
        <f aca="false">SUM($G$135:$BX$135)+SUM($G$136:$BX$136)+SUM($G$137:$BX$137)</f>
        <v>136.618771419323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X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6" min="5" style="0" width="3"/>
    <col collapsed="false" customWidth="true" hidden="false" outlineLevel="0" max="76" min="7" style="0" width="10.51"/>
  </cols>
  <sheetData>
    <row r="1" customFormat="false" ht="15" hidden="false" customHeight="false" outlineLevel="0" collapsed="false">
      <c r="A1" s="1"/>
      <c r="B1" s="2" t="s">
        <v>17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</row>
    <row r="2" customFormat="false" ht="15" hidden="false" customHeight="false" outlineLevel="0" collapsed="false">
      <c r="A2" s="1"/>
      <c r="B2" s="6" t="s">
        <v>273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</row>
    <row r="4" customFormat="false" ht="15" hidden="false" customHeight="false" outlineLevel="0" collapsed="false">
      <c r="A4" s="1"/>
      <c r="B4" s="4" t="s">
        <v>25</v>
      </c>
      <c r="C4" s="1"/>
      <c r="D4" s="1"/>
      <c r="E4" s="1"/>
      <c r="F4" s="1"/>
      <c r="G4" s="37" t="n">
        <v>2027</v>
      </c>
      <c r="H4" s="37" t="n">
        <v>2028</v>
      </c>
      <c r="I4" s="37" t="n">
        <v>2029</v>
      </c>
      <c r="J4" s="37" t="n">
        <v>2030</v>
      </c>
      <c r="K4" s="37" t="n">
        <v>2031</v>
      </c>
      <c r="L4" s="37" t="n">
        <v>2032</v>
      </c>
      <c r="M4" s="37" t="n">
        <v>2033</v>
      </c>
      <c r="N4" s="37" t="n">
        <v>2034</v>
      </c>
      <c r="O4" s="37" t="n">
        <v>2035</v>
      </c>
      <c r="P4" s="37" t="n">
        <v>2036</v>
      </c>
      <c r="Q4" s="37" t="n">
        <v>2037</v>
      </c>
      <c r="R4" s="37" t="n">
        <v>2038</v>
      </c>
      <c r="S4" s="37" t="n">
        <v>2039</v>
      </c>
      <c r="T4" s="37" t="n">
        <v>2040</v>
      </c>
      <c r="U4" s="37" t="n">
        <v>2041</v>
      </c>
      <c r="V4" s="37" t="n">
        <v>2042</v>
      </c>
      <c r="W4" s="37" t="n">
        <v>2043</v>
      </c>
      <c r="X4" s="37" t="n">
        <v>2044</v>
      </c>
      <c r="Y4" s="37" t="n">
        <v>2045</v>
      </c>
      <c r="Z4" s="37" t="n">
        <v>2046</v>
      </c>
      <c r="AA4" s="37" t="n">
        <v>2047</v>
      </c>
      <c r="AB4" s="37" t="n">
        <v>2048</v>
      </c>
      <c r="AC4" s="37" t="n">
        <v>2049</v>
      </c>
      <c r="AD4" s="37" t="n">
        <v>2050</v>
      </c>
      <c r="AE4" s="37" t="n">
        <v>2051</v>
      </c>
      <c r="AF4" s="37" t="n">
        <v>2052</v>
      </c>
      <c r="AG4" s="37" t="n">
        <v>2053</v>
      </c>
      <c r="AH4" s="37" t="n">
        <v>2054</v>
      </c>
      <c r="AI4" s="37" t="n">
        <v>2055</v>
      </c>
      <c r="AJ4" s="37" t="n">
        <v>2056</v>
      </c>
      <c r="AK4" s="37" t="n">
        <v>2057</v>
      </c>
      <c r="AL4" s="37" t="n">
        <v>2058</v>
      </c>
      <c r="AM4" s="37" t="n">
        <v>2059</v>
      </c>
      <c r="AN4" s="37" t="n">
        <v>2060</v>
      </c>
      <c r="AO4" s="37" t="n">
        <v>2061</v>
      </c>
      <c r="AP4" s="37" t="n">
        <v>2062</v>
      </c>
      <c r="AQ4" s="37" t="n">
        <v>2063</v>
      </c>
      <c r="AR4" s="37" t="n">
        <v>2064</v>
      </c>
      <c r="AS4" s="37" t="n">
        <v>2065</v>
      </c>
      <c r="AT4" s="37" t="n">
        <v>2066</v>
      </c>
      <c r="AU4" s="37" t="n">
        <v>2067</v>
      </c>
      <c r="AV4" s="37" t="n">
        <v>2068</v>
      </c>
      <c r="AW4" s="37" t="n">
        <v>2069</v>
      </c>
      <c r="AX4" s="37" t="n">
        <v>2070</v>
      </c>
      <c r="AY4" s="37" t="n">
        <v>2071</v>
      </c>
      <c r="AZ4" s="37" t="n">
        <v>2072</v>
      </c>
      <c r="BA4" s="37" t="n">
        <v>2073</v>
      </c>
      <c r="BB4" s="37" t="n">
        <v>2074</v>
      </c>
      <c r="BC4" s="37" t="n">
        <v>2075</v>
      </c>
      <c r="BD4" s="37" t="n">
        <v>2076</v>
      </c>
      <c r="BE4" s="37" t="n">
        <v>2077</v>
      </c>
      <c r="BF4" s="37" t="n">
        <v>2078</v>
      </c>
      <c r="BG4" s="37" t="n">
        <v>2079</v>
      </c>
      <c r="BH4" s="37" t="n">
        <v>2080</v>
      </c>
      <c r="BI4" s="37" t="n">
        <v>2081</v>
      </c>
      <c r="BJ4" s="37" t="n">
        <v>2082</v>
      </c>
      <c r="BK4" s="37" t="n">
        <v>2083</v>
      </c>
      <c r="BL4" s="37" t="n">
        <v>2084</v>
      </c>
      <c r="BM4" s="37" t="n">
        <v>2085</v>
      </c>
      <c r="BN4" s="37" t="n">
        <v>2086</v>
      </c>
      <c r="BO4" s="37" t="n">
        <v>2087</v>
      </c>
      <c r="BP4" s="37" t="n">
        <v>2088</v>
      </c>
      <c r="BQ4" s="37" t="n">
        <v>2089</v>
      </c>
      <c r="BR4" s="37" t="n">
        <v>2090</v>
      </c>
      <c r="BS4" s="37" t="n">
        <v>2091</v>
      </c>
      <c r="BT4" s="37" t="n">
        <v>2092</v>
      </c>
      <c r="BU4" s="37" t="n">
        <v>2093</v>
      </c>
      <c r="BV4" s="37" t="n">
        <v>2094</v>
      </c>
      <c r="BW4" s="37" t="n">
        <v>2095</v>
      </c>
      <c r="BX4" s="37" t="n">
        <v>2096</v>
      </c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</row>
    <row r="6" customFormat="false" ht="15" hidden="false" customHeight="false" outlineLevel="0" collapsed="false">
      <c r="A6" s="1"/>
      <c r="B6" s="13" t="s">
        <v>274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</row>
    <row r="7" customFormat="false" ht="15" hidden="false" customHeight="false" outlineLevel="0" collapsed="false">
      <c r="A7" s="1"/>
      <c r="B7" s="8" t="s">
        <v>275</v>
      </c>
      <c r="C7" s="1"/>
      <c r="D7" s="9" t="n">
        <f aca="false">Input!$H$52</f>
        <v>300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</row>
    <row r="8" customFormat="false" ht="15" hidden="false" customHeight="false" outlineLevel="0" collapsed="false">
      <c r="A8" s="1"/>
      <c r="B8" s="8" t="s">
        <v>276</v>
      </c>
      <c r="C8" s="1"/>
      <c r="D8" s="9" t="n">
        <f aca="false">Input!$H$53</f>
        <v>38000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</row>
    <row r="9" customFormat="false" ht="15" hidden="false" customHeight="false" outlineLevel="0" collapsed="false">
      <c r="A9" s="1"/>
      <c r="B9" s="8" t="s">
        <v>277</v>
      </c>
      <c r="C9" s="1"/>
      <c r="D9" s="38" t="n">
        <f aca="false">Input!$H$54</f>
        <v>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</row>
    <row r="10" customFormat="false" ht="15" hidden="false" customHeight="false" outlineLevel="0" collapsed="false">
      <c r="A10" s="1"/>
      <c r="B10" s="8" t="s">
        <v>278</v>
      </c>
      <c r="C10" s="1"/>
      <c r="D10" s="38" t="n">
        <f aca="false">Input!$H$55</f>
        <v>2035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</row>
    <row r="11" customFormat="false" ht="15" hidden="false" customHeight="false" outlineLevel="0" collapsed="false">
      <c r="A11" s="1"/>
      <c r="B11" s="8" t="s">
        <v>279</v>
      </c>
      <c r="C11" s="1"/>
      <c r="D11" s="38" t="n">
        <f aca="false">Input!$H$56</f>
        <v>60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</row>
    <row r="12" customFormat="false" ht="15" hidden="false" customHeight="false" outlineLevel="0" collapsed="false">
      <c r="A12" s="1"/>
      <c r="B12" s="8" t="s">
        <v>280</v>
      </c>
      <c r="C12" s="1"/>
      <c r="D12" s="39" t="n">
        <f aca="false">$D$10-$D$9</f>
        <v>2030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</row>
    <row r="13" customFormat="false" ht="15" hidden="false" customHeight="false" outlineLevel="0" collapsed="false">
      <c r="A13" s="1"/>
      <c r="B13" s="8" t="s">
        <v>281</v>
      </c>
      <c r="C13" s="1"/>
      <c r="D13" s="10" t="n">
        <f aca="false">Input!$H$15</f>
        <v>0.05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</row>
    <row r="14" customFormat="false" ht="15" hidden="false" customHeight="false" outlineLevel="0" collapsed="false">
      <c r="A14" s="1"/>
      <c r="B14" s="8" t="s">
        <v>282</v>
      </c>
      <c r="C14" s="1"/>
      <c r="D14" s="9" t="n">
        <f aca="false">Input!$H$60</f>
        <v>520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</row>
    <row r="15" customFormat="false" ht="15" hidden="false" customHeight="false" outlineLevel="0" collapsed="false">
      <c r="A15" s="1"/>
      <c r="B15" s="8" t="s">
        <v>283</v>
      </c>
      <c r="C15" s="1"/>
      <c r="D15" s="40" t="n">
        <f aca="false">Input!$H$66</f>
        <v>11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</row>
    <row r="16" customFormat="false" ht="15" hidden="false" customHeight="false" outlineLevel="0" collapsed="false">
      <c r="A16" s="1"/>
      <c r="B16" s="8" t="s">
        <v>57</v>
      </c>
      <c r="C16" s="1"/>
      <c r="D16" s="41" t="n">
        <f aca="false">Input!$H$10</f>
        <v>4.3633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</row>
    <row r="17" customFormat="false" ht="15" hidden="false" customHeight="false" outlineLevel="0" collapsed="false">
      <c r="A17" s="1"/>
      <c r="B17" s="8" t="s">
        <v>215</v>
      </c>
      <c r="C17" s="1"/>
      <c r="D17" s="10" t="n">
        <f aca="false">Input!$H$141</f>
        <v>0.19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</row>
    <row r="18" customFormat="false" ht="15" hidden="false" customHeight="false" outlineLevel="0" collapsed="false">
      <c r="A18" s="1"/>
      <c r="B18" s="8" t="s">
        <v>284</v>
      </c>
      <c r="C18" s="1"/>
      <c r="D18" s="42" t="n">
        <f aca="false">Input!$H$31</f>
        <v>0.005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</row>
    <row r="19" customFormat="false" ht="15" hidden="false" customHeight="false" outlineLevel="0" collapsed="false">
      <c r="A19" s="1"/>
      <c r="B19" s="8" t="s">
        <v>285</v>
      </c>
      <c r="C19" s="1"/>
      <c r="D19" s="9" t="n">
        <f aca="false">Input!$H$63</f>
        <v>180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</row>
    <row r="20" customFormat="false" ht="15" hidden="false" customHeight="false" outlineLevel="0" collapsed="false">
      <c r="A20" s="1"/>
      <c r="B20" s="8" t="s">
        <v>286</v>
      </c>
      <c r="C20" s="1"/>
      <c r="D20" s="9" t="n">
        <f aca="false">Input!$H$64</f>
        <v>290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</row>
    <row r="21" customFormat="false" ht="15" hidden="false" customHeight="false" outlineLevel="0" collapsed="false">
      <c r="A21" s="1"/>
      <c r="B21" s="8" t="s">
        <v>287</v>
      </c>
      <c r="C21" s="1"/>
      <c r="D21" s="10" t="n">
        <f aca="false">Input!$H$69</f>
        <v>0.2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</row>
    <row r="22" customFormat="false" ht="15" hidden="false" customHeight="false" outlineLevel="0" collapsed="false">
      <c r="A22" s="1"/>
      <c r="B22" s="8" t="s">
        <v>288</v>
      </c>
      <c r="C22" s="1"/>
      <c r="D22" s="43" t="n">
        <f aca="false">0.02</f>
        <v>0.02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</row>
    <row r="23" customFormat="false" ht="15" hidden="false" customHeight="false" outlineLevel="0" collapsed="false">
      <c r="A23" s="1"/>
      <c r="B23" s="8" t="s">
        <v>155</v>
      </c>
      <c r="C23" s="1"/>
      <c r="D23" s="43" t="n">
        <f aca="false">Input!$H$70</f>
        <v>0.5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</row>
    <row r="24" customFormat="false" ht="15" hidden="false" customHeight="false" outlineLevel="0" collapsed="false">
      <c r="A24" s="1"/>
      <c r="B24" s="4" t="s">
        <v>289</v>
      </c>
      <c r="C24" s="1"/>
      <c r="D24" s="44" t="n">
        <f aca="false">$D$8*$D$7*1000/1000000</f>
        <v>11400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</row>
    <row r="25" customFormat="false" ht="15" hidden="false" customHeight="false" outlineLevel="0" collapsed="false">
      <c r="A25" s="1"/>
      <c r="B25" s="8" t="s">
        <v>290</v>
      </c>
      <c r="C25" s="1"/>
      <c r="D25" s="40" t="n">
        <f aca="false">Input!$H$65</f>
        <v>31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</row>
    <row r="26" customFormat="false" ht="15" hidden="false" customHeight="false" outlineLevel="0" collapsed="false">
      <c r="A26" s="1"/>
      <c r="B26" s="8" t="s">
        <v>291</v>
      </c>
      <c r="C26" s="1"/>
      <c r="D26" s="40" t="n">
        <f aca="false">Input!$H$67</f>
        <v>26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</row>
    <row r="27" customFormat="false" ht="15" hidden="false" customHeight="false" outlineLevel="0" collapsed="false">
      <c r="A27" s="1"/>
      <c r="B27" s="8" t="s">
        <v>292</v>
      </c>
      <c r="C27" s="1"/>
      <c r="D27" s="40" t="n">
        <f aca="false">Input!$H$68</f>
        <v>25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</row>
    <row r="28" customFormat="false" ht="15" hidden="false" customHeight="false" outlineLevel="0" collapsed="false">
      <c r="A28" s="1"/>
      <c r="B28" s="8" t="s">
        <v>293</v>
      </c>
      <c r="C28" s="1"/>
      <c r="D28" s="9" t="n">
        <f aca="false">Input!$H$57</f>
        <v>500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</row>
    <row r="29" customFormat="false" ht="15" hidden="false" customHeight="false" outlineLevel="0" collapsed="false">
      <c r="A29" s="1"/>
      <c r="B29" s="8" t="s">
        <v>294</v>
      </c>
      <c r="C29" s="1"/>
      <c r="D29" s="9" t="n">
        <f aca="false">Input!$H$58</f>
        <v>550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</row>
    <row r="30" customFormat="false" ht="15" hidden="false" customHeight="false" outlineLevel="0" collapsed="false">
      <c r="A30" s="1"/>
      <c r="B30" s="8" t="s">
        <v>295</v>
      </c>
      <c r="C30" s="1"/>
      <c r="D30" s="9" t="n">
        <f aca="false">Input!$H$59</f>
        <v>125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</row>
    <row r="31" customFormat="false" ht="15" hidden="false" customHeight="false" outlineLevel="0" collapsed="false">
      <c r="A31" s="1"/>
      <c r="B31" s="8" t="s">
        <v>296</v>
      </c>
      <c r="C31" s="1"/>
      <c r="D31" s="45" t="n">
        <f aca="false">Input!$H$61</f>
        <v>1.5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</row>
    <row r="32" customFormat="false" ht="15" hidden="false" customHeight="false" outlineLevel="0" collapsed="false">
      <c r="A32" s="1"/>
      <c r="B32" s="8" t="s">
        <v>297</v>
      </c>
      <c r="C32" s="1"/>
      <c r="D32" s="38" t="n">
        <f aca="false">Input!$H$62</f>
        <v>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</row>
    <row r="33" customFormat="false" ht="15" hidden="false" customHeight="false" outlineLevel="0" collapsed="false">
      <c r="A33" s="1"/>
      <c r="B33" s="8" t="s">
        <v>298</v>
      </c>
      <c r="C33" s="1"/>
      <c r="D33" s="10" t="n">
        <f aca="false">Input!$H$71</f>
        <v>0.012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</row>
    <row r="34" customFormat="false" ht="15" hidden="false" customHeight="false" outlineLevel="0" collapsed="false">
      <c r="A34" s="1"/>
      <c r="B34" s="8" t="s">
        <v>159</v>
      </c>
      <c r="C34" s="1"/>
      <c r="D34" s="10" t="n">
        <f aca="false">Input!$H$72</f>
        <v>0.01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</row>
    <row r="35" customFormat="false" ht="15" hidden="false" customHeight="false" outlineLevel="0" collapsed="false">
      <c r="A35" s="1"/>
      <c r="B35" s="8" t="s">
        <v>299</v>
      </c>
      <c r="C35" s="1"/>
      <c r="D35" s="41" t="n">
        <f aca="false">Input!$H$25</f>
        <v>0.9383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</row>
    <row r="36" customFormat="false" ht="15" hidden="false" customHeight="false" outlineLevel="0" collapsed="false">
      <c r="A36" s="1"/>
      <c r="B36" s="8" t="s">
        <v>300</v>
      </c>
      <c r="C36" s="1"/>
      <c r="D36" s="9" t="n">
        <f aca="false">Input!$H$75</f>
        <v>1500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</row>
    <row r="37" customFormat="false" ht="15" hidden="false" customHeight="false" outlineLevel="0" collapsed="false">
      <c r="A37" s="1"/>
      <c r="B37" s="8" t="s">
        <v>405</v>
      </c>
      <c r="C37" s="1"/>
      <c r="D37" s="40" t="n">
        <f aca="false">Input!$H$22</f>
        <v>483.39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</row>
    <row r="38" customFormat="false" ht="15" hidden="false" customHeight="false" outlineLevel="0" collapsed="false">
      <c r="A38" s="1"/>
      <c r="B38" s="8" t="s">
        <v>304</v>
      </c>
      <c r="C38" s="1"/>
      <c r="D38" s="9" t="n">
        <f aca="false">Input!$H$23</f>
        <v>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</row>
    <row r="39" customFormat="false" ht="15" hidden="false" customHeight="false" outlineLevel="0" collapsed="false">
      <c r="A39" s="1"/>
      <c r="B39" s="8" t="s">
        <v>305</v>
      </c>
      <c r="C39" s="1"/>
      <c r="D39" s="38" t="n">
        <f aca="false">Input!$H$24</f>
        <v>17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</row>
    <row r="41" customFormat="false" ht="15" hidden="false" customHeight="false" outlineLevel="0" collapsed="false">
      <c r="A41" s="1"/>
      <c r="B41" s="13" t="s">
        <v>306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</row>
    <row r="42" customFormat="false" ht="15" hidden="false" customHeight="false" outlineLevel="0" collapsed="false">
      <c r="A42" s="1"/>
      <c r="B42" s="8" t="s">
        <v>307</v>
      </c>
      <c r="C42" s="8" t="s">
        <v>308</v>
      </c>
      <c r="D42" s="1"/>
      <c r="E42" s="1"/>
      <c r="F42" s="1"/>
      <c r="G42" s="39" t="n">
        <f aca="false">IF(AND(G$4&gt;=$D$12,G$4&lt;$D$10),1,0)</f>
        <v>0</v>
      </c>
      <c r="H42" s="39" t="n">
        <f aca="false">IF(AND(H$4&gt;=$D$12,H$4&lt;$D$10),1,0)</f>
        <v>0</v>
      </c>
      <c r="I42" s="39" t="n">
        <f aca="false">IF(AND(I$4&gt;=$D$12,I$4&lt;$D$10),1,0)</f>
        <v>0</v>
      </c>
      <c r="J42" s="39" t="n">
        <f aca="false">IF(AND(J$4&gt;=$D$12,J$4&lt;$D$10),1,0)</f>
        <v>1</v>
      </c>
      <c r="K42" s="39" t="n">
        <f aca="false">IF(AND(K$4&gt;=$D$12,K$4&lt;$D$10),1,0)</f>
        <v>1</v>
      </c>
      <c r="L42" s="39" t="n">
        <f aca="false">IF(AND(L$4&gt;=$D$12,L$4&lt;$D$10),1,0)</f>
        <v>1</v>
      </c>
      <c r="M42" s="39" t="n">
        <f aca="false">IF(AND(M$4&gt;=$D$12,M$4&lt;$D$10),1,0)</f>
        <v>1</v>
      </c>
      <c r="N42" s="39" t="n">
        <f aca="false">IF(AND(N$4&gt;=$D$12,N$4&lt;$D$10),1,0)</f>
        <v>1</v>
      </c>
      <c r="O42" s="39" t="n">
        <f aca="false">IF(AND(O$4&gt;=$D$12,O$4&lt;$D$10),1,0)</f>
        <v>0</v>
      </c>
      <c r="P42" s="39" t="n">
        <f aca="false">IF(AND(P$4&gt;=$D$12,P$4&lt;$D$10),1,0)</f>
        <v>0</v>
      </c>
      <c r="Q42" s="39" t="n">
        <f aca="false">IF(AND(Q$4&gt;=$D$12,Q$4&lt;$D$10),1,0)</f>
        <v>0</v>
      </c>
      <c r="R42" s="39" t="n">
        <f aca="false">IF(AND(R$4&gt;=$D$12,R$4&lt;$D$10),1,0)</f>
        <v>0</v>
      </c>
      <c r="S42" s="39" t="n">
        <f aca="false">IF(AND(S$4&gt;=$D$12,S$4&lt;$D$10),1,0)</f>
        <v>0</v>
      </c>
      <c r="T42" s="39" t="n">
        <f aca="false">IF(AND(T$4&gt;=$D$12,T$4&lt;$D$10),1,0)</f>
        <v>0</v>
      </c>
      <c r="U42" s="39" t="n">
        <f aca="false">IF(AND(U$4&gt;=$D$12,U$4&lt;$D$10),1,0)</f>
        <v>0</v>
      </c>
      <c r="V42" s="39" t="n">
        <f aca="false">IF(AND(V$4&gt;=$D$12,V$4&lt;$D$10),1,0)</f>
        <v>0</v>
      </c>
      <c r="W42" s="39" t="n">
        <f aca="false">IF(AND(W$4&gt;=$D$12,W$4&lt;$D$10),1,0)</f>
        <v>0</v>
      </c>
      <c r="X42" s="39" t="n">
        <f aca="false">IF(AND(X$4&gt;=$D$12,X$4&lt;$D$10),1,0)</f>
        <v>0</v>
      </c>
      <c r="Y42" s="39" t="n">
        <f aca="false">IF(AND(Y$4&gt;=$D$12,Y$4&lt;$D$10),1,0)</f>
        <v>0</v>
      </c>
      <c r="Z42" s="39" t="n">
        <f aca="false">IF(AND(Z$4&gt;=$D$12,Z$4&lt;$D$10),1,0)</f>
        <v>0</v>
      </c>
      <c r="AA42" s="39" t="n">
        <f aca="false">IF(AND(AA$4&gt;=$D$12,AA$4&lt;$D$10),1,0)</f>
        <v>0</v>
      </c>
      <c r="AB42" s="39" t="n">
        <f aca="false">IF(AND(AB$4&gt;=$D$12,AB$4&lt;$D$10),1,0)</f>
        <v>0</v>
      </c>
      <c r="AC42" s="39" t="n">
        <f aca="false">IF(AND(AC$4&gt;=$D$12,AC$4&lt;$D$10),1,0)</f>
        <v>0</v>
      </c>
      <c r="AD42" s="39" t="n">
        <f aca="false">IF(AND(AD$4&gt;=$D$12,AD$4&lt;$D$10),1,0)</f>
        <v>0</v>
      </c>
      <c r="AE42" s="39" t="n">
        <f aca="false">IF(AND(AE$4&gt;=$D$12,AE$4&lt;$D$10),1,0)</f>
        <v>0</v>
      </c>
      <c r="AF42" s="39" t="n">
        <f aca="false">IF(AND(AF$4&gt;=$D$12,AF$4&lt;$D$10),1,0)</f>
        <v>0</v>
      </c>
      <c r="AG42" s="39" t="n">
        <f aca="false">IF(AND(AG$4&gt;=$D$12,AG$4&lt;$D$10),1,0)</f>
        <v>0</v>
      </c>
      <c r="AH42" s="39" t="n">
        <f aca="false">IF(AND(AH$4&gt;=$D$12,AH$4&lt;$D$10),1,0)</f>
        <v>0</v>
      </c>
      <c r="AI42" s="39" t="n">
        <f aca="false">IF(AND(AI$4&gt;=$D$12,AI$4&lt;$D$10),1,0)</f>
        <v>0</v>
      </c>
      <c r="AJ42" s="39" t="n">
        <f aca="false">IF(AND(AJ$4&gt;=$D$12,AJ$4&lt;$D$10),1,0)</f>
        <v>0</v>
      </c>
      <c r="AK42" s="39" t="n">
        <f aca="false">IF(AND(AK$4&gt;=$D$12,AK$4&lt;$D$10),1,0)</f>
        <v>0</v>
      </c>
      <c r="AL42" s="39" t="n">
        <f aca="false">IF(AND(AL$4&gt;=$D$12,AL$4&lt;$D$10),1,0)</f>
        <v>0</v>
      </c>
      <c r="AM42" s="39" t="n">
        <f aca="false">IF(AND(AM$4&gt;=$D$12,AM$4&lt;$D$10),1,0)</f>
        <v>0</v>
      </c>
      <c r="AN42" s="39" t="n">
        <f aca="false">IF(AND(AN$4&gt;=$D$12,AN$4&lt;$D$10),1,0)</f>
        <v>0</v>
      </c>
      <c r="AO42" s="39" t="n">
        <f aca="false">IF(AND(AO$4&gt;=$D$12,AO$4&lt;$D$10),1,0)</f>
        <v>0</v>
      </c>
      <c r="AP42" s="39" t="n">
        <f aca="false">IF(AND(AP$4&gt;=$D$12,AP$4&lt;$D$10),1,0)</f>
        <v>0</v>
      </c>
      <c r="AQ42" s="39" t="n">
        <f aca="false">IF(AND(AQ$4&gt;=$D$12,AQ$4&lt;$D$10),1,0)</f>
        <v>0</v>
      </c>
      <c r="AR42" s="39" t="n">
        <f aca="false">IF(AND(AR$4&gt;=$D$12,AR$4&lt;$D$10),1,0)</f>
        <v>0</v>
      </c>
      <c r="AS42" s="39" t="n">
        <f aca="false">IF(AND(AS$4&gt;=$D$12,AS$4&lt;$D$10),1,0)</f>
        <v>0</v>
      </c>
      <c r="AT42" s="39" t="n">
        <f aca="false">IF(AND(AT$4&gt;=$D$12,AT$4&lt;$D$10),1,0)</f>
        <v>0</v>
      </c>
      <c r="AU42" s="39" t="n">
        <f aca="false">IF(AND(AU$4&gt;=$D$12,AU$4&lt;$D$10),1,0)</f>
        <v>0</v>
      </c>
      <c r="AV42" s="39" t="n">
        <f aca="false">IF(AND(AV$4&gt;=$D$12,AV$4&lt;$D$10),1,0)</f>
        <v>0</v>
      </c>
      <c r="AW42" s="39" t="n">
        <f aca="false">IF(AND(AW$4&gt;=$D$12,AW$4&lt;$D$10),1,0)</f>
        <v>0</v>
      </c>
      <c r="AX42" s="39" t="n">
        <f aca="false">IF(AND(AX$4&gt;=$D$12,AX$4&lt;$D$10),1,0)</f>
        <v>0</v>
      </c>
      <c r="AY42" s="39" t="n">
        <f aca="false">IF(AND(AY$4&gt;=$D$12,AY$4&lt;$D$10),1,0)</f>
        <v>0</v>
      </c>
      <c r="AZ42" s="39" t="n">
        <f aca="false">IF(AND(AZ$4&gt;=$D$12,AZ$4&lt;$D$10),1,0)</f>
        <v>0</v>
      </c>
      <c r="BA42" s="39" t="n">
        <f aca="false">IF(AND(BA$4&gt;=$D$12,BA$4&lt;$D$10),1,0)</f>
        <v>0</v>
      </c>
      <c r="BB42" s="39" t="n">
        <f aca="false">IF(AND(BB$4&gt;=$D$12,BB$4&lt;$D$10),1,0)</f>
        <v>0</v>
      </c>
      <c r="BC42" s="39" t="n">
        <f aca="false">IF(AND(BC$4&gt;=$D$12,BC$4&lt;$D$10),1,0)</f>
        <v>0</v>
      </c>
      <c r="BD42" s="39" t="n">
        <f aca="false">IF(AND(BD$4&gt;=$D$12,BD$4&lt;$D$10),1,0)</f>
        <v>0</v>
      </c>
      <c r="BE42" s="39" t="n">
        <f aca="false">IF(AND(BE$4&gt;=$D$12,BE$4&lt;$D$10),1,0)</f>
        <v>0</v>
      </c>
      <c r="BF42" s="39" t="n">
        <f aca="false">IF(AND(BF$4&gt;=$D$12,BF$4&lt;$D$10),1,0)</f>
        <v>0</v>
      </c>
      <c r="BG42" s="39" t="n">
        <f aca="false">IF(AND(BG$4&gt;=$D$12,BG$4&lt;$D$10),1,0)</f>
        <v>0</v>
      </c>
      <c r="BH42" s="39" t="n">
        <f aca="false">IF(AND(BH$4&gt;=$D$12,BH$4&lt;$D$10),1,0)</f>
        <v>0</v>
      </c>
      <c r="BI42" s="39" t="n">
        <f aca="false">IF(AND(BI$4&gt;=$D$12,BI$4&lt;$D$10),1,0)</f>
        <v>0</v>
      </c>
      <c r="BJ42" s="39" t="n">
        <f aca="false">IF(AND(BJ$4&gt;=$D$12,BJ$4&lt;$D$10),1,0)</f>
        <v>0</v>
      </c>
      <c r="BK42" s="39" t="n">
        <f aca="false">IF(AND(BK$4&gt;=$D$12,BK$4&lt;$D$10),1,0)</f>
        <v>0</v>
      </c>
      <c r="BL42" s="39" t="n">
        <f aca="false">IF(AND(BL$4&gt;=$D$12,BL$4&lt;$D$10),1,0)</f>
        <v>0</v>
      </c>
      <c r="BM42" s="39" t="n">
        <f aca="false">IF(AND(BM$4&gt;=$D$12,BM$4&lt;$D$10),1,0)</f>
        <v>0</v>
      </c>
      <c r="BN42" s="39" t="n">
        <f aca="false">IF(AND(BN$4&gt;=$D$12,BN$4&lt;$D$10),1,0)</f>
        <v>0</v>
      </c>
      <c r="BO42" s="39" t="n">
        <f aca="false">IF(AND(BO$4&gt;=$D$12,BO$4&lt;$D$10),1,0)</f>
        <v>0</v>
      </c>
      <c r="BP42" s="39" t="n">
        <f aca="false">IF(AND(BP$4&gt;=$D$12,BP$4&lt;$D$10),1,0)</f>
        <v>0</v>
      </c>
      <c r="BQ42" s="39" t="n">
        <f aca="false">IF(AND(BQ$4&gt;=$D$12,BQ$4&lt;$D$10),1,0)</f>
        <v>0</v>
      </c>
      <c r="BR42" s="39" t="n">
        <f aca="false">IF(AND(BR$4&gt;=$D$12,BR$4&lt;$D$10),1,0)</f>
        <v>0</v>
      </c>
      <c r="BS42" s="39" t="n">
        <f aca="false">IF(AND(BS$4&gt;=$D$12,BS$4&lt;$D$10),1,0)</f>
        <v>0</v>
      </c>
      <c r="BT42" s="39" t="n">
        <f aca="false">IF(AND(BT$4&gt;=$D$12,BT$4&lt;$D$10),1,0)</f>
        <v>0</v>
      </c>
      <c r="BU42" s="39" t="n">
        <f aca="false">IF(AND(BU$4&gt;=$D$12,BU$4&lt;$D$10),1,0)</f>
        <v>0</v>
      </c>
      <c r="BV42" s="39" t="n">
        <f aca="false">IF(AND(BV$4&gt;=$D$12,BV$4&lt;$D$10),1,0)</f>
        <v>0</v>
      </c>
      <c r="BW42" s="39" t="n">
        <f aca="false">IF(AND(BW$4&gt;=$D$12,BW$4&lt;$D$10),1,0)</f>
        <v>0</v>
      </c>
      <c r="BX42" s="39" t="n">
        <f aca="false">IF(AND(BX$4&gt;=$D$12,BX$4&lt;$D$10),1,0)</f>
        <v>0</v>
      </c>
    </row>
    <row r="43" customFormat="false" ht="15" hidden="false" customHeight="false" outlineLevel="0" collapsed="false">
      <c r="A43" s="1"/>
      <c r="B43" s="8" t="s">
        <v>309</v>
      </c>
      <c r="C43" s="8" t="s">
        <v>308</v>
      </c>
      <c r="D43" s="1"/>
      <c r="E43" s="1"/>
      <c r="F43" s="1"/>
      <c r="G43" s="39" t="n">
        <f aca="false">IF(AND(G$4&gt;=$D$10,G$4&lt;$D$10+$D$11),1,0)</f>
        <v>0</v>
      </c>
      <c r="H43" s="39" t="n">
        <f aca="false">IF(AND(H$4&gt;=$D$10,H$4&lt;$D$10+$D$11),1,0)</f>
        <v>0</v>
      </c>
      <c r="I43" s="39" t="n">
        <f aca="false">IF(AND(I$4&gt;=$D$10,I$4&lt;$D$10+$D$11),1,0)</f>
        <v>0</v>
      </c>
      <c r="J43" s="39" t="n">
        <f aca="false">IF(AND(J$4&gt;=$D$10,J$4&lt;$D$10+$D$11),1,0)</f>
        <v>0</v>
      </c>
      <c r="K43" s="39" t="n">
        <f aca="false">IF(AND(K$4&gt;=$D$10,K$4&lt;$D$10+$D$11),1,0)</f>
        <v>0</v>
      </c>
      <c r="L43" s="39" t="n">
        <f aca="false">IF(AND(L$4&gt;=$D$10,L$4&lt;$D$10+$D$11),1,0)</f>
        <v>0</v>
      </c>
      <c r="M43" s="39" t="n">
        <f aca="false">IF(AND(M$4&gt;=$D$10,M$4&lt;$D$10+$D$11),1,0)</f>
        <v>0</v>
      </c>
      <c r="N43" s="39" t="n">
        <f aca="false">IF(AND(N$4&gt;=$D$10,N$4&lt;$D$10+$D$11),1,0)</f>
        <v>0</v>
      </c>
      <c r="O43" s="39" t="n">
        <f aca="false">IF(AND(O$4&gt;=$D$10,O$4&lt;$D$10+$D$11),1,0)</f>
        <v>1</v>
      </c>
      <c r="P43" s="39" t="n">
        <f aca="false">IF(AND(P$4&gt;=$D$10,P$4&lt;$D$10+$D$11),1,0)</f>
        <v>1</v>
      </c>
      <c r="Q43" s="39" t="n">
        <f aca="false">IF(AND(Q$4&gt;=$D$10,Q$4&lt;$D$10+$D$11),1,0)</f>
        <v>1</v>
      </c>
      <c r="R43" s="39" t="n">
        <f aca="false">IF(AND(R$4&gt;=$D$10,R$4&lt;$D$10+$D$11),1,0)</f>
        <v>1</v>
      </c>
      <c r="S43" s="39" t="n">
        <f aca="false">IF(AND(S$4&gt;=$D$10,S$4&lt;$D$10+$D$11),1,0)</f>
        <v>1</v>
      </c>
      <c r="T43" s="39" t="n">
        <f aca="false">IF(AND(T$4&gt;=$D$10,T$4&lt;$D$10+$D$11),1,0)</f>
        <v>1</v>
      </c>
      <c r="U43" s="39" t="n">
        <f aca="false">IF(AND(U$4&gt;=$D$10,U$4&lt;$D$10+$D$11),1,0)</f>
        <v>1</v>
      </c>
      <c r="V43" s="39" t="n">
        <f aca="false">IF(AND(V$4&gt;=$D$10,V$4&lt;$D$10+$D$11),1,0)</f>
        <v>1</v>
      </c>
      <c r="W43" s="39" t="n">
        <f aca="false">IF(AND(W$4&gt;=$D$10,W$4&lt;$D$10+$D$11),1,0)</f>
        <v>1</v>
      </c>
      <c r="X43" s="39" t="n">
        <f aca="false">IF(AND(X$4&gt;=$D$10,X$4&lt;$D$10+$D$11),1,0)</f>
        <v>1</v>
      </c>
      <c r="Y43" s="39" t="n">
        <f aca="false">IF(AND(Y$4&gt;=$D$10,Y$4&lt;$D$10+$D$11),1,0)</f>
        <v>1</v>
      </c>
      <c r="Z43" s="39" t="n">
        <f aca="false">IF(AND(Z$4&gt;=$D$10,Z$4&lt;$D$10+$D$11),1,0)</f>
        <v>1</v>
      </c>
      <c r="AA43" s="39" t="n">
        <f aca="false">IF(AND(AA$4&gt;=$D$10,AA$4&lt;$D$10+$D$11),1,0)</f>
        <v>1</v>
      </c>
      <c r="AB43" s="39" t="n">
        <f aca="false">IF(AND(AB$4&gt;=$D$10,AB$4&lt;$D$10+$D$11),1,0)</f>
        <v>1</v>
      </c>
      <c r="AC43" s="39" t="n">
        <f aca="false">IF(AND(AC$4&gt;=$D$10,AC$4&lt;$D$10+$D$11),1,0)</f>
        <v>1</v>
      </c>
      <c r="AD43" s="39" t="n">
        <f aca="false">IF(AND(AD$4&gt;=$D$10,AD$4&lt;$D$10+$D$11),1,0)</f>
        <v>1</v>
      </c>
      <c r="AE43" s="39" t="n">
        <f aca="false">IF(AND(AE$4&gt;=$D$10,AE$4&lt;$D$10+$D$11),1,0)</f>
        <v>1</v>
      </c>
      <c r="AF43" s="39" t="n">
        <f aca="false">IF(AND(AF$4&gt;=$D$10,AF$4&lt;$D$10+$D$11),1,0)</f>
        <v>1</v>
      </c>
      <c r="AG43" s="39" t="n">
        <f aca="false">IF(AND(AG$4&gt;=$D$10,AG$4&lt;$D$10+$D$11),1,0)</f>
        <v>1</v>
      </c>
      <c r="AH43" s="39" t="n">
        <f aca="false">IF(AND(AH$4&gt;=$D$10,AH$4&lt;$D$10+$D$11),1,0)</f>
        <v>1</v>
      </c>
      <c r="AI43" s="39" t="n">
        <f aca="false">IF(AND(AI$4&gt;=$D$10,AI$4&lt;$D$10+$D$11),1,0)</f>
        <v>1</v>
      </c>
      <c r="AJ43" s="39" t="n">
        <f aca="false">IF(AND(AJ$4&gt;=$D$10,AJ$4&lt;$D$10+$D$11),1,0)</f>
        <v>1</v>
      </c>
      <c r="AK43" s="39" t="n">
        <f aca="false">IF(AND(AK$4&gt;=$D$10,AK$4&lt;$D$10+$D$11),1,0)</f>
        <v>1</v>
      </c>
      <c r="AL43" s="39" t="n">
        <f aca="false">IF(AND(AL$4&gt;=$D$10,AL$4&lt;$D$10+$D$11),1,0)</f>
        <v>1</v>
      </c>
      <c r="AM43" s="39" t="n">
        <f aca="false">IF(AND(AM$4&gt;=$D$10,AM$4&lt;$D$10+$D$11),1,0)</f>
        <v>1</v>
      </c>
      <c r="AN43" s="39" t="n">
        <f aca="false">IF(AND(AN$4&gt;=$D$10,AN$4&lt;$D$10+$D$11),1,0)</f>
        <v>1</v>
      </c>
      <c r="AO43" s="39" t="n">
        <f aca="false">IF(AND(AO$4&gt;=$D$10,AO$4&lt;$D$10+$D$11),1,0)</f>
        <v>1</v>
      </c>
      <c r="AP43" s="39" t="n">
        <f aca="false">IF(AND(AP$4&gt;=$D$10,AP$4&lt;$D$10+$D$11),1,0)</f>
        <v>1</v>
      </c>
      <c r="AQ43" s="39" t="n">
        <f aca="false">IF(AND(AQ$4&gt;=$D$10,AQ$4&lt;$D$10+$D$11),1,0)</f>
        <v>1</v>
      </c>
      <c r="AR43" s="39" t="n">
        <f aca="false">IF(AND(AR$4&gt;=$D$10,AR$4&lt;$D$10+$D$11),1,0)</f>
        <v>1</v>
      </c>
      <c r="AS43" s="39" t="n">
        <f aca="false">IF(AND(AS$4&gt;=$D$10,AS$4&lt;$D$10+$D$11),1,0)</f>
        <v>1</v>
      </c>
      <c r="AT43" s="39" t="n">
        <f aca="false">IF(AND(AT$4&gt;=$D$10,AT$4&lt;$D$10+$D$11),1,0)</f>
        <v>1</v>
      </c>
      <c r="AU43" s="39" t="n">
        <f aca="false">IF(AND(AU$4&gt;=$D$10,AU$4&lt;$D$10+$D$11),1,0)</f>
        <v>1</v>
      </c>
      <c r="AV43" s="39" t="n">
        <f aca="false">IF(AND(AV$4&gt;=$D$10,AV$4&lt;$D$10+$D$11),1,0)</f>
        <v>1</v>
      </c>
      <c r="AW43" s="39" t="n">
        <f aca="false">IF(AND(AW$4&gt;=$D$10,AW$4&lt;$D$10+$D$11),1,0)</f>
        <v>1</v>
      </c>
      <c r="AX43" s="39" t="n">
        <f aca="false">IF(AND(AX$4&gt;=$D$10,AX$4&lt;$D$10+$D$11),1,0)</f>
        <v>1</v>
      </c>
      <c r="AY43" s="39" t="n">
        <f aca="false">IF(AND(AY$4&gt;=$D$10,AY$4&lt;$D$10+$D$11),1,0)</f>
        <v>1</v>
      </c>
      <c r="AZ43" s="39" t="n">
        <f aca="false">IF(AND(AZ$4&gt;=$D$10,AZ$4&lt;$D$10+$D$11),1,0)</f>
        <v>1</v>
      </c>
      <c r="BA43" s="39" t="n">
        <f aca="false">IF(AND(BA$4&gt;=$D$10,BA$4&lt;$D$10+$D$11),1,0)</f>
        <v>1</v>
      </c>
      <c r="BB43" s="39" t="n">
        <f aca="false">IF(AND(BB$4&gt;=$D$10,BB$4&lt;$D$10+$D$11),1,0)</f>
        <v>1</v>
      </c>
      <c r="BC43" s="39" t="n">
        <f aca="false">IF(AND(BC$4&gt;=$D$10,BC$4&lt;$D$10+$D$11),1,0)</f>
        <v>1</v>
      </c>
      <c r="BD43" s="39" t="n">
        <f aca="false">IF(AND(BD$4&gt;=$D$10,BD$4&lt;$D$10+$D$11),1,0)</f>
        <v>1</v>
      </c>
      <c r="BE43" s="39" t="n">
        <f aca="false">IF(AND(BE$4&gt;=$D$10,BE$4&lt;$D$10+$D$11),1,0)</f>
        <v>1</v>
      </c>
      <c r="BF43" s="39" t="n">
        <f aca="false">IF(AND(BF$4&gt;=$D$10,BF$4&lt;$D$10+$D$11),1,0)</f>
        <v>1</v>
      </c>
      <c r="BG43" s="39" t="n">
        <f aca="false">IF(AND(BG$4&gt;=$D$10,BG$4&lt;$D$10+$D$11),1,0)</f>
        <v>1</v>
      </c>
      <c r="BH43" s="39" t="n">
        <f aca="false">IF(AND(BH$4&gt;=$D$10,BH$4&lt;$D$10+$D$11),1,0)</f>
        <v>1</v>
      </c>
      <c r="BI43" s="39" t="n">
        <f aca="false">IF(AND(BI$4&gt;=$D$10,BI$4&lt;$D$10+$D$11),1,0)</f>
        <v>1</v>
      </c>
      <c r="BJ43" s="39" t="n">
        <f aca="false">IF(AND(BJ$4&gt;=$D$10,BJ$4&lt;$D$10+$D$11),1,0)</f>
        <v>1</v>
      </c>
      <c r="BK43" s="39" t="n">
        <f aca="false">IF(AND(BK$4&gt;=$D$10,BK$4&lt;$D$10+$D$11),1,0)</f>
        <v>1</v>
      </c>
      <c r="BL43" s="39" t="n">
        <f aca="false">IF(AND(BL$4&gt;=$D$10,BL$4&lt;$D$10+$D$11),1,0)</f>
        <v>1</v>
      </c>
      <c r="BM43" s="39" t="n">
        <f aca="false">IF(AND(BM$4&gt;=$D$10,BM$4&lt;$D$10+$D$11),1,0)</f>
        <v>1</v>
      </c>
      <c r="BN43" s="39" t="n">
        <f aca="false">IF(AND(BN$4&gt;=$D$10,BN$4&lt;$D$10+$D$11),1,0)</f>
        <v>1</v>
      </c>
      <c r="BO43" s="39" t="n">
        <f aca="false">IF(AND(BO$4&gt;=$D$10,BO$4&lt;$D$10+$D$11),1,0)</f>
        <v>1</v>
      </c>
      <c r="BP43" s="39" t="n">
        <f aca="false">IF(AND(BP$4&gt;=$D$10,BP$4&lt;$D$10+$D$11),1,0)</f>
        <v>1</v>
      </c>
      <c r="BQ43" s="39" t="n">
        <f aca="false">IF(AND(BQ$4&gt;=$D$10,BQ$4&lt;$D$10+$D$11),1,0)</f>
        <v>1</v>
      </c>
      <c r="BR43" s="39" t="n">
        <f aca="false">IF(AND(BR$4&gt;=$D$10,BR$4&lt;$D$10+$D$11),1,0)</f>
        <v>1</v>
      </c>
      <c r="BS43" s="39" t="n">
        <f aca="false">IF(AND(BS$4&gt;=$D$10,BS$4&lt;$D$10+$D$11),1,0)</f>
        <v>1</v>
      </c>
      <c r="BT43" s="39" t="n">
        <f aca="false">IF(AND(BT$4&gt;=$D$10,BT$4&lt;$D$10+$D$11),1,0)</f>
        <v>1</v>
      </c>
      <c r="BU43" s="39" t="n">
        <f aca="false">IF(AND(BU$4&gt;=$D$10,BU$4&lt;$D$10+$D$11),1,0)</f>
        <v>1</v>
      </c>
      <c r="BV43" s="39" t="n">
        <f aca="false">IF(AND(BV$4&gt;=$D$10,BV$4&lt;$D$10+$D$11),1,0)</f>
        <v>1</v>
      </c>
      <c r="BW43" s="39" t="n">
        <f aca="false">IF(AND(BW$4&gt;=$D$10,BW$4&lt;$D$10+$D$11),1,0)</f>
        <v>0</v>
      </c>
      <c r="BX43" s="39" t="n">
        <f aca="false">IF(AND(BX$4&gt;=$D$10,BX$4&lt;$D$10+$D$11),1,0)</f>
        <v>0</v>
      </c>
    </row>
    <row r="44" customFormat="false" ht="15" hidden="false" customHeight="false" outlineLevel="0" collapsed="false">
      <c r="A44" s="1"/>
      <c r="B44" s="8" t="s">
        <v>310</v>
      </c>
      <c r="C44" s="8" t="s">
        <v>46</v>
      </c>
      <c r="D44" s="1"/>
      <c r="E44" s="1"/>
      <c r="F44" s="1"/>
      <c r="G44" s="39" t="n">
        <f aca="false">IF(G43=1,G$4-$D$10+1,0)</f>
        <v>0</v>
      </c>
      <c r="H44" s="39" t="n">
        <f aca="false">IF(H43=1,H$4-$D$10+1,0)</f>
        <v>0</v>
      </c>
      <c r="I44" s="39" t="n">
        <f aca="false">IF(I43=1,I$4-$D$10+1,0)</f>
        <v>0</v>
      </c>
      <c r="J44" s="39" t="n">
        <f aca="false">IF(J43=1,J$4-$D$10+1,0)</f>
        <v>0</v>
      </c>
      <c r="K44" s="39" t="n">
        <f aca="false">IF(K43=1,K$4-$D$10+1,0)</f>
        <v>0</v>
      </c>
      <c r="L44" s="39" t="n">
        <f aca="false">IF(L43=1,L$4-$D$10+1,0)</f>
        <v>0</v>
      </c>
      <c r="M44" s="39" t="n">
        <f aca="false">IF(M43=1,M$4-$D$10+1,0)</f>
        <v>0</v>
      </c>
      <c r="N44" s="39" t="n">
        <f aca="false">IF(N43=1,N$4-$D$10+1,0)</f>
        <v>0</v>
      </c>
      <c r="O44" s="39" t="n">
        <f aca="false">IF(O43=1,O$4-$D$10+1,0)</f>
        <v>1</v>
      </c>
      <c r="P44" s="39" t="n">
        <f aca="false">IF(P43=1,P$4-$D$10+1,0)</f>
        <v>2</v>
      </c>
      <c r="Q44" s="39" t="n">
        <f aca="false">IF(Q43=1,Q$4-$D$10+1,0)</f>
        <v>3</v>
      </c>
      <c r="R44" s="39" t="n">
        <f aca="false">IF(R43=1,R$4-$D$10+1,0)</f>
        <v>4</v>
      </c>
      <c r="S44" s="39" t="n">
        <f aca="false">IF(S43=1,S$4-$D$10+1,0)</f>
        <v>5</v>
      </c>
      <c r="T44" s="39" t="n">
        <f aca="false">IF(T43=1,T$4-$D$10+1,0)</f>
        <v>6</v>
      </c>
      <c r="U44" s="39" t="n">
        <f aca="false">IF(U43=1,U$4-$D$10+1,0)</f>
        <v>7</v>
      </c>
      <c r="V44" s="39" t="n">
        <f aca="false">IF(V43=1,V$4-$D$10+1,0)</f>
        <v>8</v>
      </c>
      <c r="W44" s="39" t="n">
        <f aca="false">IF(W43=1,W$4-$D$10+1,0)</f>
        <v>9</v>
      </c>
      <c r="X44" s="39" t="n">
        <f aca="false">IF(X43=1,X$4-$D$10+1,0)</f>
        <v>10</v>
      </c>
      <c r="Y44" s="39" t="n">
        <f aca="false">IF(Y43=1,Y$4-$D$10+1,0)</f>
        <v>11</v>
      </c>
      <c r="Z44" s="39" t="n">
        <f aca="false">IF(Z43=1,Z$4-$D$10+1,0)</f>
        <v>12</v>
      </c>
      <c r="AA44" s="39" t="n">
        <f aca="false">IF(AA43=1,AA$4-$D$10+1,0)</f>
        <v>13</v>
      </c>
      <c r="AB44" s="39" t="n">
        <f aca="false">IF(AB43=1,AB$4-$D$10+1,0)</f>
        <v>14</v>
      </c>
      <c r="AC44" s="39" t="n">
        <f aca="false">IF(AC43=1,AC$4-$D$10+1,0)</f>
        <v>15</v>
      </c>
      <c r="AD44" s="39" t="n">
        <f aca="false">IF(AD43=1,AD$4-$D$10+1,0)</f>
        <v>16</v>
      </c>
      <c r="AE44" s="39" t="n">
        <f aca="false">IF(AE43=1,AE$4-$D$10+1,0)</f>
        <v>17</v>
      </c>
      <c r="AF44" s="39" t="n">
        <f aca="false">IF(AF43=1,AF$4-$D$10+1,0)</f>
        <v>18</v>
      </c>
      <c r="AG44" s="39" t="n">
        <f aca="false">IF(AG43=1,AG$4-$D$10+1,0)</f>
        <v>19</v>
      </c>
      <c r="AH44" s="39" t="n">
        <f aca="false">IF(AH43=1,AH$4-$D$10+1,0)</f>
        <v>20</v>
      </c>
      <c r="AI44" s="39" t="n">
        <f aca="false">IF(AI43=1,AI$4-$D$10+1,0)</f>
        <v>21</v>
      </c>
      <c r="AJ44" s="39" t="n">
        <f aca="false">IF(AJ43=1,AJ$4-$D$10+1,0)</f>
        <v>22</v>
      </c>
      <c r="AK44" s="39" t="n">
        <f aca="false">IF(AK43=1,AK$4-$D$10+1,0)</f>
        <v>23</v>
      </c>
      <c r="AL44" s="39" t="n">
        <f aca="false">IF(AL43=1,AL$4-$D$10+1,0)</f>
        <v>24</v>
      </c>
      <c r="AM44" s="39" t="n">
        <f aca="false">IF(AM43=1,AM$4-$D$10+1,0)</f>
        <v>25</v>
      </c>
      <c r="AN44" s="39" t="n">
        <f aca="false">IF(AN43=1,AN$4-$D$10+1,0)</f>
        <v>26</v>
      </c>
      <c r="AO44" s="39" t="n">
        <f aca="false">IF(AO43=1,AO$4-$D$10+1,0)</f>
        <v>27</v>
      </c>
      <c r="AP44" s="39" t="n">
        <f aca="false">IF(AP43=1,AP$4-$D$10+1,0)</f>
        <v>28</v>
      </c>
      <c r="AQ44" s="39" t="n">
        <f aca="false">IF(AQ43=1,AQ$4-$D$10+1,0)</f>
        <v>29</v>
      </c>
      <c r="AR44" s="39" t="n">
        <f aca="false">IF(AR43=1,AR$4-$D$10+1,0)</f>
        <v>30</v>
      </c>
      <c r="AS44" s="39" t="n">
        <f aca="false">IF(AS43=1,AS$4-$D$10+1,0)</f>
        <v>31</v>
      </c>
      <c r="AT44" s="39" t="n">
        <f aca="false">IF(AT43=1,AT$4-$D$10+1,0)</f>
        <v>32</v>
      </c>
      <c r="AU44" s="39" t="n">
        <f aca="false">IF(AU43=1,AU$4-$D$10+1,0)</f>
        <v>33</v>
      </c>
      <c r="AV44" s="39" t="n">
        <f aca="false">IF(AV43=1,AV$4-$D$10+1,0)</f>
        <v>34</v>
      </c>
      <c r="AW44" s="39" t="n">
        <f aca="false">IF(AW43=1,AW$4-$D$10+1,0)</f>
        <v>35</v>
      </c>
      <c r="AX44" s="39" t="n">
        <f aca="false">IF(AX43=1,AX$4-$D$10+1,0)</f>
        <v>36</v>
      </c>
      <c r="AY44" s="39" t="n">
        <f aca="false">IF(AY43=1,AY$4-$D$10+1,0)</f>
        <v>37</v>
      </c>
      <c r="AZ44" s="39" t="n">
        <f aca="false">IF(AZ43=1,AZ$4-$D$10+1,0)</f>
        <v>38</v>
      </c>
      <c r="BA44" s="39" t="n">
        <f aca="false">IF(BA43=1,BA$4-$D$10+1,0)</f>
        <v>39</v>
      </c>
      <c r="BB44" s="39" t="n">
        <f aca="false">IF(BB43=1,BB$4-$D$10+1,0)</f>
        <v>40</v>
      </c>
      <c r="BC44" s="39" t="n">
        <f aca="false">IF(BC43=1,BC$4-$D$10+1,0)</f>
        <v>41</v>
      </c>
      <c r="BD44" s="39" t="n">
        <f aca="false">IF(BD43=1,BD$4-$D$10+1,0)</f>
        <v>42</v>
      </c>
      <c r="BE44" s="39" t="n">
        <f aca="false">IF(BE43=1,BE$4-$D$10+1,0)</f>
        <v>43</v>
      </c>
      <c r="BF44" s="39" t="n">
        <f aca="false">IF(BF43=1,BF$4-$D$10+1,0)</f>
        <v>44</v>
      </c>
      <c r="BG44" s="39" t="n">
        <f aca="false">IF(BG43=1,BG$4-$D$10+1,0)</f>
        <v>45</v>
      </c>
      <c r="BH44" s="39" t="n">
        <f aca="false">IF(BH43=1,BH$4-$D$10+1,0)</f>
        <v>46</v>
      </c>
      <c r="BI44" s="39" t="n">
        <f aca="false">IF(BI43=1,BI$4-$D$10+1,0)</f>
        <v>47</v>
      </c>
      <c r="BJ44" s="39" t="n">
        <f aca="false">IF(BJ43=1,BJ$4-$D$10+1,0)</f>
        <v>48</v>
      </c>
      <c r="BK44" s="39" t="n">
        <f aca="false">IF(BK43=1,BK$4-$D$10+1,0)</f>
        <v>49</v>
      </c>
      <c r="BL44" s="39" t="n">
        <f aca="false">IF(BL43=1,BL$4-$D$10+1,0)</f>
        <v>50</v>
      </c>
      <c r="BM44" s="39" t="n">
        <f aca="false">IF(BM43=1,BM$4-$D$10+1,0)</f>
        <v>51</v>
      </c>
      <c r="BN44" s="39" t="n">
        <f aca="false">IF(BN43=1,BN$4-$D$10+1,0)</f>
        <v>52</v>
      </c>
      <c r="BO44" s="39" t="n">
        <f aca="false">IF(BO43=1,BO$4-$D$10+1,0)</f>
        <v>53</v>
      </c>
      <c r="BP44" s="39" t="n">
        <f aca="false">IF(BP43=1,BP$4-$D$10+1,0)</f>
        <v>54</v>
      </c>
      <c r="BQ44" s="39" t="n">
        <f aca="false">IF(BQ43=1,BQ$4-$D$10+1,0)</f>
        <v>55</v>
      </c>
      <c r="BR44" s="39" t="n">
        <f aca="false">IF(BR43=1,BR$4-$D$10+1,0)</f>
        <v>56</v>
      </c>
      <c r="BS44" s="39" t="n">
        <f aca="false">IF(BS43=1,BS$4-$D$10+1,0)</f>
        <v>57</v>
      </c>
      <c r="BT44" s="39" t="n">
        <f aca="false">IF(BT43=1,BT$4-$D$10+1,0)</f>
        <v>58</v>
      </c>
      <c r="BU44" s="39" t="n">
        <f aca="false">IF(BU43=1,BU$4-$D$10+1,0)</f>
        <v>59</v>
      </c>
      <c r="BV44" s="39" t="n">
        <f aca="false">IF(BV43=1,BV$4-$D$10+1,0)</f>
        <v>60</v>
      </c>
      <c r="BW44" s="39" t="n">
        <f aca="false">IF(BW43=1,BW$4-$D$10+1,0)</f>
        <v>0</v>
      </c>
      <c r="BX44" s="39" t="n">
        <f aca="false">IF(BX43=1,BX$4-$D$10+1,0)</f>
        <v>0</v>
      </c>
    </row>
    <row r="45" customFormat="false" ht="15" hidden="false" customHeight="false" outlineLevel="0" collapsed="false">
      <c r="A45" s="1"/>
      <c r="B45" s="8" t="s">
        <v>311</v>
      </c>
      <c r="C45" s="8" t="s">
        <v>46</v>
      </c>
      <c r="D45" s="1"/>
      <c r="E45" s="1"/>
      <c r="F45" s="1"/>
      <c r="G45" s="39" t="n">
        <f aca="false">G$4-$D$12</f>
        <v>-3</v>
      </c>
      <c r="H45" s="39" t="n">
        <f aca="false">H$4-$D$12</f>
        <v>-2</v>
      </c>
      <c r="I45" s="39" t="n">
        <f aca="false">I$4-$D$12</f>
        <v>-1</v>
      </c>
      <c r="J45" s="39" t="n">
        <f aca="false">J$4-$D$12</f>
        <v>0</v>
      </c>
      <c r="K45" s="39" t="n">
        <f aca="false">K$4-$D$12</f>
        <v>1</v>
      </c>
      <c r="L45" s="39" t="n">
        <f aca="false">L$4-$D$12</f>
        <v>2</v>
      </c>
      <c r="M45" s="39" t="n">
        <f aca="false">M$4-$D$12</f>
        <v>3</v>
      </c>
      <c r="N45" s="39" t="n">
        <f aca="false">N$4-$D$12</f>
        <v>4</v>
      </c>
      <c r="O45" s="39" t="n">
        <f aca="false">O$4-$D$12</f>
        <v>5</v>
      </c>
      <c r="P45" s="39" t="n">
        <f aca="false">P$4-$D$12</f>
        <v>6</v>
      </c>
      <c r="Q45" s="39" t="n">
        <f aca="false">Q$4-$D$12</f>
        <v>7</v>
      </c>
      <c r="R45" s="39" t="n">
        <f aca="false">R$4-$D$12</f>
        <v>8</v>
      </c>
      <c r="S45" s="39" t="n">
        <f aca="false">S$4-$D$12</f>
        <v>9</v>
      </c>
      <c r="T45" s="39" t="n">
        <f aca="false">T$4-$D$12</f>
        <v>10</v>
      </c>
      <c r="U45" s="39" t="n">
        <f aca="false">U$4-$D$12</f>
        <v>11</v>
      </c>
      <c r="V45" s="39" t="n">
        <f aca="false">V$4-$D$12</f>
        <v>12</v>
      </c>
      <c r="W45" s="39" t="n">
        <f aca="false">W$4-$D$12</f>
        <v>13</v>
      </c>
      <c r="X45" s="39" t="n">
        <f aca="false">X$4-$D$12</f>
        <v>14</v>
      </c>
      <c r="Y45" s="39" t="n">
        <f aca="false">Y$4-$D$12</f>
        <v>15</v>
      </c>
      <c r="Z45" s="39" t="n">
        <f aca="false">Z$4-$D$12</f>
        <v>16</v>
      </c>
      <c r="AA45" s="39" t="n">
        <f aca="false">AA$4-$D$12</f>
        <v>17</v>
      </c>
      <c r="AB45" s="39" t="n">
        <f aca="false">AB$4-$D$12</f>
        <v>18</v>
      </c>
      <c r="AC45" s="39" t="n">
        <f aca="false">AC$4-$D$12</f>
        <v>19</v>
      </c>
      <c r="AD45" s="39" t="n">
        <f aca="false">AD$4-$D$12</f>
        <v>20</v>
      </c>
      <c r="AE45" s="39" t="n">
        <f aca="false">AE$4-$D$12</f>
        <v>21</v>
      </c>
      <c r="AF45" s="39" t="n">
        <f aca="false">AF$4-$D$12</f>
        <v>22</v>
      </c>
      <c r="AG45" s="39" t="n">
        <f aca="false">AG$4-$D$12</f>
        <v>23</v>
      </c>
      <c r="AH45" s="39" t="n">
        <f aca="false">AH$4-$D$12</f>
        <v>24</v>
      </c>
      <c r="AI45" s="39" t="n">
        <f aca="false">AI$4-$D$12</f>
        <v>25</v>
      </c>
      <c r="AJ45" s="39" t="n">
        <f aca="false">AJ$4-$D$12</f>
        <v>26</v>
      </c>
      <c r="AK45" s="39" t="n">
        <f aca="false">AK$4-$D$12</f>
        <v>27</v>
      </c>
      <c r="AL45" s="39" t="n">
        <f aca="false">AL$4-$D$12</f>
        <v>28</v>
      </c>
      <c r="AM45" s="39" t="n">
        <f aca="false">AM$4-$D$12</f>
        <v>29</v>
      </c>
      <c r="AN45" s="39" t="n">
        <f aca="false">AN$4-$D$12</f>
        <v>30</v>
      </c>
      <c r="AO45" s="39" t="n">
        <f aca="false">AO$4-$D$12</f>
        <v>31</v>
      </c>
      <c r="AP45" s="39" t="n">
        <f aca="false">AP$4-$D$12</f>
        <v>32</v>
      </c>
      <c r="AQ45" s="39" t="n">
        <f aca="false">AQ$4-$D$12</f>
        <v>33</v>
      </c>
      <c r="AR45" s="39" t="n">
        <f aca="false">AR$4-$D$12</f>
        <v>34</v>
      </c>
      <c r="AS45" s="39" t="n">
        <f aca="false">AS$4-$D$12</f>
        <v>35</v>
      </c>
      <c r="AT45" s="39" t="n">
        <f aca="false">AT$4-$D$12</f>
        <v>36</v>
      </c>
      <c r="AU45" s="39" t="n">
        <f aca="false">AU$4-$D$12</f>
        <v>37</v>
      </c>
      <c r="AV45" s="39" t="n">
        <f aca="false">AV$4-$D$12</f>
        <v>38</v>
      </c>
      <c r="AW45" s="39" t="n">
        <f aca="false">AW$4-$D$12</f>
        <v>39</v>
      </c>
      <c r="AX45" s="39" t="n">
        <f aca="false">AX$4-$D$12</f>
        <v>40</v>
      </c>
      <c r="AY45" s="39" t="n">
        <f aca="false">AY$4-$D$12</f>
        <v>41</v>
      </c>
      <c r="AZ45" s="39" t="n">
        <f aca="false">AZ$4-$D$12</f>
        <v>42</v>
      </c>
      <c r="BA45" s="39" t="n">
        <f aca="false">BA$4-$D$12</f>
        <v>43</v>
      </c>
      <c r="BB45" s="39" t="n">
        <f aca="false">BB$4-$D$12</f>
        <v>44</v>
      </c>
      <c r="BC45" s="39" t="n">
        <f aca="false">BC$4-$D$12</f>
        <v>45</v>
      </c>
      <c r="BD45" s="39" t="n">
        <f aca="false">BD$4-$D$12</f>
        <v>46</v>
      </c>
      <c r="BE45" s="39" t="n">
        <f aca="false">BE$4-$D$12</f>
        <v>47</v>
      </c>
      <c r="BF45" s="39" t="n">
        <f aca="false">BF$4-$D$12</f>
        <v>48</v>
      </c>
      <c r="BG45" s="39" t="n">
        <f aca="false">BG$4-$D$12</f>
        <v>49</v>
      </c>
      <c r="BH45" s="39" t="n">
        <f aca="false">BH$4-$D$12</f>
        <v>50</v>
      </c>
      <c r="BI45" s="39" t="n">
        <f aca="false">BI$4-$D$12</f>
        <v>51</v>
      </c>
      <c r="BJ45" s="39" t="n">
        <f aca="false">BJ$4-$D$12</f>
        <v>52</v>
      </c>
      <c r="BK45" s="39" t="n">
        <f aca="false">BK$4-$D$12</f>
        <v>53</v>
      </c>
      <c r="BL45" s="39" t="n">
        <f aca="false">BL$4-$D$12</f>
        <v>54</v>
      </c>
      <c r="BM45" s="39" t="n">
        <f aca="false">BM$4-$D$12</f>
        <v>55</v>
      </c>
      <c r="BN45" s="39" t="n">
        <f aca="false">BN$4-$D$12</f>
        <v>56</v>
      </c>
      <c r="BO45" s="39" t="n">
        <f aca="false">BO$4-$D$12</f>
        <v>57</v>
      </c>
      <c r="BP45" s="39" t="n">
        <f aca="false">BP$4-$D$12</f>
        <v>58</v>
      </c>
      <c r="BQ45" s="39" t="n">
        <f aca="false">BQ$4-$D$12</f>
        <v>59</v>
      </c>
      <c r="BR45" s="39" t="n">
        <f aca="false">BR$4-$D$12</f>
        <v>60</v>
      </c>
      <c r="BS45" s="39" t="n">
        <f aca="false">BS$4-$D$12</f>
        <v>61</v>
      </c>
      <c r="BT45" s="39" t="n">
        <f aca="false">BT$4-$D$12</f>
        <v>62</v>
      </c>
      <c r="BU45" s="39" t="n">
        <f aca="false">BU$4-$D$12</f>
        <v>63</v>
      </c>
      <c r="BV45" s="39" t="n">
        <f aca="false">BV$4-$D$12</f>
        <v>64</v>
      </c>
      <c r="BW45" s="39" t="n">
        <f aca="false">BW$4-$D$12</f>
        <v>65</v>
      </c>
      <c r="BX45" s="39" t="n">
        <f aca="false">BX$4-$D$12</f>
        <v>66</v>
      </c>
    </row>
    <row r="46" customFormat="false" ht="15" hidden="false" customHeight="false" outlineLevel="0" collapsed="false">
      <c r="A46" s="1"/>
      <c r="B46" s="8" t="s">
        <v>312</v>
      </c>
      <c r="C46" s="8" t="s">
        <v>46</v>
      </c>
      <c r="D46" s="1"/>
      <c r="E46" s="1"/>
      <c r="F46" s="1"/>
      <c r="G46" s="47" t="n">
        <f aca="false">IF(G$4&gt;=$D$12,1/(1+$D$13)^G45,0)</f>
        <v>0</v>
      </c>
      <c r="H46" s="47" t="n">
        <f aca="false">IF(H$4&gt;=$D$12,1/(1+$D$13)^H45,0)</f>
        <v>0</v>
      </c>
      <c r="I46" s="47" t="n">
        <f aca="false">IF(I$4&gt;=$D$12,1/(1+$D$13)^I45,0)</f>
        <v>0</v>
      </c>
      <c r="J46" s="47" t="n">
        <f aca="false">IF(J$4&gt;=$D$12,1/(1+$D$13)^J45,0)</f>
        <v>1</v>
      </c>
      <c r="K46" s="47" t="n">
        <f aca="false">IF(K$4&gt;=$D$12,1/(1+$D$13)^K45,0)</f>
        <v>0.952380952380952</v>
      </c>
      <c r="L46" s="47" t="n">
        <f aca="false">IF(L$4&gt;=$D$12,1/(1+$D$13)^L45,0)</f>
        <v>0.90702947845805</v>
      </c>
      <c r="M46" s="47" t="n">
        <f aca="false">IF(M$4&gt;=$D$12,1/(1+$D$13)^M45,0)</f>
        <v>0.863837598531476</v>
      </c>
      <c r="N46" s="47" t="n">
        <f aca="false">IF(N$4&gt;=$D$12,1/(1+$D$13)^N45,0)</f>
        <v>0.822702474791882</v>
      </c>
      <c r="O46" s="47" t="n">
        <f aca="false">IF(O$4&gt;=$D$12,1/(1+$D$13)^O45,0)</f>
        <v>0.783526166468459</v>
      </c>
      <c r="P46" s="47" t="n">
        <f aca="false">IF(P$4&gt;=$D$12,1/(1+$D$13)^P45,0)</f>
        <v>0.746215396636627</v>
      </c>
      <c r="Q46" s="47" t="n">
        <f aca="false">IF(Q$4&gt;=$D$12,1/(1+$D$13)^Q45,0)</f>
        <v>0.710681330130121</v>
      </c>
      <c r="R46" s="47" t="n">
        <f aca="false">IF(R$4&gt;=$D$12,1/(1+$D$13)^R45,0)</f>
        <v>0.676839362028687</v>
      </c>
      <c r="S46" s="47" t="n">
        <f aca="false">IF(S$4&gt;=$D$12,1/(1+$D$13)^S45,0)</f>
        <v>0.644608916217797</v>
      </c>
      <c r="T46" s="47" t="n">
        <f aca="false">IF(T$4&gt;=$D$12,1/(1+$D$13)^T45,0)</f>
        <v>0.613913253540759</v>
      </c>
      <c r="U46" s="47" t="n">
        <f aca="false">IF(U$4&gt;=$D$12,1/(1+$D$13)^U45,0)</f>
        <v>0.584679289086437</v>
      </c>
      <c r="V46" s="47" t="n">
        <f aca="false">IF(V$4&gt;=$D$12,1/(1+$D$13)^V45,0)</f>
        <v>0.556837418177559</v>
      </c>
      <c r="W46" s="47" t="n">
        <f aca="false">IF(W$4&gt;=$D$12,1/(1+$D$13)^W45,0)</f>
        <v>0.530321350645295</v>
      </c>
      <c r="X46" s="47" t="n">
        <f aca="false">IF(X$4&gt;=$D$12,1/(1+$D$13)^X45,0)</f>
        <v>0.505067952995519</v>
      </c>
      <c r="Y46" s="47" t="n">
        <f aca="false">IF(Y$4&gt;=$D$12,1/(1+$D$13)^Y45,0)</f>
        <v>0.48101709809097</v>
      </c>
      <c r="Z46" s="47" t="n">
        <f aca="false">IF(Z$4&gt;=$D$12,1/(1+$D$13)^Z45,0)</f>
        <v>0.4581115219914</v>
      </c>
      <c r="AA46" s="47" t="n">
        <f aca="false">IF(AA$4&gt;=$D$12,1/(1+$D$13)^AA45,0)</f>
        <v>0.436296687610857</v>
      </c>
      <c r="AB46" s="47" t="n">
        <f aca="false">IF(AB$4&gt;=$D$12,1/(1+$D$13)^AB45,0)</f>
        <v>0.415520654867483</v>
      </c>
      <c r="AC46" s="47" t="n">
        <f aca="false">IF(AC$4&gt;=$D$12,1/(1+$D$13)^AC45,0)</f>
        <v>0.39573395701665</v>
      </c>
      <c r="AD46" s="47" t="n">
        <f aca="false">IF(AD$4&gt;=$D$12,1/(1+$D$13)^AD45,0)</f>
        <v>0.376889482873</v>
      </c>
      <c r="AE46" s="47" t="n">
        <f aca="false">IF(AE$4&gt;=$D$12,1/(1+$D$13)^AE45,0)</f>
        <v>0.358942364640953</v>
      </c>
      <c r="AF46" s="47" t="n">
        <f aca="false">IF(AF$4&gt;=$D$12,1/(1+$D$13)^AF45,0)</f>
        <v>0.341849871086622</v>
      </c>
      <c r="AG46" s="47" t="n">
        <f aca="false">IF(AG$4&gt;=$D$12,1/(1+$D$13)^AG45,0)</f>
        <v>0.325571305796783</v>
      </c>
      <c r="AH46" s="47" t="n">
        <f aca="false">IF(AH$4&gt;=$D$12,1/(1+$D$13)^AH45,0)</f>
        <v>0.31006791028265</v>
      </c>
      <c r="AI46" s="47" t="n">
        <f aca="false">IF(AI$4&gt;=$D$12,1/(1+$D$13)^AI45,0)</f>
        <v>0.295302771697762</v>
      </c>
      <c r="AJ46" s="47" t="n">
        <f aca="false">IF(AJ$4&gt;=$D$12,1/(1+$D$13)^AJ45,0)</f>
        <v>0.281240734950249</v>
      </c>
      <c r="AK46" s="47" t="n">
        <f aca="false">IF(AK$4&gt;=$D$12,1/(1+$D$13)^AK45,0)</f>
        <v>0.267848319000238</v>
      </c>
      <c r="AL46" s="47" t="n">
        <f aca="false">IF(AL$4&gt;=$D$12,1/(1+$D$13)^AL45,0)</f>
        <v>0.255093637143083</v>
      </c>
      <c r="AM46" s="47" t="n">
        <f aca="false">IF(AM$4&gt;=$D$12,1/(1+$D$13)^AM45,0)</f>
        <v>0.242946321088651</v>
      </c>
      <c r="AN46" s="47" t="n">
        <f aca="false">IF(AN$4&gt;=$D$12,1/(1+$D$13)^AN45,0)</f>
        <v>0.231377448655858</v>
      </c>
      <c r="AO46" s="47" t="n">
        <f aca="false">IF(AO$4&gt;=$D$12,1/(1+$D$13)^AO45,0)</f>
        <v>0.220359474910341</v>
      </c>
      <c r="AP46" s="47" t="n">
        <f aca="false">IF(AP$4&gt;=$D$12,1/(1+$D$13)^AP45,0)</f>
        <v>0.209866166581277</v>
      </c>
      <c r="AQ46" s="47" t="n">
        <f aca="false">IF(AQ$4&gt;=$D$12,1/(1+$D$13)^AQ45,0)</f>
        <v>0.199872539601216</v>
      </c>
      <c r="AR46" s="47" t="n">
        <f aca="false">IF(AR$4&gt;=$D$12,1/(1+$D$13)^AR45,0)</f>
        <v>0.190354799620206</v>
      </c>
      <c r="AS46" s="47" t="n">
        <f aca="false">IF(AS$4&gt;=$D$12,1/(1+$D$13)^AS45,0)</f>
        <v>0.181290285352577</v>
      </c>
      <c r="AT46" s="47" t="n">
        <f aca="false">IF(AT$4&gt;=$D$12,1/(1+$D$13)^AT45,0)</f>
        <v>0.172657414621502</v>
      </c>
      <c r="AU46" s="47" t="n">
        <f aca="false">IF(AU$4&gt;=$D$12,1/(1+$D$13)^AU45,0)</f>
        <v>0.164435632972859</v>
      </c>
      <c r="AV46" s="47" t="n">
        <f aca="false">IF(AV$4&gt;=$D$12,1/(1+$D$13)^AV45,0)</f>
        <v>0.156605364736056</v>
      </c>
      <c r="AW46" s="47" t="n">
        <f aca="false">IF(AW$4&gt;=$D$12,1/(1+$D$13)^AW45,0)</f>
        <v>0.149147966415292</v>
      </c>
      <c r="AX46" s="47" t="n">
        <f aca="false">IF(AX$4&gt;=$D$12,1/(1+$D$13)^AX45,0)</f>
        <v>0.142045682300278</v>
      </c>
      <c r="AY46" s="47" t="n">
        <f aca="false">IF(AY$4&gt;=$D$12,1/(1+$D$13)^AY45,0)</f>
        <v>0.135281602190741</v>
      </c>
      <c r="AZ46" s="47" t="n">
        <f aca="false">IF(AZ$4&gt;=$D$12,1/(1+$D$13)^AZ45,0)</f>
        <v>0.128839621134039</v>
      </c>
      <c r="BA46" s="47" t="n">
        <f aca="false">IF(BA$4&gt;=$D$12,1/(1+$D$13)^BA45,0)</f>
        <v>0.122704401080037</v>
      </c>
      <c r="BB46" s="47" t="n">
        <f aca="false">IF(BB$4&gt;=$D$12,1/(1+$D$13)^BB45,0)</f>
        <v>0.11686133436194</v>
      </c>
      <c r="BC46" s="47" t="n">
        <f aca="false">IF(BC$4&gt;=$D$12,1/(1+$D$13)^BC45,0)</f>
        <v>0.111296508916133</v>
      </c>
      <c r="BD46" s="47" t="n">
        <f aca="false">IF(BD$4&gt;=$D$12,1/(1+$D$13)^BD45,0)</f>
        <v>0.105996675158222</v>
      </c>
      <c r="BE46" s="47" t="n">
        <f aca="false">IF(BE$4&gt;=$D$12,1/(1+$D$13)^BE45,0)</f>
        <v>0.100949214436402</v>
      </c>
      <c r="BF46" s="47" t="n">
        <f aca="false">IF(BF$4&gt;=$D$12,1/(1+$D$13)^BF45,0)</f>
        <v>0.0961421089870495</v>
      </c>
      <c r="BG46" s="47" t="n">
        <f aca="false">IF(BG$4&gt;=$D$12,1/(1+$D$13)^BG45,0)</f>
        <v>0.0915639133209995</v>
      </c>
      <c r="BH46" s="47" t="n">
        <f aca="false">IF(BH$4&gt;=$D$12,1/(1+$D$13)^BH45,0)</f>
        <v>0.0872037269723805</v>
      </c>
      <c r="BI46" s="47" t="n">
        <f aca="false">IF(BI$4&gt;=$D$12,1/(1+$D$13)^BI45,0)</f>
        <v>0.0830511685451243</v>
      </c>
      <c r="BJ46" s="47" t="n">
        <f aca="false">IF(BJ$4&gt;=$D$12,1/(1+$D$13)^BJ45,0)</f>
        <v>0.0790963509953564</v>
      </c>
      <c r="BK46" s="47" t="n">
        <f aca="false">IF(BK$4&gt;=$D$12,1/(1+$D$13)^BK45,0)</f>
        <v>0.0753298580908157</v>
      </c>
      <c r="BL46" s="47" t="n">
        <f aca="false">IF(BL$4&gt;=$D$12,1/(1+$D$13)^BL45,0)</f>
        <v>0.071742721991253</v>
      </c>
      <c r="BM46" s="47" t="n">
        <f aca="false">IF(BM$4&gt;=$D$12,1/(1+$D$13)^BM45,0)</f>
        <v>0.0683264018964314</v>
      </c>
      <c r="BN46" s="47" t="n">
        <f aca="false">IF(BN$4&gt;=$D$12,1/(1+$D$13)^BN45,0)</f>
        <v>0.0650727637108871</v>
      </c>
      <c r="BO46" s="47" t="n">
        <f aca="false">IF(BO$4&gt;=$D$12,1/(1+$D$13)^BO45,0)</f>
        <v>0.0619740606770353</v>
      </c>
      <c r="BP46" s="47" t="n">
        <f aca="false">IF(BP$4&gt;=$D$12,1/(1+$D$13)^BP45,0)</f>
        <v>0.0590229149305098</v>
      </c>
      <c r="BQ46" s="47" t="n">
        <f aca="false">IF(BQ$4&gt;=$D$12,1/(1+$D$13)^BQ45,0)</f>
        <v>0.0562122999338189</v>
      </c>
      <c r="BR46" s="47" t="n">
        <f aca="false">IF(BR$4&gt;=$D$12,1/(1+$D$13)^BR45,0)</f>
        <v>0.0535355237464941</v>
      </c>
      <c r="BS46" s="47" t="n">
        <f aca="false">IF(BS$4&gt;=$D$12,1/(1+$D$13)^BS45,0)</f>
        <v>0.0509862130918992</v>
      </c>
      <c r="BT46" s="47" t="n">
        <f aca="false">IF(BT$4&gt;=$D$12,1/(1+$D$13)^BT45,0)</f>
        <v>0.0485582981827611</v>
      </c>
      <c r="BU46" s="47" t="n">
        <f aca="false">IF(BU$4&gt;=$D$12,1/(1+$D$13)^BU45,0)</f>
        <v>0.0462459982692963</v>
      </c>
      <c r="BV46" s="47" t="n">
        <f aca="false">IF(BV$4&gt;=$D$12,1/(1+$D$13)^BV45,0)</f>
        <v>0.0440438078755203</v>
      </c>
      <c r="BW46" s="47" t="n">
        <f aca="false">IF(BW$4&gt;=$D$12,1/(1+$D$13)^BW45,0)</f>
        <v>0.0419464836909717</v>
      </c>
      <c r="BX46" s="47" t="n">
        <f aca="false">IF(BX$4&gt;=$D$12,1/(1+$D$13)^BX45,0)</f>
        <v>0.0399490320866397</v>
      </c>
    </row>
    <row r="47" customFormat="false" ht="15" hidden="false" customHeight="false" outlineLevel="0" collapsed="false">
      <c r="A47" s="1"/>
      <c r="B47" s="8" t="s">
        <v>313</v>
      </c>
      <c r="C47" s="8" t="s">
        <v>66</v>
      </c>
      <c r="D47" s="1"/>
      <c r="E47" s="1"/>
      <c r="F47" s="1"/>
      <c r="G47" s="43" t="n">
        <f aca="false">IF(G42=1,1+1.7*SIN(PI()*((G$4-$D$12+0.5)/$D$9))^2,0)</f>
        <v>0</v>
      </c>
      <c r="H47" s="43" t="n">
        <f aca="false">IF(H42=1,1+1.7*SIN(PI()*((H$4-$D$12+0.5)/$D$9))^2,0)</f>
        <v>0</v>
      </c>
      <c r="I47" s="43" t="n">
        <f aca="false">IF(I42=1,1+1.7*SIN(PI()*((I$4-$D$12+0.5)/$D$9))^2,0)</f>
        <v>0</v>
      </c>
      <c r="J47" s="43" t="n">
        <f aca="false">IF(J42=1,1+1.7*SIN(PI()*((J$4-$D$12+0.5)/$D$9))^2,0)</f>
        <v>1.16233555478129</v>
      </c>
      <c r="K47" s="43" t="n">
        <f aca="false">IF(K42=1,1+1.7*SIN(PI()*((K$4-$D$12+0.5)/$D$9))^2,0)</f>
        <v>2.11266444521871</v>
      </c>
      <c r="L47" s="43" t="n">
        <f aca="false">IF(L42=1,1+1.7*SIN(PI()*((L$4-$D$12+0.5)/$D$9))^2,0)</f>
        <v>2.7</v>
      </c>
      <c r="M47" s="43" t="n">
        <f aca="false">IF(M42=1,1+1.7*SIN(PI()*((M$4-$D$12+0.5)/$D$9))^2,0)</f>
        <v>2.11266444521871</v>
      </c>
      <c r="N47" s="43" t="n">
        <f aca="false">IF(N42=1,1+1.7*SIN(PI()*((N$4-$D$12+0.5)/$D$9))^2,0)</f>
        <v>1.16233555478129</v>
      </c>
      <c r="O47" s="43" t="n">
        <f aca="false">IF(O42=1,1+1.7*SIN(PI()*((O$4-$D$12+0.5)/$D$9))^2,0)</f>
        <v>0</v>
      </c>
      <c r="P47" s="43" t="n">
        <f aca="false">IF(P42=1,1+1.7*SIN(PI()*((P$4-$D$12+0.5)/$D$9))^2,0)</f>
        <v>0</v>
      </c>
      <c r="Q47" s="43" t="n">
        <f aca="false">IF(Q42=1,1+1.7*SIN(PI()*((Q$4-$D$12+0.5)/$D$9))^2,0)</f>
        <v>0</v>
      </c>
      <c r="R47" s="43" t="n">
        <f aca="false">IF(R42=1,1+1.7*SIN(PI()*((R$4-$D$12+0.5)/$D$9))^2,0)</f>
        <v>0</v>
      </c>
      <c r="S47" s="43" t="n">
        <f aca="false">IF(S42=1,1+1.7*SIN(PI()*((S$4-$D$12+0.5)/$D$9))^2,0)</f>
        <v>0</v>
      </c>
      <c r="T47" s="43" t="n">
        <f aca="false">IF(T42=1,1+1.7*SIN(PI()*((T$4-$D$12+0.5)/$D$9))^2,0)</f>
        <v>0</v>
      </c>
      <c r="U47" s="43" t="n">
        <f aca="false">IF(U42=1,1+1.7*SIN(PI()*((U$4-$D$12+0.5)/$D$9))^2,0)</f>
        <v>0</v>
      </c>
      <c r="V47" s="43" t="n">
        <f aca="false">IF(V42=1,1+1.7*SIN(PI()*((V$4-$D$12+0.5)/$D$9))^2,0)</f>
        <v>0</v>
      </c>
      <c r="W47" s="43" t="n">
        <f aca="false">IF(W42=1,1+1.7*SIN(PI()*((W$4-$D$12+0.5)/$D$9))^2,0)</f>
        <v>0</v>
      </c>
      <c r="X47" s="43" t="n">
        <f aca="false">IF(X42=1,1+1.7*SIN(PI()*((X$4-$D$12+0.5)/$D$9))^2,0)</f>
        <v>0</v>
      </c>
      <c r="Y47" s="43" t="n">
        <f aca="false">IF(Y42=1,1+1.7*SIN(PI()*((Y$4-$D$12+0.5)/$D$9))^2,0)</f>
        <v>0</v>
      </c>
      <c r="Z47" s="43" t="n">
        <f aca="false">IF(Z42=1,1+1.7*SIN(PI()*((Z$4-$D$12+0.5)/$D$9))^2,0)</f>
        <v>0</v>
      </c>
      <c r="AA47" s="43" t="n">
        <f aca="false">IF(AA42=1,1+1.7*SIN(PI()*((AA$4-$D$12+0.5)/$D$9))^2,0)</f>
        <v>0</v>
      </c>
      <c r="AB47" s="43" t="n">
        <f aca="false">IF(AB42=1,1+1.7*SIN(PI()*((AB$4-$D$12+0.5)/$D$9))^2,0)</f>
        <v>0</v>
      </c>
      <c r="AC47" s="43" t="n">
        <f aca="false">IF(AC42=1,1+1.7*SIN(PI()*((AC$4-$D$12+0.5)/$D$9))^2,0)</f>
        <v>0</v>
      </c>
      <c r="AD47" s="43" t="n">
        <f aca="false">IF(AD42=1,1+1.7*SIN(PI()*((AD$4-$D$12+0.5)/$D$9))^2,0)</f>
        <v>0</v>
      </c>
      <c r="AE47" s="43" t="n">
        <f aca="false">IF(AE42=1,1+1.7*SIN(PI()*((AE$4-$D$12+0.5)/$D$9))^2,0)</f>
        <v>0</v>
      </c>
      <c r="AF47" s="43" t="n">
        <f aca="false">IF(AF42=1,1+1.7*SIN(PI()*((AF$4-$D$12+0.5)/$D$9))^2,0)</f>
        <v>0</v>
      </c>
      <c r="AG47" s="43" t="n">
        <f aca="false">IF(AG42=1,1+1.7*SIN(PI()*((AG$4-$D$12+0.5)/$D$9))^2,0)</f>
        <v>0</v>
      </c>
      <c r="AH47" s="43" t="n">
        <f aca="false">IF(AH42=1,1+1.7*SIN(PI()*((AH$4-$D$12+0.5)/$D$9))^2,0)</f>
        <v>0</v>
      </c>
      <c r="AI47" s="43" t="n">
        <f aca="false">IF(AI42=1,1+1.7*SIN(PI()*((AI$4-$D$12+0.5)/$D$9))^2,0)</f>
        <v>0</v>
      </c>
      <c r="AJ47" s="43" t="n">
        <f aca="false">IF(AJ42=1,1+1.7*SIN(PI()*((AJ$4-$D$12+0.5)/$D$9))^2,0)</f>
        <v>0</v>
      </c>
      <c r="AK47" s="43" t="n">
        <f aca="false">IF(AK42=1,1+1.7*SIN(PI()*((AK$4-$D$12+0.5)/$D$9))^2,0)</f>
        <v>0</v>
      </c>
      <c r="AL47" s="43" t="n">
        <f aca="false">IF(AL42=1,1+1.7*SIN(PI()*((AL$4-$D$12+0.5)/$D$9))^2,0)</f>
        <v>0</v>
      </c>
      <c r="AM47" s="43" t="n">
        <f aca="false">IF(AM42=1,1+1.7*SIN(PI()*((AM$4-$D$12+0.5)/$D$9))^2,0)</f>
        <v>0</v>
      </c>
      <c r="AN47" s="43" t="n">
        <f aca="false">IF(AN42=1,1+1.7*SIN(PI()*((AN$4-$D$12+0.5)/$D$9))^2,0)</f>
        <v>0</v>
      </c>
      <c r="AO47" s="43" t="n">
        <f aca="false">IF(AO42=1,1+1.7*SIN(PI()*((AO$4-$D$12+0.5)/$D$9))^2,0)</f>
        <v>0</v>
      </c>
      <c r="AP47" s="43" t="n">
        <f aca="false">IF(AP42=1,1+1.7*SIN(PI()*((AP$4-$D$12+0.5)/$D$9))^2,0)</f>
        <v>0</v>
      </c>
      <c r="AQ47" s="43" t="n">
        <f aca="false">IF(AQ42=1,1+1.7*SIN(PI()*((AQ$4-$D$12+0.5)/$D$9))^2,0)</f>
        <v>0</v>
      </c>
      <c r="AR47" s="43" t="n">
        <f aca="false">IF(AR42=1,1+1.7*SIN(PI()*((AR$4-$D$12+0.5)/$D$9))^2,0)</f>
        <v>0</v>
      </c>
      <c r="AS47" s="43" t="n">
        <f aca="false">IF(AS42=1,1+1.7*SIN(PI()*((AS$4-$D$12+0.5)/$D$9))^2,0)</f>
        <v>0</v>
      </c>
      <c r="AT47" s="43" t="n">
        <f aca="false">IF(AT42=1,1+1.7*SIN(PI()*((AT$4-$D$12+0.5)/$D$9))^2,0)</f>
        <v>0</v>
      </c>
      <c r="AU47" s="43" t="n">
        <f aca="false">IF(AU42=1,1+1.7*SIN(PI()*((AU$4-$D$12+0.5)/$D$9))^2,0)</f>
        <v>0</v>
      </c>
      <c r="AV47" s="43" t="n">
        <f aca="false">IF(AV42=1,1+1.7*SIN(PI()*((AV$4-$D$12+0.5)/$D$9))^2,0)</f>
        <v>0</v>
      </c>
      <c r="AW47" s="43" t="n">
        <f aca="false">IF(AW42=1,1+1.7*SIN(PI()*((AW$4-$D$12+0.5)/$D$9))^2,0)</f>
        <v>0</v>
      </c>
      <c r="AX47" s="43" t="n">
        <f aca="false">IF(AX42=1,1+1.7*SIN(PI()*((AX$4-$D$12+0.5)/$D$9))^2,0)</f>
        <v>0</v>
      </c>
      <c r="AY47" s="43" t="n">
        <f aca="false">IF(AY42=1,1+1.7*SIN(PI()*((AY$4-$D$12+0.5)/$D$9))^2,0)</f>
        <v>0</v>
      </c>
      <c r="AZ47" s="43" t="n">
        <f aca="false">IF(AZ42=1,1+1.7*SIN(PI()*((AZ$4-$D$12+0.5)/$D$9))^2,0)</f>
        <v>0</v>
      </c>
      <c r="BA47" s="43" t="n">
        <f aca="false">IF(BA42=1,1+1.7*SIN(PI()*((BA$4-$D$12+0.5)/$D$9))^2,0)</f>
        <v>0</v>
      </c>
      <c r="BB47" s="43" t="n">
        <f aca="false">IF(BB42=1,1+1.7*SIN(PI()*((BB$4-$D$12+0.5)/$D$9))^2,0)</f>
        <v>0</v>
      </c>
      <c r="BC47" s="43" t="n">
        <f aca="false">IF(BC42=1,1+1.7*SIN(PI()*((BC$4-$D$12+0.5)/$D$9))^2,0)</f>
        <v>0</v>
      </c>
      <c r="BD47" s="43" t="n">
        <f aca="false">IF(BD42=1,1+1.7*SIN(PI()*((BD$4-$D$12+0.5)/$D$9))^2,0)</f>
        <v>0</v>
      </c>
      <c r="BE47" s="43" t="n">
        <f aca="false">IF(BE42=1,1+1.7*SIN(PI()*((BE$4-$D$12+0.5)/$D$9))^2,0)</f>
        <v>0</v>
      </c>
      <c r="BF47" s="43" t="n">
        <f aca="false">IF(BF42=1,1+1.7*SIN(PI()*((BF$4-$D$12+0.5)/$D$9))^2,0)</f>
        <v>0</v>
      </c>
      <c r="BG47" s="43" t="n">
        <f aca="false">IF(BG42=1,1+1.7*SIN(PI()*((BG$4-$D$12+0.5)/$D$9))^2,0)</f>
        <v>0</v>
      </c>
      <c r="BH47" s="43" t="n">
        <f aca="false">IF(BH42=1,1+1.7*SIN(PI()*((BH$4-$D$12+0.5)/$D$9))^2,0)</f>
        <v>0</v>
      </c>
      <c r="BI47" s="43" t="n">
        <f aca="false">IF(BI42=1,1+1.7*SIN(PI()*((BI$4-$D$12+0.5)/$D$9))^2,0)</f>
        <v>0</v>
      </c>
      <c r="BJ47" s="43" t="n">
        <f aca="false">IF(BJ42=1,1+1.7*SIN(PI()*((BJ$4-$D$12+0.5)/$D$9))^2,0)</f>
        <v>0</v>
      </c>
      <c r="BK47" s="43" t="n">
        <f aca="false">IF(BK42=1,1+1.7*SIN(PI()*((BK$4-$D$12+0.5)/$D$9))^2,0)</f>
        <v>0</v>
      </c>
      <c r="BL47" s="43" t="n">
        <f aca="false">IF(BL42=1,1+1.7*SIN(PI()*((BL$4-$D$12+0.5)/$D$9))^2,0)</f>
        <v>0</v>
      </c>
      <c r="BM47" s="43" t="n">
        <f aca="false">IF(BM42=1,1+1.7*SIN(PI()*((BM$4-$D$12+0.5)/$D$9))^2,0)</f>
        <v>0</v>
      </c>
      <c r="BN47" s="43" t="n">
        <f aca="false">IF(BN42=1,1+1.7*SIN(PI()*((BN$4-$D$12+0.5)/$D$9))^2,0)</f>
        <v>0</v>
      </c>
      <c r="BO47" s="43" t="n">
        <f aca="false">IF(BO42=1,1+1.7*SIN(PI()*((BO$4-$D$12+0.5)/$D$9))^2,0)</f>
        <v>0</v>
      </c>
      <c r="BP47" s="43" t="n">
        <f aca="false">IF(BP42=1,1+1.7*SIN(PI()*((BP$4-$D$12+0.5)/$D$9))^2,0)</f>
        <v>0</v>
      </c>
      <c r="BQ47" s="43" t="n">
        <f aca="false">IF(BQ42=1,1+1.7*SIN(PI()*((BQ$4-$D$12+0.5)/$D$9))^2,0)</f>
        <v>0</v>
      </c>
      <c r="BR47" s="43" t="n">
        <f aca="false">IF(BR42=1,1+1.7*SIN(PI()*((BR$4-$D$12+0.5)/$D$9))^2,0)</f>
        <v>0</v>
      </c>
      <c r="BS47" s="43" t="n">
        <f aca="false">IF(BS42=1,1+1.7*SIN(PI()*((BS$4-$D$12+0.5)/$D$9))^2,0)</f>
        <v>0</v>
      </c>
      <c r="BT47" s="43" t="n">
        <f aca="false">IF(BT42=1,1+1.7*SIN(PI()*((BT$4-$D$12+0.5)/$D$9))^2,0)</f>
        <v>0</v>
      </c>
      <c r="BU47" s="43" t="n">
        <f aca="false">IF(BU42=1,1+1.7*SIN(PI()*((BU$4-$D$12+0.5)/$D$9))^2,0)</f>
        <v>0</v>
      </c>
      <c r="BV47" s="43" t="n">
        <f aca="false">IF(BV42=1,1+1.7*SIN(PI()*((BV$4-$D$12+0.5)/$D$9))^2,0)</f>
        <v>0</v>
      </c>
      <c r="BW47" s="43" t="n">
        <f aca="false">IF(BW42=1,1+1.7*SIN(PI()*((BW$4-$D$12+0.5)/$D$9))^2,0)</f>
        <v>0</v>
      </c>
      <c r="BX47" s="43" t="n">
        <f aca="false">IF(BX42=1,1+1.7*SIN(PI()*((BX$4-$D$12+0.5)/$D$9))^2,0)</f>
        <v>0</v>
      </c>
    </row>
    <row r="48" customFormat="false" ht="15" hidden="false" customHeight="false" outlineLevel="0" collapsed="false">
      <c r="A48" s="1"/>
      <c r="B48" s="8" t="s">
        <v>314</v>
      </c>
      <c r="C48" s="8" t="s">
        <v>66</v>
      </c>
      <c r="D48" s="1"/>
      <c r="E48" s="1"/>
      <c r="F48" s="1"/>
      <c r="G48" s="43" t="n">
        <f aca="false">IF(SUM($G47:$BX47)&gt;0,G47/SUM($G47:$BX47),0)</f>
        <v>0</v>
      </c>
      <c r="H48" s="43" t="n">
        <f aca="false">IF(SUM($G47:$BX47)&gt;0,H47/SUM($G47:$BX47),0)</f>
        <v>0</v>
      </c>
      <c r="I48" s="43" t="n">
        <f aca="false">IF(SUM($G47:$BX47)&gt;0,I47/SUM($G47:$BX47),0)</f>
        <v>0</v>
      </c>
      <c r="J48" s="43" t="n">
        <f aca="false">IF(SUM($G47:$BX47)&gt;0,J47/SUM($G47:$BX47),0)</f>
        <v>0.125657897814194</v>
      </c>
      <c r="K48" s="43" t="n">
        <f aca="false">IF(SUM($G47:$BX47)&gt;0,K47/SUM($G47:$BX47),0)</f>
        <v>0.22839615623986</v>
      </c>
      <c r="L48" s="43" t="n">
        <f aca="false">IF(SUM($G47:$BX47)&gt;0,L47/SUM($G47:$BX47),0)</f>
        <v>0.291891891891892</v>
      </c>
      <c r="M48" s="43" t="n">
        <f aca="false">IF(SUM($G47:$BX47)&gt;0,M47/SUM($G47:$BX47),0)</f>
        <v>0.22839615623986</v>
      </c>
      <c r="N48" s="43" t="n">
        <f aca="false">IF(SUM($G47:$BX47)&gt;0,N47/SUM($G47:$BX47),0)</f>
        <v>0.125657897814194</v>
      </c>
      <c r="O48" s="43" t="n">
        <f aca="false">IF(SUM($G47:$BX47)&gt;0,O47/SUM($G47:$BX47),0)</f>
        <v>0</v>
      </c>
      <c r="P48" s="43" t="n">
        <f aca="false">IF(SUM($G47:$BX47)&gt;0,P47/SUM($G47:$BX47),0)</f>
        <v>0</v>
      </c>
      <c r="Q48" s="43" t="n">
        <f aca="false">IF(SUM($G47:$BX47)&gt;0,Q47/SUM($G47:$BX47),0)</f>
        <v>0</v>
      </c>
      <c r="R48" s="43" t="n">
        <f aca="false">IF(SUM($G47:$BX47)&gt;0,R47/SUM($G47:$BX47),0)</f>
        <v>0</v>
      </c>
      <c r="S48" s="43" t="n">
        <f aca="false">IF(SUM($G47:$BX47)&gt;0,S47/SUM($G47:$BX47),0)</f>
        <v>0</v>
      </c>
      <c r="T48" s="43" t="n">
        <f aca="false">IF(SUM($G47:$BX47)&gt;0,T47/SUM($G47:$BX47),0)</f>
        <v>0</v>
      </c>
      <c r="U48" s="43" t="n">
        <f aca="false">IF(SUM($G47:$BX47)&gt;0,U47/SUM($G47:$BX47),0)</f>
        <v>0</v>
      </c>
      <c r="V48" s="43" t="n">
        <f aca="false">IF(SUM($G47:$BX47)&gt;0,V47/SUM($G47:$BX47),0)</f>
        <v>0</v>
      </c>
      <c r="W48" s="43" t="n">
        <f aca="false">IF(SUM($G47:$BX47)&gt;0,W47/SUM($G47:$BX47),0)</f>
        <v>0</v>
      </c>
      <c r="X48" s="43" t="n">
        <f aca="false">IF(SUM($G47:$BX47)&gt;0,X47/SUM($G47:$BX47),0)</f>
        <v>0</v>
      </c>
      <c r="Y48" s="43" t="n">
        <f aca="false">IF(SUM($G47:$BX47)&gt;0,Y47/SUM($G47:$BX47),0)</f>
        <v>0</v>
      </c>
      <c r="Z48" s="43" t="n">
        <f aca="false">IF(SUM($G47:$BX47)&gt;0,Z47/SUM($G47:$BX47),0)</f>
        <v>0</v>
      </c>
      <c r="AA48" s="43" t="n">
        <f aca="false">IF(SUM($G47:$BX47)&gt;0,AA47/SUM($G47:$BX47),0)</f>
        <v>0</v>
      </c>
      <c r="AB48" s="43" t="n">
        <f aca="false">IF(SUM($G47:$BX47)&gt;0,AB47/SUM($G47:$BX47),0)</f>
        <v>0</v>
      </c>
      <c r="AC48" s="43" t="n">
        <f aca="false">IF(SUM($G47:$BX47)&gt;0,AC47/SUM($G47:$BX47),0)</f>
        <v>0</v>
      </c>
      <c r="AD48" s="43" t="n">
        <f aca="false">IF(SUM($G47:$BX47)&gt;0,AD47/SUM($G47:$BX47),0)</f>
        <v>0</v>
      </c>
      <c r="AE48" s="43" t="n">
        <f aca="false">IF(SUM($G47:$BX47)&gt;0,AE47/SUM($G47:$BX47),0)</f>
        <v>0</v>
      </c>
      <c r="AF48" s="43" t="n">
        <f aca="false">IF(SUM($G47:$BX47)&gt;0,AF47/SUM($G47:$BX47),0)</f>
        <v>0</v>
      </c>
      <c r="AG48" s="43" t="n">
        <f aca="false">IF(SUM($G47:$BX47)&gt;0,AG47/SUM($G47:$BX47),0)</f>
        <v>0</v>
      </c>
      <c r="AH48" s="43" t="n">
        <f aca="false">IF(SUM($G47:$BX47)&gt;0,AH47/SUM($G47:$BX47),0)</f>
        <v>0</v>
      </c>
      <c r="AI48" s="43" t="n">
        <f aca="false">IF(SUM($G47:$BX47)&gt;0,AI47/SUM($G47:$BX47),0)</f>
        <v>0</v>
      </c>
      <c r="AJ48" s="43" t="n">
        <f aca="false">IF(SUM($G47:$BX47)&gt;0,AJ47/SUM($G47:$BX47),0)</f>
        <v>0</v>
      </c>
      <c r="AK48" s="43" t="n">
        <f aca="false">IF(SUM($G47:$BX47)&gt;0,AK47/SUM($G47:$BX47),0)</f>
        <v>0</v>
      </c>
      <c r="AL48" s="43" t="n">
        <f aca="false">IF(SUM($G47:$BX47)&gt;0,AL47/SUM($G47:$BX47),0)</f>
        <v>0</v>
      </c>
      <c r="AM48" s="43" t="n">
        <f aca="false">IF(SUM($G47:$BX47)&gt;0,AM47/SUM($G47:$BX47),0)</f>
        <v>0</v>
      </c>
      <c r="AN48" s="43" t="n">
        <f aca="false">IF(SUM($G47:$BX47)&gt;0,AN47/SUM($G47:$BX47),0)</f>
        <v>0</v>
      </c>
      <c r="AO48" s="43" t="n">
        <f aca="false">IF(SUM($G47:$BX47)&gt;0,AO47/SUM($G47:$BX47),0)</f>
        <v>0</v>
      </c>
      <c r="AP48" s="43" t="n">
        <f aca="false">IF(SUM($G47:$BX47)&gt;0,AP47/SUM($G47:$BX47),0)</f>
        <v>0</v>
      </c>
      <c r="AQ48" s="43" t="n">
        <f aca="false">IF(SUM($G47:$BX47)&gt;0,AQ47/SUM($G47:$BX47),0)</f>
        <v>0</v>
      </c>
      <c r="AR48" s="43" t="n">
        <f aca="false">IF(SUM($G47:$BX47)&gt;0,AR47/SUM($G47:$BX47),0)</f>
        <v>0</v>
      </c>
      <c r="AS48" s="43" t="n">
        <f aca="false">IF(SUM($G47:$BX47)&gt;0,AS47/SUM($G47:$BX47),0)</f>
        <v>0</v>
      </c>
      <c r="AT48" s="43" t="n">
        <f aca="false">IF(SUM($G47:$BX47)&gt;0,AT47/SUM($G47:$BX47),0)</f>
        <v>0</v>
      </c>
      <c r="AU48" s="43" t="n">
        <f aca="false">IF(SUM($G47:$BX47)&gt;0,AU47/SUM($G47:$BX47),0)</f>
        <v>0</v>
      </c>
      <c r="AV48" s="43" t="n">
        <f aca="false">IF(SUM($G47:$BX47)&gt;0,AV47/SUM($G47:$BX47),0)</f>
        <v>0</v>
      </c>
      <c r="AW48" s="43" t="n">
        <f aca="false">IF(SUM($G47:$BX47)&gt;0,AW47/SUM($G47:$BX47),0)</f>
        <v>0</v>
      </c>
      <c r="AX48" s="43" t="n">
        <f aca="false">IF(SUM($G47:$BX47)&gt;0,AX47/SUM($G47:$BX47),0)</f>
        <v>0</v>
      </c>
      <c r="AY48" s="43" t="n">
        <f aca="false">IF(SUM($G47:$BX47)&gt;0,AY47/SUM($G47:$BX47),0)</f>
        <v>0</v>
      </c>
      <c r="AZ48" s="43" t="n">
        <f aca="false">IF(SUM($G47:$BX47)&gt;0,AZ47/SUM($G47:$BX47),0)</f>
        <v>0</v>
      </c>
      <c r="BA48" s="43" t="n">
        <f aca="false">IF(SUM($G47:$BX47)&gt;0,BA47/SUM($G47:$BX47),0)</f>
        <v>0</v>
      </c>
      <c r="BB48" s="43" t="n">
        <f aca="false">IF(SUM($G47:$BX47)&gt;0,BB47/SUM($G47:$BX47),0)</f>
        <v>0</v>
      </c>
      <c r="BC48" s="43" t="n">
        <f aca="false">IF(SUM($G47:$BX47)&gt;0,BC47/SUM($G47:$BX47),0)</f>
        <v>0</v>
      </c>
      <c r="BD48" s="43" t="n">
        <f aca="false">IF(SUM($G47:$BX47)&gt;0,BD47/SUM($G47:$BX47),0)</f>
        <v>0</v>
      </c>
      <c r="BE48" s="43" t="n">
        <f aca="false">IF(SUM($G47:$BX47)&gt;0,BE47/SUM($G47:$BX47),0)</f>
        <v>0</v>
      </c>
      <c r="BF48" s="43" t="n">
        <f aca="false">IF(SUM($G47:$BX47)&gt;0,BF47/SUM($G47:$BX47),0)</f>
        <v>0</v>
      </c>
      <c r="BG48" s="43" t="n">
        <f aca="false">IF(SUM($G47:$BX47)&gt;0,BG47/SUM($G47:$BX47),0)</f>
        <v>0</v>
      </c>
      <c r="BH48" s="43" t="n">
        <f aca="false">IF(SUM($G47:$BX47)&gt;0,BH47/SUM($G47:$BX47),0)</f>
        <v>0</v>
      </c>
      <c r="BI48" s="43" t="n">
        <f aca="false">IF(SUM($G47:$BX47)&gt;0,BI47/SUM($G47:$BX47),0)</f>
        <v>0</v>
      </c>
      <c r="BJ48" s="43" t="n">
        <f aca="false">IF(SUM($G47:$BX47)&gt;0,BJ47/SUM($G47:$BX47),0)</f>
        <v>0</v>
      </c>
      <c r="BK48" s="43" t="n">
        <f aca="false">IF(SUM($G47:$BX47)&gt;0,BK47/SUM($G47:$BX47),0)</f>
        <v>0</v>
      </c>
      <c r="BL48" s="43" t="n">
        <f aca="false">IF(SUM($G47:$BX47)&gt;0,BL47/SUM($G47:$BX47),0)</f>
        <v>0</v>
      </c>
      <c r="BM48" s="43" t="n">
        <f aca="false">IF(SUM($G47:$BX47)&gt;0,BM47/SUM($G47:$BX47),0)</f>
        <v>0</v>
      </c>
      <c r="BN48" s="43" t="n">
        <f aca="false">IF(SUM($G47:$BX47)&gt;0,BN47/SUM($G47:$BX47),0)</f>
        <v>0</v>
      </c>
      <c r="BO48" s="43" t="n">
        <f aca="false">IF(SUM($G47:$BX47)&gt;0,BO47/SUM($G47:$BX47),0)</f>
        <v>0</v>
      </c>
      <c r="BP48" s="43" t="n">
        <f aca="false">IF(SUM($G47:$BX47)&gt;0,BP47/SUM($G47:$BX47),0)</f>
        <v>0</v>
      </c>
      <c r="BQ48" s="43" t="n">
        <f aca="false">IF(SUM($G47:$BX47)&gt;0,BQ47/SUM($G47:$BX47),0)</f>
        <v>0</v>
      </c>
      <c r="BR48" s="43" t="n">
        <f aca="false">IF(SUM($G47:$BX47)&gt;0,BR47/SUM($G47:$BX47),0)</f>
        <v>0</v>
      </c>
      <c r="BS48" s="43" t="n">
        <f aca="false">IF(SUM($G47:$BX47)&gt;0,BS47/SUM($G47:$BX47),0)</f>
        <v>0</v>
      </c>
      <c r="BT48" s="43" t="n">
        <f aca="false">IF(SUM($G47:$BX47)&gt;0,BT47/SUM($G47:$BX47),0)</f>
        <v>0</v>
      </c>
      <c r="BU48" s="43" t="n">
        <f aca="false">IF(SUM($G47:$BX47)&gt;0,BU47/SUM($G47:$BX47),0)</f>
        <v>0</v>
      </c>
      <c r="BV48" s="43" t="n">
        <f aca="false">IF(SUM($G47:$BX47)&gt;0,BV47/SUM($G47:$BX47),0)</f>
        <v>0</v>
      </c>
      <c r="BW48" s="43" t="n">
        <f aca="false">IF(SUM($G47:$BX47)&gt;0,BW47/SUM($G47:$BX47),0)</f>
        <v>0</v>
      </c>
      <c r="BX48" s="43" t="n">
        <f aca="false">IF(SUM($G47:$BX47)&gt;0,BX47/SUM($G47:$BX47),0)</f>
        <v>0</v>
      </c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</row>
    <row r="50" customFormat="false" ht="15" hidden="false" customHeight="false" outlineLevel="0" collapsed="false">
      <c r="A50" s="1"/>
      <c r="B50" s="13" t="s">
        <v>315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</row>
    <row r="51" customFormat="false" ht="15" hidden="false" customHeight="false" outlineLevel="0" collapsed="false">
      <c r="A51" s="1"/>
      <c r="B51" s="8" t="s">
        <v>316</v>
      </c>
      <c r="C51" s="8" t="s">
        <v>126</v>
      </c>
      <c r="D51" s="44" t="n">
        <f aca="false">SUM(G51:BX51)</f>
        <v>11400</v>
      </c>
      <c r="E51" s="1"/>
      <c r="F51" s="1"/>
      <c r="G51" s="48" t="n">
        <f aca="false">$D$24*G48</f>
        <v>0</v>
      </c>
      <c r="H51" s="48" t="n">
        <f aca="false">$D$24*H48</f>
        <v>0</v>
      </c>
      <c r="I51" s="48" t="n">
        <f aca="false">$D$24*I48</f>
        <v>0</v>
      </c>
      <c r="J51" s="48" t="n">
        <f aca="false">$D$24*J48</f>
        <v>1432.50003508181</v>
      </c>
      <c r="K51" s="48" t="n">
        <f aca="false">$D$24*K48</f>
        <v>2603.7161811344</v>
      </c>
      <c r="L51" s="48" t="n">
        <f aca="false">$D$24*L48</f>
        <v>3327.56756756757</v>
      </c>
      <c r="M51" s="48" t="n">
        <f aca="false">$D$24*M48</f>
        <v>2603.7161811344</v>
      </c>
      <c r="N51" s="48" t="n">
        <f aca="false">$D$24*N48</f>
        <v>1432.50003508181</v>
      </c>
      <c r="O51" s="48" t="n">
        <f aca="false">$D$24*O48</f>
        <v>0</v>
      </c>
      <c r="P51" s="48" t="n">
        <f aca="false">$D$24*P48</f>
        <v>0</v>
      </c>
      <c r="Q51" s="48" t="n">
        <f aca="false">$D$24*Q48</f>
        <v>0</v>
      </c>
      <c r="R51" s="48" t="n">
        <f aca="false">$D$24*R48</f>
        <v>0</v>
      </c>
      <c r="S51" s="48" t="n">
        <f aca="false">$D$24*S48</f>
        <v>0</v>
      </c>
      <c r="T51" s="48" t="n">
        <f aca="false">$D$24*T48</f>
        <v>0</v>
      </c>
      <c r="U51" s="48" t="n">
        <f aca="false">$D$24*U48</f>
        <v>0</v>
      </c>
      <c r="V51" s="48" t="n">
        <f aca="false">$D$24*V48</f>
        <v>0</v>
      </c>
      <c r="W51" s="48" t="n">
        <f aca="false">$D$24*W48</f>
        <v>0</v>
      </c>
      <c r="X51" s="48" t="n">
        <f aca="false">$D$24*X48</f>
        <v>0</v>
      </c>
      <c r="Y51" s="48" t="n">
        <f aca="false">$D$24*Y48</f>
        <v>0</v>
      </c>
      <c r="Z51" s="48" t="n">
        <f aca="false">$D$24*Z48</f>
        <v>0</v>
      </c>
      <c r="AA51" s="48" t="n">
        <f aca="false">$D$24*AA48</f>
        <v>0</v>
      </c>
      <c r="AB51" s="48" t="n">
        <f aca="false">$D$24*AB48</f>
        <v>0</v>
      </c>
      <c r="AC51" s="48" t="n">
        <f aca="false">$D$24*AC48</f>
        <v>0</v>
      </c>
      <c r="AD51" s="48" t="n">
        <f aca="false">$D$24*AD48</f>
        <v>0</v>
      </c>
      <c r="AE51" s="48" t="n">
        <f aca="false">$D$24*AE48</f>
        <v>0</v>
      </c>
      <c r="AF51" s="48" t="n">
        <f aca="false">$D$24*AF48</f>
        <v>0</v>
      </c>
      <c r="AG51" s="48" t="n">
        <f aca="false">$D$24*AG48</f>
        <v>0</v>
      </c>
      <c r="AH51" s="48" t="n">
        <f aca="false">$D$24*AH48</f>
        <v>0</v>
      </c>
      <c r="AI51" s="48" t="n">
        <f aca="false">$D$24*AI48</f>
        <v>0</v>
      </c>
      <c r="AJ51" s="48" t="n">
        <f aca="false">$D$24*AJ48</f>
        <v>0</v>
      </c>
      <c r="AK51" s="48" t="n">
        <f aca="false">$D$24*AK48</f>
        <v>0</v>
      </c>
      <c r="AL51" s="48" t="n">
        <f aca="false">$D$24*AL48</f>
        <v>0</v>
      </c>
      <c r="AM51" s="48" t="n">
        <f aca="false">$D$24*AM48</f>
        <v>0</v>
      </c>
      <c r="AN51" s="48" t="n">
        <f aca="false">$D$24*AN48</f>
        <v>0</v>
      </c>
      <c r="AO51" s="48" t="n">
        <f aca="false">$D$24*AO48</f>
        <v>0</v>
      </c>
      <c r="AP51" s="48" t="n">
        <f aca="false">$D$24*AP48</f>
        <v>0</v>
      </c>
      <c r="AQ51" s="48" t="n">
        <f aca="false">$D$24*AQ48</f>
        <v>0</v>
      </c>
      <c r="AR51" s="48" t="n">
        <f aca="false">$D$24*AR48</f>
        <v>0</v>
      </c>
      <c r="AS51" s="48" t="n">
        <f aca="false">$D$24*AS48</f>
        <v>0</v>
      </c>
      <c r="AT51" s="48" t="n">
        <f aca="false">$D$24*AT48</f>
        <v>0</v>
      </c>
      <c r="AU51" s="48" t="n">
        <f aca="false">$D$24*AU48</f>
        <v>0</v>
      </c>
      <c r="AV51" s="48" t="n">
        <f aca="false">$D$24*AV48</f>
        <v>0</v>
      </c>
      <c r="AW51" s="48" t="n">
        <f aca="false">$D$24*AW48</f>
        <v>0</v>
      </c>
      <c r="AX51" s="48" t="n">
        <f aca="false">$D$24*AX48</f>
        <v>0</v>
      </c>
      <c r="AY51" s="48" t="n">
        <f aca="false">$D$24*AY48</f>
        <v>0</v>
      </c>
      <c r="AZ51" s="48" t="n">
        <f aca="false">$D$24*AZ48</f>
        <v>0</v>
      </c>
      <c r="BA51" s="48" t="n">
        <f aca="false">$D$24*BA48</f>
        <v>0</v>
      </c>
      <c r="BB51" s="48" t="n">
        <f aca="false">$D$24*BB48</f>
        <v>0</v>
      </c>
      <c r="BC51" s="48" t="n">
        <f aca="false">$D$24*BC48</f>
        <v>0</v>
      </c>
      <c r="BD51" s="48" t="n">
        <f aca="false">$D$24*BD48</f>
        <v>0</v>
      </c>
      <c r="BE51" s="48" t="n">
        <f aca="false">$D$24*BE48</f>
        <v>0</v>
      </c>
      <c r="BF51" s="48" t="n">
        <f aca="false">$D$24*BF48</f>
        <v>0</v>
      </c>
      <c r="BG51" s="48" t="n">
        <f aca="false">$D$24*BG48</f>
        <v>0</v>
      </c>
      <c r="BH51" s="48" t="n">
        <f aca="false">$D$24*BH48</f>
        <v>0</v>
      </c>
      <c r="BI51" s="48" t="n">
        <f aca="false">$D$24*BI48</f>
        <v>0</v>
      </c>
      <c r="BJ51" s="48" t="n">
        <f aca="false">$D$24*BJ48</f>
        <v>0</v>
      </c>
      <c r="BK51" s="48" t="n">
        <f aca="false">$D$24*BK48</f>
        <v>0</v>
      </c>
      <c r="BL51" s="48" t="n">
        <f aca="false">$D$24*BL48</f>
        <v>0</v>
      </c>
      <c r="BM51" s="48" t="n">
        <f aca="false">$D$24*BM48</f>
        <v>0</v>
      </c>
      <c r="BN51" s="48" t="n">
        <f aca="false">$D$24*BN48</f>
        <v>0</v>
      </c>
      <c r="BO51" s="48" t="n">
        <f aca="false">$D$24*BO48</f>
        <v>0</v>
      </c>
      <c r="BP51" s="48" t="n">
        <f aca="false">$D$24*BP48</f>
        <v>0</v>
      </c>
      <c r="BQ51" s="48" t="n">
        <f aca="false">$D$24*BQ48</f>
        <v>0</v>
      </c>
      <c r="BR51" s="48" t="n">
        <f aca="false">$D$24*BR48</f>
        <v>0</v>
      </c>
      <c r="BS51" s="48" t="n">
        <f aca="false">$D$24*BS48</f>
        <v>0</v>
      </c>
      <c r="BT51" s="48" t="n">
        <f aca="false">$D$24*BT48</f>
        <v>0</v>
      </c>
      <c r="BU51" s="48" t="n">
        <f aca="false">$D$24*BU48</f>
        <v>0</v>
      </c>
      <c r="BV51" s="48" t="n">
        <f aca="false">$D$24*BV48</f>
        <v>0</v>
      </c>
      <c r="BW51" s="48" t="n">
        <f aca="false">$D$24*BW48</f>
        <v>0</v>
      </c>
      <c r="BX51" s="48" t="n">
        <f aca="false">$D$24*BX48</f>
        <v>0</v>
      </c>
    </row>
    <row r="52" customFormat="false" ht="15" hidden="false" customHeight="false" outlineLevel="0" collapsed="false">
      <c r="A52" s="1"/>
      <c r="B52" s="8" t="s">
        <v>317</v>
      </c>
      <c r="C52" s="8" t="s">
        <v>126</v>
      </c>
      <c r="D52" s="44" t="n">
        <f aca="false">SUM(G52:BX52)</f>
        <v>1175</v>
      </c>
      <c r="E52" s="1"/>
      <c r="F52" s="1"/>
      <c r="G52" s="48" t="n">
        <f aca="false">IF(G$4=$D$12,$D$28,0)+IF(G$4=$D$10-1,$D$29,0)+$D$30*G48</f>
        <v>0</v>
      </c>
      <c r="H52" s="48" t="n">
        <f aca="false">IF(H$4=$D$12,$D$28,0)+IF(H$4=$D$10-1,$D$29,0)+$D$30*H48</f>
        <v>0</v>
      </c>
      <c r="I52" s="48" t="n">
        <f aca="false">IF(I$4=$D$12,$D$28,0)+IF(I$4=$D$10-1,$D$29,0)+$D$30*I48</f>
        <v>0</v>
      </c>
      <c r="J52" s="48" t="n">
        <f aca="false">IF(J$4=$D$12,$D$28,0)+IF(J$4=$D$10-1,$D$29,0)+$D$30*J48</f>
        <v>515.707237226774</v>
      </c>
      <c r="K52" s="48" t="n">
        <f aca="false">IF(K$4=$D$12,$D$28,0)+IF(K$4=$D$10-1,$D$29,0)+$D$30*K48</f>
        <v>28.5495195299825</v>
      </c>
      <c r="L52" s="48" t="n">
        <f aca="false">IF(L$4=$D$12,$D$28,0)+IF(L$4=$D$10-1,$D$29,0)+$D$30*L48</f>
        <v>36.4864864864865</v>
      </c>
      <c r="M52" s="48" t="n">
        <f aca="false">IF(M$4=$D$12,$D$28,0)+IF(M$4=$D$10-1,$D$29,0)+$D$30*M48</f>
        <v>28.5495195299825</v>
      </c>
      <c r="N52" s="48" t="n">
        <f aca="false">IF(N$4=$D$12,$D$28,0)+IF(N$4=$D$10-1,$D$29,0)+$D$30*N48</f>
        <v>565.707237226774</v>
      </c>
      <c r="O52" s="48" t="n">
        <f aca="false">IF(O$4=$D$12,$D$28,0)+IF(O$4=$D$10-1,$D$29,0)+$D$30*O48</f>
        <v>0</v>
      </c>
      <c r="P52" s="48" t="n">
        <f aca="false">IF(P$4=$D$12,$D$28,0)+IF(P$4=$D$10-1,$D$29,0)+$D$30*P48</f>
        <v>0</v>
      </c>
      <c r="Q52" s="48" t="n">
        <f aca="false">IF(Q$4=$D$12,$D$28,0)+IF(Q$4=$D$10-1,$D$29,0)+$D$30*Q48</f>
        <v>0</v>
      </c>
      <c r="R52" s="48" t="n">
        <f aca="false">IF(R$4=$D$12,$D$28,0)+IF(R$4=$D$10-1,$D$29,0)+$D$30*R48</f>
        <v>0</v>
      </c>
      <c r="S52" s="48" t="n">
        <f aca="false">IF(S$4=$D$12,$D$28,0)+IF(S$4=$D$10-1,$D$29,0)+$D$30*S48</f>
        <v>0</v>
      </c>
      <c r="T52" s="48" t="n">
        <f aca="false">IF(T$4=$D$12,$D$28,0)+IF(T$4=$D$10-1,$D$29,0)+$D$30*T48</f>
        <v>0</v>
      </c>
      <c r="U52" s="48" t="n">
        <f aca="false">IF(U$4=$D$12,$D$28,0)+IF(U$4=$D$10-1,$D$29,0)+$D$30*U48</f>
        <v>0</v>
      </c>
      <c r="V52" s="48" t="n">
        <f aca="false">IF(V$4=$D$12,$D$28,0)+IF(V$4=$D$10-1,$D$29,0)+$D$30*V48</f>
        <v>0</v>
      </c>
      <c r="W52" s="48" t="n">
        <f aca="false">IF(W$4=$D$12,$D$28,0)+IF(W$4=$D$10-1,$D$29,0)+$D$30*W48</f>
        <v>0</v>
      </c>
      <c r="X52" s="48" t="n">
        <f aca="false">IF(X$4=$D$12,$D$28,0)+IF(X$4=$D$10-1,$D$29,0)+$D$30*X48</f>
        <v>0</v>
      </c>
      <c r="Y52" s="48" t="n">
        <f aca="false">IF(Y$4=$D$12,$D$28,0)+IF(Y$4=$D$10-1,$D$29,0)+$D$30*Y48</f>
        <v>0</v>
      </c>
      <c r="Z52" s="48" t="n">
        <f aca="false">IF(Z$4=$D$12,$D$28,0)+IF(Z$4=$D$10-1,$D$29,0)+$D$30*Z48</f>
        <v>0</v>
      </c>
      <c r="AA52" s="48" t="n">
        <f aca="false">IF(AA$4=$D$12,$D$28,0)+IF(AA$4=$D$10-1,$D$29,0)+$D$30*AA48</f>
        <v>0</v>
      </c>
      <c r="AB52" s="48" t="n">
        <f aca="false">IF(AB$4=$D$12,$D$28,0)+IF(AB$4=$D$10-1,$D$29,0)+$D$30*AB48</f>
        <v>0</v>
      </c>
      <c r="AC52" s="48" t="n">
        <f aca="false">IF(AC$4=$D$12,$D$28,0)+IF(AC$4=$D$10-1,$D$29,0)+$D$30*AC48</f>
        <v>0</v>
      </c>
      <c r="AD52" s="48" t="n">
        <f aca="false">IF(AD$4=$D$12,$D$28,0)+IF(AD$4=$D$10-1,$D$29,0)+$D$30*AD48</f>
        <v>0</v>
      </c>
      <c r="AE52" s="48" t="n">
        <f aca="false">IF(AE$4=$D$12,$D$28,0)+IF(AE$4=$D$10-1,$D$29,0)+$D$30*AE48</f>
        <v>0</v>
      </c>
      <c r="AF52" s="48" t="n">
        <f aca="false">IF(AF$4=$D$12,$D$28,0)+IF(AF$4=$D$10-1,$D$29,0)+$D$30*AF48</f>
        <v>0</v>
      </c>
      <c r="AG52" s="48" t="n">
        <f aca="false">IF(AG$4=$D$12,$D$28,0)+IF(AG$4=$D$10-1,$D$29,0)+$D$30*AG48</f>
        <v>0</v>
      </c>
      <c r="AH52" s="48" t="n">
        <f aca="false">IF(AH$4=$D$12,$D$28,0)+IF(AH$4=$D$10-1,$D$29,0)+$D$30*AH48</f>
        <v>0</v>
      </c>
      <c r="AI52" s="48" t="n">
        <f aca="false">IF(AI$4=$D$12,$D$28,0)+IF(AI$4=$D$10-1,$D$29,0)+$D$30*AI48</f>
        <v>0</v>
      </c>
      <c r="AJ52" s="48" t="n">
        <f aca="false">IF(AJ$4=$D$12,$D$28,0)+IF(AJ$4=$D$10-1,$D$29,0)+$D$30*AJ48</f>
        <v>0</v>
      </c>
      <c r="AK52" s="48" t="n">
        <f aca="false">IF(AK$4=$D$12,$D$28,0)+IF(AK$4=$D$10-1,$D$29,0)+$D$30*AK48</f>
        <v>0</v>
      </c>
      <c r="AL52" s="48" t="n">
        <f aca="false">IF(AL$4=$D$12,$D$28,0)+IF(AL$4=$D$10-1,$D$29,0)+$D$30*AL48</f>
        <v>0</v>
      </c>
      <c r="AM52" s="48" t="n">
        <f aca="false">IF(AM$4=$D$12,$D$28,0)+IF(AM$4=$D$10-1,$D$29,0)+$D$30*AM48</f>
        <v>0</v>
      </c>
      <c r="AN52" s="48" t="n">
        <f aca="false">IF(AN$4=$D$12,$D$28,0)+IF(AN$4=$D$10-1,$D$29,0)+$D$30*AN48</f>
        <v>0</v>
      </c>
      <c r="AO52" s="48" t="n">
        <f aca="false">IF(AO$4=$D$12,$D$28,0)+IF(AO$4=$D$10-1,$D$29,0)+$D$30*AO48</f>
        <v>0</v>
      </c>
      <c r="AP52" s="48" t="n">
        <f aca="false">IF(AP$4=$D$12,$D$28,0)+IF(AP$4=$D$10-1,$D$29,0)+$D$30*AP48</f>
        <v>0</v>
      </c>
      <c r="AQ52" s="48" t="n">
        <f aca="false">IF(AQ$4=$D$12,$D$28,0)+IF(AQ$4=$D$10-1,$D$29,0)+$D$30*AQ48</f>
        <v>0</v>
      </c>
      <c r="AR52" s="48" t="n">
        <f aca="false">IF(AR$4=$D$12,$D$28,0)+IF(AR$4=$D$10-1,$D$29,0)+$D$30*AR48</f>
        <v>0</v>
      </c>
      <c r="AS52" s="48" t="n">
        <f aca="false">IF(AS$4=$D$12,$D$28,0)+IF(AS$4=$D$10-1,$D$29,0)+$D$30*AS48</f>
        <v>0</v>
      </c>
      <c r="AT52" s="48" t="n">
        <f aca="false">IF(AT$4=$D$12,$D$28,0)+IF(AT$4=$D$10-1,$D$29,0)+$D$30*AT48</f>
        <v>0</v>
      </c>
      <c r="AU52" s="48" t="n">
        <f aca="false">IF(AU$4=$D$12,$D$28,0)+IF(AU$4=$D$10-1,$D$29,0)+$D$30*AU48</f>
        <v>0</v>
      </c>
      <c r="AV52" s="48" t="n">
        <f aca="false">IF(AV$4=$D$12,$D$28,0)+IF(AV$4=$D$10-1,$D$29,0)+$D$30*AV48</f>
        <v>0</v>
      </c>
      <c r="AW52" s="48" t="n">
        <f aca="false">IF(AW$4=$D$12,$D$28,0)+IF(AW$4=$D$10-1,$D$29,0)+$D$30*AW48</f>
        <v>0</v>
      </c>
      <c r="AX52" s="48" t="n">
        <f aca="false">IF(AX$4=$D$12,$D$28,0)+IF(AX$4=$D$10-1,$D$29,0)+$D$30*AX48</f>
        <v>0</v>
      </c>
      <c r="AY52" s="48" t="n">
        <f aca="false">IF(AY$4=$D$12,$D$28,0)+IF(AY$4=$D$10-1,$D$29,0)+$D$30*AY48</f>
        <v>0</v>
      </c>
      <c r="AZ52" s="48" t="n">
        <f aca="false">IF(AZ$4=$D$12,$D$28,0)+IF(AZ$4=$D$10-1,$D$29,0)+$D$30*AZ48</f>
        <v>0</v>
      </c>
      <c r="BA52" s="48" t="n">
        <f aca="false">IF(BA$4=$D$12,$D$28,0)+IF(BA$4=$D$10-1,$D$29,0)+$D$30*BA48</f>
        <v>0</v>
      </c>
      <c r="BB52" s="48" t="n">
        <f aca="false">IF(BB$4=$D$12,$D$28,0)+IF(BB$4=$D$10-1,$D$29,0)+$D$30*BB48</f>
        <v>0</v>
      </c>
      <c r="BC52" s="48" t="n">
        <f aca="false">IF(BC$4=$D$12,$D$28,0)+IF(BC$4=$D$10-1,$D$29,0)+$D$30*BC48</f>
        <v>0</v>
      </c>
      <c r="BD52" s="48" t="n">
        <f aca="false">IF(BD$4=$D$12,$D$28,0)+IF(BD$4=$D$10-1,$D$29,0)+$D$30*BD48</f>
        <v>0</v>
      </c>
      <c r="BE52" s="48" t="n">
        <f aca="false">IF(BE$4=$D$12,$D$28,0)+IF(BE$4=$D$10-1,$D$29,0)+$D$30*BE48</f>
        <v>0</v>
      </c>
      <c r="BF52" s="48" t="n">
        <f aca="false">IF(BF$4=$D$12,$D$28,0)+IF(BF$4=$D$10-1,$D$29,0)+$D$30*BF48</f>
        <v>0</v>
      </c>
      <c r="BG52" s="48" t="n">
        <f aca="false">IF(BG$4=$D$12,$D$28,0)+IF(BG$4=$D$10-1,$D$29,0)+$D$30*BG48</f>
        <v>0</v>
      </c>
      <c r="BH52" s="48" t="n">
        <f aca="false">IF(BH$4=$D$12,$D$28,0)+IF(BH$4=$D$10-1,$D$29,0)+$D$30*BH48</f>
        <v>0</v>
      </c>
      <c r="BI52" s="48" t="n">
        <f aca="false">IF(BI$4=$D$12,$D$28,0)+IF(BI$4=$D$10-1,$D$29,0)+$D$30*BI48</f>
        <v>0</v>
      </c>
      <c r="BJ52" s="48" t="n">
        <f aca="false">IF(BJ$4=$D$12,$D$28,0)+IF(BJ$4=$D$10-1,$D$29,0)+$D$30*BJ48</f>
        <v>0</v>
      </c>
      <c r="BK52" s="48" t="n">
        <f aca="false">IF(BK$4=$D$12,$D$28,0)+IF(BK$4=$D$10-1,$D$29,0)+$D$30*BK48</f>
        <v>0</v>
      </c>
      <c r="BL52" s="48" t="n">
        <f aca="false">IF(BL$4=$D$12,$D$28,0)+IF(BL$4=$D$10-1,$D$29,0)+$D$30*BL48</f>
        <v>0</v>
      </c>
      <c r="BM52" s="48" t="n">
        <f aca="false">IF(BM$4=$D$12,$D$28,0)+IF(BM$4=$D$10-1,$D$29,0)+$D$30*BM48</f>
        <v>0</v>
      </c>
      <c r="BN52" s="48" t="n">
        <f aca="false">IF(BN$4=$D$12,$D$28,0)+IF(BN$4=$D$10-1,$D$29,0)+$D$30*BN48</f>
        <v>0</v>
      </c>
      <c r="BO52" s="48" t="n">
        <f aca="false">IF(BO$4=$D$12,$D$28,0)+IF(BO$4=$D$10-1,$D$29,0)+$D$30*BO48</f>
        <v>0</v>
      </c>
      <c r="BP52" s="48" t="n">
        <f aca="false">IF(BP$4=$D$12,$D$28,0)+IF(BP$4=$D$10-1,$D$29,0)+$D$30*BP48</f>
        <v>0</v>
      </c>
      <c r="BQ52" s="48" t="n">
        <f aca="false">IF(BQ$4=$D$12,$D$28,0)+IF(BQ$4=$D$10-1,$D$29,0)+$D$30*BQ48</f>
        <v>0</v>
      </c>
      <c r="BR52" s="48" t="n">
        <f aca="false">IF(BR$4=$D$12,$D$28,0)+IF(BR$4=$D$10-1,$D$29,0)+$D$30*BR48</f>
        <v>0</v>
      </c>
      <c r="BS52" s="48" t="n">
        <f aca="false">IF(BS$4=$D$12,$D$28,0)+IF(BS$4=$D$10-1,$D$29,0)+$D$30*BS48</f>
        <v>0</v>
      </c>
      <c r="BT52" s="48" t="n">
        <f aca="false">IF(BT$4=$D$12,$D$28,0)+IF(BT$4=$D$10-1,$D$29,0)+$D$30*BT48</f>
        <v>0</v>
      </c>
      <c r="BU52" s="48" t="n">
        <f aca="false">IF(BU$4=$D$12,$D$28,0)+IF(BU$4=$D$10-1,$D$29,0)+$D$30*BU48</f>
        <v>0</v>
      </c>
      <c r="BV52" s="48" t="n">
        <f aca="false">IF(BV$4=$D$12,$D$28,0)+IF(BV$4=$D$10-1,$D$29,0)+$D$30*BV48</f>
        <v>0</v>
      </c>
      <c r="BW52" s="48" t="n">
        <f aca="false">IF(BW$4=$D$12,$D$28,0)+IF(BW$4=$D$10-1,$D$29,0)+$D$30*BW48</f>
        <v>0</v>
      </c>
      <c r="BX52" s="48" t="n">
        <f aca="false">IF(BX$4=$D$12,$D$28,0)+IF(BX$4=$D$10-1,$D$29,0)+$D$30*BX48</f>
        <v>0</v>
      </c>
    </row>
    <row r="53" customFormat="false" ht="15" hidden="false" customHeight="false" outlineLevel="0" collapsed="false">
      <c r="A53" s="1"/>
      <c r="B53" s="4" t="s">
        <v>318</v>
      </c>
      <c r="C53" s="8" t="s">
        <v>126</v>
      </c>
      <c r="D53" s="44" t="n">
        <f aca="false">SUM(G53:BX53)</f>
        <v>12575</v>
      </c>
      <c r="E53" s="1"/>
      <c r="F53" s="1"/>
      <c r="G53" s="44" t="n">
        <f aca="false">G51+G52</f>
        <v>0</v>
      </c>
      <c r="H53" s="44" t="n">
        <f aca="false">H51+H52</f>
        <v>0</v>
      </c>
      <c r="I53" s="44" t="n">
        <f aca="false">I51+I52</f>
        <v>0</v>
      </c>
      <c r="J53" s="44" t="n">
        <f aca="false">J51+J52</f>
        <v>1948.20727230859</v>
      </c>
      <c r="K53" s="44" t="n">
        <f aca="false">K51+K52</f>
        <v>2632.26570066439</v>
      </c>
      <c r="L53" s="44" t="n">
        <f aca="false">L51+L52</f>
        <v>3364.05405405405</v>
      </c>
      <c r="M53" s="44" t="n">
        <f aca="false">M51+M52</f>
        <v>2632.26570066439</v>
      </c>
      <c r="N53" s="44" t="n">
        <f aca="false">N51+N52</f>
        <v>1998.20727230859</v>
      </c>
      <c r="O53" s="44" t="n">
        <f aca="false">O51+O52</f>
        <v>0</v>
      </c>
      <c r="P53" s="44" t="n">
        <f aca="false">P51+P52</f>
        <v>0</v>
      </c>
      <c r="Q53" s="44" t="n">
        <f aca="false">Q51+Q52</f>
        <v>0</v>
      </c>
      <c r="R53" s="44" t="n">
        <f aca="false">R51+R52</f>
        <v>0</v>
      </c>
      <c r="S53" s="44" t="n">
        <f aca="false">S51+S52</f>
        <v>0</v>
      </c>
      <c r="T53" s="44" t="n">
        <f aca="false">T51+T52</f>
        <v>0</v>
      </c>
      <c r="U53" s="44" t="n">
        <f aca="false">U51+U52</f>
        <v>0</v>
      </c>
      <c r="V53" s="44" t="n">
        <f aca="false">V51+V52</f>
        <v>0</v>
      </c>
      <c r="W53" s="44" t="n">
        <f aca="false">W51+W52</f>
        <v>0</v>
      </c>
      <c r="X53" s="44" t="n">
        <f aca="false">X51+X52</f>
        <v>0</v>
      </c>
      <c r="Y53" s="44" t="n">
        <f aca="false">Y51+Y52</f>
        <v>0</v>
      </c>
      <c r="Z53" s="44" t="n">
        <f aca="false">Z51+Z52</f>
        <v>0</v>
      </c>
      <c r="AA53" s="44" t="n">
        <f aca="false">AA51+AA52</f>
        <v>0</v>
      </c>
      <c r="AB53" s="44" t="n">
        <f aca="false">AB51+AB52</f>
        <v>0</v>
      </c>
      <c r="AC53" s="44" t="n">
        <f aca="false">AC51+AC52</f>
        <v>0</v>
      </c>
      <c r="AD53" s="44" t="n">
        <f aca="false">AD51+AD52</f>
        <v>0</v>
      </c>
      <c r="AE53" s="44" t="n">
        <f aca="false">AE51+AE52</f>
        <v>0</v>
      </c>
      <c r="AF53" s="44" t="n">
        <f aca="false">AF51+AF52</f>
        <v>0</v>
      </c>
      <c r="AG53" s="44" t="n">
        <f aca="false">AG51+AG52</f>
        <v>0</v>
      </c>
      <c r="AH53" s="44" t="n">
        <f aca="false">AH51+AH52</f>
        <v>0</v>
      </c>
      <c r="AI53" s="44" t="n">
        <f aca="false">AI51+AI52</f>
        <v>0</v>
      </c>
      <c r="AJ53" s="44" t="n">
        <f aca="false">AJ51+AJ52</f>
        <v>0</v>
      </c>
      <c r="AK53" s="44" t="n">
        <f aca="false">AK51+AK52</f>
        <v>0</v>
      </c>
      <c r="AL53" s="44" t="n">
        <f aca="false">AL51+AL52</f>
        <v>0</v>
      </c>
      <c r="AM53" s="44" t="n">
        <f aca="false">AM51+AM52</f>
        <v>0</v>
      </c>
      <c r="AN53" s="44" t="n">
        <f aca="false">AN51+AN52</f>
        <v>0</v>
      </c>
      <c r="AO53" s="44" t="n">
        <f aca="false">AO51+AO52</f>
        <v>0</v>
      </c>
      <c r="AP53" s="44" t="n">
        <f aca="false">AP51+AP52</f>
        <v>0</v>
      </c>
      <c r="AQ53" s="44" t="n">
        <f aca="false">AQ51+AQ52</f>
        <v>0</v>
      </c>
      <c r="AR53" s="44" t="n">
        <f aca="false">AR51+AR52</f>
        <v>0</v>
      </c>
      <c r="AS53" s="44" t="n">
        <f aca="false">AS51+AS52</f>
        <v>0</v>
      </c>
      <c r="AT53" s="44" t="n">
        <f aca="false">AT51+AT52</f>
        <v>0</v>
      </c>
      <c r="AU53" s="44" t="n">
        <f aca="false">AU51+AU52</f>
        <v>0</v>
      </c>
      <c r="AV53" s="44" t="n">
        <f aca="false">AV51+AV52</f>
        <v>0</v>
      </c>
      <c r="AW53" s="44" t="n">
        <f aca="false">AW51+AW52</f>
        <v>0</v>
      </c>
      <c r="AX53" s="44" t="n">
        <f aca="false">AX51+AX52</f>
        <v>0</v>
      </c>
      <c r="AY53" s="44" t="n">
        <f aca="false">AY51+AY52</f>
        <v>0</v>
      </c>
      <c r="AZ53" s="44" t="n">
        <f aca="false">AZ51+AZ52</f>
        <v>0</v>
      </c>
      <c r="BA53" s="44" t="n">
        <f aca="false">BA51+BA52</f>
        <v>0</v>
      </c>
      <c r="BB53" s="44" t="n">
        <f aca="false">BB51+BB52</f>
        <v>0</v>
      </c>
      <c r="BC53" s="44" t="n">
        <f aca="false">BC51+BC52</f>
        <v>0</v>
      </c>
      <c r="BD53" s="44" t="n">
        <f aca="false">BD51+BD52</f>
        <v>0</v>
      </c>
      <c r="BE53" s="44" t="n">
        <f aca="false">BE51+BE52</f>
        <v>0</v>
      </c>
      <c r="BF53" s="44" t="n">
        <f aca="false">BF51+BF52</f>
        <v>0</v>
      </c>
      <c r="BG53" s="44" t="n">
        <f aca="false">BG51+BG52</f>
        <v>0</v>
      </c>
      <c r="BH53" s="44" t="n">
        <f aca="false">BH51+BH52</f>
        <v>0</v>
      </c>
      <c r="BI53" s="44" t="n">
        <f aca="false">BI51+BI52</f>
        <v>0</v>
      </c>
      <c r="BJ53" s="44" t="n">
        <f aca="false">BJ51+BJ52</f>
        <v>0</v>
      </c>
      <c r="BK53" s="44" t="n">
        <f aca="false">BK51+BK52</f>
        <v>0</v>
      </c>
      <c r="BL53" s="44" t="n">
        <f aca="false">BL51+BL52</f>
        <v>0</v>
      </c>
      <c r="BM53" s="44" t="n">
        <f aca="false">BM51+BM52</f>
        <v>0</v>
      </c>
      <c r="BN53" s="44" t="n">
        <f aca="false">BN51+BN52</f>
        <v>0</v>
      </c>
      <c r="BO53" s="44" t="n">
        <f aca="false">BO51+BO52</f>
        <v>0</v>
      </c>
      <c r="BP53" s="44" t="n">
        <f aca="false">BP51+BP52</f>
        <v>0</v>
      </c>
      <c r="BQ53" s="44" t="n">
        <f aca="false">BQ51+BQ52</f>
        <v>0</v>
      </c>
      <c r="BR53" s="44" t="n">
        <f aca="false">BR51+BR52</f>
        <v>0</v>
      </c>
      <c r="BS53" s="44" t="n">
        <f aca="false">BS51+BS52</f>
        <v>0</v>
      </c>
      <c r="BT53" s="44" t="n">
        <f aca="false">BT51+BT52</f>
        <v>0</v>
      </c>
      <c r="BU53" s="44" t="n">
        <f aca="false">BU51+BU52</f>
        <v>0</v>
      </c>
      <c r="BV53" s="44" t="n">
        <f aca="false">BV51+BV52</f>
        <v>0</v>
      </c>
      <c r="BW53" s="44" t="n">
        <f aca="false">BW51+BW52</f>
        <v>0</v>
      </c>
      <c r="BX53" s="44" t="n">
        <f aca="false">BX51+BX52</f>
        <v>0</v>
      </c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</row>
    <row r="55" customFormat="false" ht="15" hidden="false" customHeight="false" outlineLevel="0" collapsed="false">
      <c r="A55" s="1"/>
      <c r="B55" s="13" t="s">
        <v>319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</row>
    <row r="56" customFormat="false" ht="15" hidden="false" customHeight="false" outlineLevel="0" collapsed="false">
      <c r="A56" s="1"/>
      <c r="B56" s="8" t="s">
        <v>320</v>
      </c>
      <c r="C56" s="8" t="s">
        <v>76</v>
      </c>
      <c r="D56" s="1"/>
      <c r="E56" s="1"/>
      <c r="F56" s="1"/>
      <c r="G56" s="49" t="n">
        <f aca="false">Input!J36</f>
        <v>496</v>
      </c>
      <c r="H56" s="49" t="n">
        <f aca="false">Input!K36</f>
        <v>445</v>
      </c>
      <c r="I56" s="49" t="n">
        <f aca="false">Input!L36</f>
        <v>420</v>
      </c>
      <c r="J56" s="49" t="n">
        <f aca="false">Input!M36</f>
        <v>410</v>
      </c>
      <c r="K56" s="49" t="n">
        <f aca="false">Input!N36</f>
        <v>408</v>
      </c>
      <c r="L56" s="49" t="n">
        <f aca="false">Input!O36</f>
        <v>406</v>
      </c>
      <c r="M56" s="49" t="n">
        <f aca="false">Input!P36</f>
        <v>404</v>
      </c>
      <c r="N56" s="49" t="n">
        <f aca="false">Input!Q36</f>
        <v>402</v>
      </c>
      <c r="O56" s="49" t="n">
        <f aca="false">Input!R36</f>
        <v>400</v>
      </c>
      <c r="P56" s="49" t="n">
        <f aca="false">Input!S36</f>
        <v>398</v>
      </c>
      <c r="Q56" s="49" t="n">
        <f aca="false">Input!T36</f>
        <v>396</v>
      </c>
      <c r="R56" s="49" t="n">
        <f aca="false">Input!U36</f>
        <v>394</v>
      </c>
      <c r="S56" s="49" t="n">
        <f aca="false">Input!V36</f>
        <v>392</v>
      </c>
      <c r="T56" s="49" t="n">
        <f aca="false">Input!W36</f>
        <v>390</v>
      </c>
      <c r="U56" s="49" t="n">
        <f aca="false">Input!X36</f>
        <v>389</v>
      </c>
      <c r="V56" s="49" t="n">
        <f aca="false">Input!Y36</f>
        <v>388</v>
      </c>
      <c r="W56" s="49" t="n">
        <f aca="false">Input!Z36</f>
        <v>387</v>
      </c>
      <c r="X56" s="49" t="n">
        <f aca="false">Input!AA36</f>
        <v>386</v>
      </c>
      <c r="Y56" s="49" t="n">
        <f aca="false">Input!AB36</f>
        <v>385</v>
      </c>
      <c r="Z56" s="49" t="n">
        <f aca="false">Input!AC36</f>
        <v>384</v>
      </c>
      <c r="AA56" s="49" t="n">
        <f aca="false">Input!AD36</f>
        <v>383</v>
      </c>
      <c r="AB56" s="49" t="n">
        <f aca="false">Input!AE36</f>
        <v>382</v>
      </c>
      <c r="AC56" s="49" t="n">
        <f aca="false">Input!AF36</f>
        <v>381</v>
      </c>
      <c r="AD56" s="49" t="n">
        <f aca="false">Input!AG36</f>
        <v>380</v>
      </c>
      <c r="AE56" s="49" t="n">
        <f aca="false">Input!AH36</f>
        <v>380</v>
      </c>
      <c r="AF56" s="49" t="n">
        <f aca="false">Input!AI36</f>
        <v>380</v>
      </c>
      <c r="AG56" s="49" t="n">
        <f aca="false">Input!AJ36</f>
        <v>380</v>
      </c>
      <c r="AH56" s="49" t="n">
        <f aca="false">Input!AK36</f>
        <v>380</v>
      </c>
      <c r="AI56" s="49" t="n">
        <f aca="false">Input!AL36</f>
        <v>380</v>
      </c>
      <c r="AJ56" s="49" t="n">
        <f aca="false">Input!AM36</f>
        <v>380</v>
      </c>
      <c r="AK56" s="49" t="n">
        <f aca="false">Input!AN36</f>
        <v>380</v>
      </c>
      <c r="AL56" s="49" t="n">
        <f aca="false">Input!AO36</f>
        <v>380</v>
      </c>
      <c r="AM56" s="49" t="n">
        <f aca="false">Input!AP36</f>
        <v>380</v>
      </c>
      <c r="AN56" s="49" t="n">
        <f aca="false">Input!AQ36</f>
        <v>380</v>
      </c>
      <c r="AO56" s="49" t="n">
        <f aca="false">Input!AR36</f>
        <v>380</v>
      </c>
      <c r="AP56" s="49" t="n">
        <f aca="false">Input!AS36</f>
        <v>380</v>
      </c>
      <c r="AQ56" s="49" t="n">
        <f aca="false">Input!AT36</f>
        <v>380</v>
      </c>
      <c r="AR56" s="49" t="n">
        <f aca="false">Input!AU36</f>
        <v>380</v>
      </c>
      <c r="AS56" s="49" t="n">
        <f aca="false">Input!AV36</f>
        <v>380</v>
      </c>
      <c r="AT56" s="49" t="n">
        <f aca="false">Input!AW36</f>
        <v>380</v>
      </c>
      <c r="AU56" s="49" t="n">
        <f aca="false">Input!AX36</f>
        <v>380</v>
      </c>
      <c r="AV56" s="49" t="n">
        <f aca="false">Input!AY36</f>
        <v>380</v>
      </c>
      <c r="AW56" s="49" t="n">
        <f aca="false">Input!AZ36</f>
        <v>380</v>
      </c>
      <c r="AX56" s="49" t="n">
        <f aca="false">Input!BA36</f>
        <v>380</v>
      </c>
      <c r="AY56" s="49" t="n">
        <f aca="false">Input!BB36</f>
        <v>380</v>
      </c>
      <c r="AZ56" s="49" t="n">
        <f aca="false">Input!BC36</f>
        <v>380</v>
      </c>
      <c r="BA56" s="49" t="n">
        <f aca="false">Input!BD36</f>
        <v>380</v>
      </c>
      <c r="BB56" s="49" t="n">
        <f aca="false">Input!BE36</f>
        <v>380</v>
      </c>
      <c r="BC56" s="49" t="n">
        <f aca="false">Input!BF36</f>
        <v>380</v>
      </c>
      <c r="BD56" s="49" t="n">
        <f aca="false">Input!BG36</f>
        <v>380</v>
      </c>
      <c r="BE56" s="49" t="n">
        <f aca="false">Input!BH36</f>
        <v>380</v>
      </c>
      <c r="BF56" s="49" t="n">
        <f aca="false">Input!BI36</f>
        <v>380</v>
      </c>
      <c r="BG56" s="49" t="n">
        <f aca="false">Input!BJ36</f>
        <v>380</v>
      </c>
      <c r="BH56" s="49" t="n">
        <f aca="false">Input!BK36</f>
        <v>380</v>
      </c>
      <c r="BI56" s="49" t="n">
        <f aca="false">Input!BL36</f>
        <v>380</v>
      </c>
      <c r="BJ56" s="49" t="n">
        <f aca="false">Input!BM36</f>
        <v>380</v>
      </c>
      <c r="BK56" s="49" t="n">
        <f aca="false">Input!BN36</f>
        <v>380</v>
      </c>
      <c r="BL56" s="49" t="n">
        <f aca="false">Input!BO36</f>
        <v>380</v>
      </c>
      <c r="BM56" s="49" t="n">
        <f aca="false">Input!BP36</f>
        <v>380</v>
      </c>
      <c r="BN56" s="49" t="n">
        <f aca="false">Input!BQ36</f>
        <v>380</v>
      </c>
      <c r="BO56" s="49" t="n">
        <f aca="false">Input!BR36</f>
        <v>380</v>
      </c>
      <c r="BP56" s="49" t="n">
        <f aca="false">Input!BS36</f>
        <v>380</v>
      </c>
      <c r="BQ56" s="49" t="n">
        <f aca="false">Input!BT36</f>
        <v>380</v>
      </c>
      <c r="BR56" s="49" t="n">
        <f aca="false">Input!BU36</f>
        <v>380</v>
      </c>
      <c r="BS56" s="49" t="n">
        <f aca="false">Input!BV36</f>
        <v>380</v>
      </c>
      <c r="BT56" s="49" t="n">
        <f aca="false">Input!BW36</f>
        <v>380</v>
      </c>
      <c r="BU56" s="49" t="n">
        <f aca="false">Input!BX36</f>
        <v>380</v>
      </c>
      <c r="BV56" s="49" t="n">
        <f aca="false">Input!BY36</f>
        <v>380</v>
      </c>
      <c r="BW56" s="49" t="n">
        <f aca="false">Input!BZ36</f>
        <v>380</v>
      </c>
      <c r="BX56" s="49" t="n">
        <f aca="false">Input!CA36</f>
        <v>380</v>
      </c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</row>
    <row r="58" customFormat="false" ht="15" hidden="false" customHeight="false" outlineLevel="0" collapsed="false">
      <c r="A58" s="1"/>
      <c r="B58" s="13" t="s">
        <v>321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</row>
    <row r="59" customFormat="false" ht="15" hidden="false" customHeight="false" outlineLevel="0" collapsed="false">
      <c r="A59" s="1"/>
      <c r="B59" s="8" t="s">
        <v>322</v>
      </c>
      <c r="C59" s="8" t="s">
        <v>66</v>
      </c>
      <c r="D59" s="1"/>
      <c r="E59" s="1"/>
      <c r="F59" s="1"/>
      <c r="G59" s="43" t="n">
        <f aca="false">IF(G43=1,IFERROR(INDEX(Twin!$G$27:$BN$27,1,G44),0),0)</f>
        <v>0</v>
      </c>
      <c r="H59" s="43" t="n">
        <f aca="false">IF(H43=1,IFERROR(INDEX(Twin!$G$27:$BN$27,1,H44),0),0)</f>
        <v>0</v>
      </c>
      <c r="I59" s="43" t="n">
        <f aca="false">IF(I43=1,IFERROR(INDEX(Twin!$G$27:$BN$27,1,I44),0),0)</f>
        <v>0</v>
      </c>
      <c r="J59" s="43" t="n">
        <f aca="false">IF(J43=1,IFERROR(INDEX(Twin!$G$27:$BN$27,1,J44),0),0)</f>
        <v>0</v>
      </c>
      <c r="K59" s="43" t="n">
        <f aca="false">IF(K43=1,IFERROR(INDEX(Twin!$G$27:$BN$27,1,K44),0),0)</f>
        <v>0</v>
      </c>
      <c r="L59" s="43" t="n">
        <f aca="false">IF(L43=1,IFERROR(INDEX(Twin!$G$27:$BN$27,1,L44),0),0)</f>
        <v>0</v>
      </c>
      <c r="M59" s="43" t="n">
        <f aca="false">IF(M43=1,IFERROR(INDEX(Twin!$G$27:$BN$27,1,M44),0),0)</f>
        <v>0</v>
      </c>
      <c r="N59" s="43" t="n">
        <f aca="false">IF(N43=1,IFERROR(INDEX(Twin!$G$27:$BN$27,1,N44),0),0)</f>
        <v>0</v>
      </c>
      <c r="O59" s="43" t="n">
        <f aca="false">IF(O43=1,IFERROR(INDEX(Twin!$G$27:$BN$27,1,O44),0),0)</f>
        <v>0.94</v>
      </c>
      <c r="P59" s="43" t="n">
        <f aca="false">IF(P43=1,IFERROR(INDEX(Twin!$G$27:$BN$27,1,P44),0),0)</f>
        <v>0.901369863013699</v>
      </c>
      <c r="Q59" s="43" t="n">
        <f aca="false">IF(Q43=1,IFERROR(INDEX(Twin!$G$27:$BN$27,1,Q44),0),0)</f>
        <v>0.901369863013699</v>
      </c>
      <c r="R59" s="43" t="n">
        <f aca="false">IF(R43=1,IFERROR(INDEX(Twin!$G$27:$BN$27,1,R44),0),0)</f>
        <v>0.97</v>
      </c>
      <c r="S59" s="43" t="n">
        <f aca="false">IF(S43=1,IFERROR(INDEX(Twin!$G$27:$BN$27,1,S44),0),0)</f>
        <v>0.93013698630137</v>
      </c>
      <c r="T59" s="43" t="n">
        <f aca="false">IF(T43=1,IFERROR(INDEX(Twin!$G$27:$BN$27,1,T44),0),0)</f>
        <v>0.93013698630137</v>
      </c>
      <c r="U59" s="43" t="n">
        <f aca="false">IF(U43=1,IFERROR(INDEX(Twin!$G$27:$BN$27,1,U44),0),0)</f>
        <v>0.97</v>
      </c>
      <c r="V59" s="43" t="n">
        <f aca="false">IF(V43=1,IFERROR(INDEX(Twin!$G$27:$BN$27,1,V44),0),0)</f>
        <v>0.93013698630137</v>
      </c>
      <c r="W59" s="43" t="n">
        <f aca="false">IF(W43=1,IFERROR(INDEX(Twin!$G$27:$BN$27,1,W44),0),0)</f>
        <v>0.93013698630137</v>
      </c>
      <c r="X59" s="43" t="n">
        <f aca="false">IF(X43=1,IFERROR(INDEX(Twin!$G$27:$BN$27,1,X44),0),0)</f>
        <v>0.903561643835616</v>
      </c>
      <c r="Y59" s="43" t="n">
        <f aca="false">IF(Y43=1,IFERROR(INDEX(Twin!$G$27:$BN$27,1,Y44),0),0)</f>
        <v>0.93013698630137</v>
      </c>
      <c r="Z59" s="43" t="n">
        <f aca="false">IF(Z43=1,IFERROR(INDEX(Twin!$G$27:$BN$27,1,Z44),0),0)</f>
        <v>0.93013698630137</v>
      </c>
      <c r="AA59" s="43" t="n">
        <f aca="false">IF(AA43=1,IFERROR(INDEX(Twin!$G$27:$BN$27,1,AA44),0),0)</f>
        <v>0.97</v>
      </c>
      <c r="AB59" s="43" t="n">
        <f aca="false">IF(AB43=1,IFERROR(INDEX(Twin!$G$27:$BN$27,1,AB44),0),0)</f>
        <v>0.93013698630137</v>
      </c>
      <c r="AC59" s="43" t="n">
        <f aca="false">IF(AC43=1,IFERROR(INDEX(Twin!$G$27:$BN$27,1,AC44),0),0)</f>
        <v>0.93013698630137</v>
      </c>
      <c r="AD59" s="43" t="n">
        <f aca="false">IF(AD43=1,IFERROR(INDEX(Twin!$G$27:$BN$27,1,AD44),0),0)</f>
        <v>0.97</v>
      </c>
      <c r="AE59" s="43" t="n">
        <f aca="false">IF(AE43=1,IFERROR(INDEX(Twin!$G$27:$BN$27,1,AE44),0),0)</f>
        <v>0.93013698630137</v>
      </c>
      <c r="AF59" s="43" t="n">
        <f aca="false">IF(AF43=1,IFERROR(INDEX(Twin!$G$27:$BN$27,1,AF44),0),0)</f>
        <v>0.93013698630137</v>
      </c>
      <c r="AG59" s="43" t="n">
        <f aca="false">IF(AG43=1,IFERROR(INDEX(Twin!$G$27:$BN$27,1,AG44),0),0)</f>
        <v>0.97</v>
      </c>
      <c r="AH59" s="43" t="n">
        <f aca="false">IF(AH43=1,IFERROR(INDEX(Twin!$G$27:$BN$27,1,AH44),0),0)</f>
        <v>0.89027397260274</v>
      </c>
      <c r="AI59" s="43" t="n">
        <f aca="false">IF(AI43=1,IFERROR(INDEX(Twin!$G$27:$BN$27,1,AI44),0),0)</f>
        <v>0.93013698630137</v>
      </c>
      <c r="AJ59" s="43" t="n">
        <f aca="false">IF(AJ43=1,IFERROR(INDEX(Twin!$G$27:$BN$27,1,AJ44),0),0)</f>
        <v>0.97</v>
      </c>
      <c r="AK59" s="43" t="n">
        <f aca="false">IF(AK43=1,IFERROR(INDEX(Twin!$G$27:$BN$27,1,AK44),0),0)</f>
        <v>0.93013698630137</v>
      </c>
      <c r="AL59" s="43" t="n">
        <f aca="false">IF(AL43=1,IFERROR(INDEX(Twin!$G$27:$BN$27,1,AL44),0),0)</f>
        <v>0.93013698630137</v>
      </c>
      <c r="AM59" s="43" t="n">
        <f aca="false">IF(AM43=1,IFERROR(INDEX(Twin!$G$27:$BN$27,1,AM44),0),0)</f>
        <v>0.97</v>
      </c>
      <c r="AN59" s="43" t="n">
        <f aca="false">IF(AN43=1,IFERROR(INDEX(Twin!$G$27:$BN$27,1,AN44),0),0)</f>
        <v>0.93013698630137</v>
      </c>
      <c r="AO59" s="43" t="n">
        <f aca="false">IF(AO43=1,IFERROR(INDEX(Twin!$G$27:$BN$27,1,AO44),0),0)</f>
        <v>0.93013698630137</v>
      </c>
      <c r="AP59" s="43" t="n">
        <f aca="false">IF(AP43=1,IFERROR(INDEX(Twin!$G$27:$BN$27,1,AP44),0),0)</f>
        <v>0.97</v>
      </c>
      <c r="AQ59" s="43" t="n">
        <f aca="false">IF(AQ43=1,IFERROR(INDEX(Twin!$G$27:$BN$27,1,AQ44),0),0)</f>
        <v>0.93013698630137</v>
      </c>
      <c r="AR59" s="43" t="n">
        <f aca="false">IF(AR43=1,IFERROR(INDEX(Twin!$G$27:$BN$27,1,AR44),0),0)</f>
        <v>0.89027397260274</v>
      </c>
      <c r="AS59" s="43" t="n">
        <f aca="false">IF(AS43=1,IFERROR(INDEX(Twin!$G$27:$BN$27,1,AS44),0),0)</f>
        <v>0.97</v>
      </c>
      <c r="AT59" s="43" t="n">
        <f aca="false">IF(AT43=1,IFERROR(INDEX(Twin!$G$27:$BN$27,1,AT44),0),0)</f>
        <v>0.93013698630137</v>
      </c>
      <c r="AU59" s="43" t="n">
        <f aca="false">IF(AU43=1,IFERROR(INDEX(Twin!$G$27:$BN$27,1,AU44),0),0)</f>
        <v>0.93013698630137</v>
      </c>
      <c r="AV59" s="43" t="n">
        <f aca="false">IF(AV43=1,IFERROR(INDEX(Twin!$G$27:$BN$27,1,AV44),0),0)</f>
        <v>0.97</v>
      </c>
      <c r="AW59" s="43" t="n">
        <f aca="false">IF(AW43=1,IFERROR(INDEX(Twin!$G$27:$BN$27,1,AW44),0),0)</f>
        <v>0.93013698630137</v>
      </c>
      <c r="AX59" s="43" t="n">
        <f aca="false">IF(AX43=1,IFERROR(INDEX(Twin!$G$27:$BN$27,1,AX44),0),0)</f>
        <v>0.93013698630137</v>
      </c>
      <c r="AY59" s="43" t="n">
        <f aca="false">IF(AY43=1,IFERROR(INDEX(Twin!$G$27:$BN$27,1,AY44),0),0)</f>
        <v>0.97</v>
      </c>
      <c r="AZ59" s="43" t="n">
        <f aca="false">IF(AZ43=1,IFERROR(INDEX(Twin!$G$27:$BN$27,1,AZ44),0),0)</f>
        <v>0.93013698630137</v>
      </c>
      <c r="BA59" s="43" t="n">
        <f aca="false">IF(BA43=1,IFERROR(INDEX(Twin!$G$27:$BN$27,1,BA44),0),0)</f>
        <v>0.93013698630137</v>
      </c>
      <c r="BB59" s="43" t="n">
        <f aca="false">IF(BB43=1,IFERROR(INDEX(Twin!$G$27:$BN$27,1,BB44),0),0)</f>
        <v>0.903561643835616</v>
      </c>
      <c r="BC59" s="43" t="n">
        <f aca="false">IF(BC43=1,IFERROR(INDEX(Twin!$G$27:$BN$27,1,BC44),0),0)</f>
        <v>0.93013698630137</v>
      </c>
      <c r="BD59" s="43" t="n">
        <f aca="false">IF(BD43=1,IFERROR(INDEX(Twin!$G$27:$BN$27,1,BD44),0),0)</f>
        <v>0.93013698630137</v>
      </c>
      <c r="BE59" s="43" t="n">
        <f aca="false">IF(BE43=1,IFERROR(INDEX(Twin!$G$27:$BN$27,1,BE44),0),0)</f>
        <v>0.97</v>
      </c>
      <c r="BF59" s="43" t="n">
        <f aca="false">IF(BF43=1,IFERROR(INDEX(Twin!$G$27:$BN$27,1,BF44),0),0)</f>
        <v>0.93013698630137</v>
      </c>
      <c r="BG59" s="43" t="n">
        <f aca="false">IF(BG43=1,IFERROR(INDEX(Twin!$G$27:$BN$27,1,BG44),0),0)</f>
        <v>0.93013698630137</v>
      </c>
      <c r="BH59" s="43" t="n">
        <f aca="false">IF(BH43=1,IFERROR(INDEX(Twin!$G$27:$BN$27,1,BH44),0),0)</f>
        <v>0.97</v>
      </c>
      <c r="BI59" s="43" t="n">
        <f aca="false">IF(BI43=1,IFERROR(INDEX(Twin!$G$27:$BN$27,1,BI44),0),0)</f>
        <v>0.93013698630137</v>
      </c>
      <c r="BJ59" s="43" t="n">
        <f aca="false">IF(BJ43=1,IFERROR(INDEX(Twin!$G$27:$BN$27,1,BJ44),0),0)</f>
        <v>0.93013698630137</v>
      </c>
      <c r="BK59" s="43" t="n">
        <f aca="false">IF(BK43=1,IFERROR(INDEX(Twin!$G$27:$BN$27,1,BK44),0),0)</f>
        <v>0.97</v>
      </c>
      <c r="BL59" s="43" t="n">
        <f aca="false">IF(BL43=1,IFERROR(INDEX(Twin!$G$27:$BN$27,1,BL44),0),0)</f>
        <v>0.89027397260274</v>
      </c>
      <c r="BM59" s="43" t="n">
        <f aca="false">IF(BM43=1,IFERROR(INDEX(Twin!$G$27:$BN$27,1,BM44),0),0)</f>
        <v>0.93013698630137</v>
      </c>
      <c r="BN59" s="43" t="n">
        <f aca="false">IF(BN43=1,IFERROR(INDEX(Twin!$G$27:$BN$27,1,BN44),0),0)</f>
        <v>0.97</v>
      </c>
      <c r="BO59" s="43" t="n">
        <f aca="false">IF(BO43=1,IFERROR(INDEX(Twin!$G$27:$BN$27,1,BO44),0),0)</f>
        <v>0.93013698630137</v>
      </c>
      <c r="BP59" s="43" t="n">
        <f aca="false">IF(BP43=1,IFERROR(INDEX(Twin!$G$27:$BN$27,1,BP44),0),0)</f>
        <v>0.93013698630137</v>
      </c>
      <c r="BQ59" s="43" t="n">
        <f aca="false">IF(BQ43=1,IFERROR(INDEX(Twin!$G$27:$BN$27,1,BQ44),0),0)</f>
        <v>0.97</v>
      </c>
      <c r="BR59" s="43" t="n">
        <f aca="false">IF(BR43=1,IFERROR(INDEX(Twin!$G$27:$BN$27,1,BR44),0),0)</f>
        <v>0.93013698630137</v>
      </c>
      <c r="BS59" s="43" t="n">
        <f aca="false">IF(BS43=1,IFERROR(INDEX(Twin!$G$27:$BN$27,1,BS44),0),0)</f>
        <v>0.93013698630137</v>
      </c>
      <c r="BT59" s="43" t="n">
        <f aca="false">IF(BT43=1,IFERROR(INDEX(Twin!$G$27:$BN$27,1,BT44),0),0)</f>
        <v>0.97</v>
      </c>
      <c r="BU59" s="43" t="n">
        <f aca="false">IF(BU43=1,IFERROR(INDEX(Twin!$G$27:$BN$27,1,BU44),0),0)</f>
        <v>0.93013698630137</v>
      </c>
      <c r="BV59" s="43" t="n">
        <f aca="false">IF(BV43=1,IFERROR(INDEX(Twin!$G$27:$BN$27,1,BV44),0),0)</f>
        <v>0.89027397260274</v>
      </c>
      <c r="BW59" s="43" t="n">
        <f aca="false">IF(BW43=1,IFERROR(INDEX(Twin!$G$27:$BN$27,1,BW44),0),0)</f>
        <v>0</v>
      </c>
      <c r="BX59" s="43" t="n">
        <f aca="false">IF(BX43=1,IFERROR(INDEX(Twin!$G$27:$BN$27,1,BX44),0),0)</f>
        <v>0</v>
      </c>
    </row>
    <row r="60" customFormat="false" ht="15" hidden="false" customHeight="false" outlineLevel="0" collapsed="false">
      <c r="A60" s="1"/>
      <c r="B60" s="8" t="s">
        <v>406</v>
      </c>
      <c r="C60" s="8" t="s">
        <v>324</v>
      </c>
      <c r="D60" s="44" t="n">
        <f aca="false">SUM(G60:BX60)</f>
        <v>147760920</v>
      </c>
      <c r="E60" s="1"/>
      <c r="F60" s="1"/>
      <c r="G60" s="48" t="n">
        <f aca="false">G59*$D$7*8760</f>
        <v>0</v>
      </c>
      <c r="H60" s="48" t="n">
        <f aca="false">H59*$D$7*8760</f>
        <v>0</v>
      </c>
      <c r="I60" s="48" t="n">
        <f aca="false">I59*$D$7*8760</f>
        <v>0</v>
      </c>
      <c r="J60" s="48" t="n">
        <f aca="false">J59*$D$7*8760</f>
        <v>0</v>
      </c>
      <c r="K60" s="48" t="n">
        <f aca="false">K59*$D$7*8760</f>
        <v>0</v>
      </c>
      <c r="L60" s="48" t="n">
        <f aca="false">L59*$D$7*8760</f>
        <v>0</v>
      </c>
      <c r="M60" s="48" t="n">
        <f aca="false">M59*$D$7*8760</f>
        <v>0</v>
      </c>
      <c r="N60" s="48" t="n">
        <f aca="false">N59*$D$7*8760</f>
        <v>0</v>
      </c>
      <c r="O60" s="48" t="n">
        <f aca="false">O59*$D$7*8760</f>
        <v>2470320</v>
      </c>
      <c r="P60" s="48" t="n">
        <f aca="false">P59*$D$7*8760</f>
        <v>2368800</v>
      </c>
      <c r="Q60" s="48" t="n">
        <f aca="false">Q59*$D$7*8760</f>
        <v>2368800</v>
      </c>
      <c r="R60" s="48" t="n">
        <f aca="false">R59*$D$7*8760</f>
        <v>2549160</v>
      </c>
      <c r="S60" s="48" t="n">
        <f aca="false">S59*$D$7*8760</f>
        <v>2444400</v>
      </c>
      <c r="T60" s="48" t="n">
        <f aca="false">T59*$D$7*8760</f>
        <v>2444400</v>
      </c>
      <c r="U60" s="48" t="n">
        <f aca="false">U59*$D$7*8760</f>
        <v>2549160</v>
      </c>
      <c r="V60" s="48" t="n">
        <f aca="false">V59*$D$7*8760</f>
        <v>2444400</v>
      </c>
      <c r="W60" s="48" t="n">
        <f aca="false">W59*$D$7*8760</f>
        <v>2444400</v>
      </c>
      <c r="X60" s="48" t="n">
        <f aca="false">X59*$D$7*8760</f>
        <v>2374560</v>
      </c>
      <c r="Y60" s="48" t="n">
        <f aca="false">Y59*$D$7*8760</f>
        <v>2444400</v>
      </c>
      <c r="Z60" s="48" t="n">
        <f aca="false">Z59*$D$7*8760</f>
        <v>2444400</v>
      </c>
      <c r="AA60" s="48" t="n">
        <f aca="false">AA59*$D$7*8760</f>
        <v>2549160</v>
      </c>
      <c r="AB60" s="48" t="n">
        <f aca="false">AB59*$D$7*8760</f>
        <v>2444400</v>
      </c>
      <c r="AC60" s="48" t="n">
        <f aca="false">AC59*$D$7*8760</f>
        <v>2444400</v>
      </c>
      <c r="AD60" s="48" t="n">
        <f aca="false">AD59*$D$7*8760</f>
        <v>2549160</v>
      </c>
      <c r="AE60" s="48" t="n">
        <f aca="false">AE59*$D$7*8760</f>
        <v>2444400</v>
      </c>
      <c r="AF60" s="48" t="n">
        <f aca="false">AF59*$D$7*8760</f>
        <v>2444400</v>
      </c>
      <c r="AG60" s="48" t="n">
        <f aca="false">AG59*$D$7*8760</f>
        <v>2549160</v>
      </c>
      <c r="AH60" s="48" t="n">
        <f aca="false">AH59*$D$7*8760</f>
        <v>2339640</v>
      </c>
      <c r="AI60" s="48" t="n">
        <f aca="false">AI59*$D$7*8760</f>
        <v>2444400</v>
      </c>
      <c r="AJ60" s="48" t="n">
        <f aca="false">AJ59*$D$7*8760</f>
        <v>2549160</v>
      </c>
      <c r="AK60" s="48" t="n">
        <f aca="false">AK59*$D$7*8760</f>
        <v>2444400</v>
      </c>
      <c r="AL60" s="48" t="n">
        <f aca="false">AL59*$D$7*8760</f>
        <v>2444400</v>
      </c>
      <c r="AM60" s="48" t="n">
        <f aca="false">AM59*$D$7*8760</f>
        <v>2549160</v>
      </c>
      <c r="AN60" s="48" t="n">
        <f aca="false">AN59*$D$7*8760</f>
        <v>2444400</v>
      </c>
      <c r="AO60" s="48" t="n">
        <f aca="false">AO59*$D$7*8760</f>
        <v>2444400</v>
      </c>
      <c r="AP60" s="48" t="n">
        <f aca="false">AP59*$D$7*8760</f>
        <v>2549160</v>
      </c>
      <c r="AQ60" s="48" t="n">
        <f aca="false">AQ59*$D$7*8760</f>
        <v>2444400</v>
      </c>
      <c r="AR60" s="48" t="n">
        <f aca="false">AR59*$D$7*8760</f>
        <v>2339640</v>
      </c>
      <c r="AS60" s="48" t="n">
        <f aca="false">AS59*$D$7*8760</f>
        <v>2549160</v>
      </c>
      <c r="AT60" s="48" t="n">
        <f aca="false">AT59*$D$7*8760</f>
        <v>2444400</v>
      </c>
      <c r="AU60" s="48" t="n">
        <f aca="false">AU59*$D$7*8760</f>
        <v>2444400</v>
      </c>
      <c r="AV60" s="48" t="n">
        <f aca="false">AV59*$D$7*8760</f>
        <v>2549160</v>
      </c>
      <c r="AW60" s="48" t="n">
        <f aca="false">AW59*$D$7*8760</f>
        <v>2444400</v>
      </c>
      <c r="AX60" s="48" t="n">
        <f aca="false">AX59*$D$7*8760</f>
        <v>2444400</v>
      </c>
      <c r="AY60" s="48" t="n">
        <f aca="false">AY59*$D$7*8760</f>
        <v>2549160</v>
      </c>
      <c r="AZ60" s="48" t="n">
        <f aca="false">AZ59*$D$7*8760</f>
        <v>2444400</v>
      </c>
      <c r="BA60" s="48" t="n">
        <f aca="false">BA59*$D$7*8760</f>
        <v>2444400</v>
      </c>
      <c r="BB60" s="48" t="n">
        <f aca="false">BB59*$D$7*8760</f>
        <v>2374560</v>
      </c>
      <c r="BC60" s="48" t="n">
        <f aca="false">BC59*$D$7*8760</f>
        <v>2444400</v>
      </c>
      <c r="BD60" s="48" t="n">
        <f aca="false">BD59*$D$7*8760</f>
        <v>2444400</v>
      </c>
      <c r="BE60" s="48" t="n">
        <f aca="false">BE59*$D$7*8760</f>
        <v>2549160</v>
      </c>
      <c r="BF60" s="48" t="n">
        <f aca="false">BF59*$D$7*8760</f>
        <v>2444400</v>
      </c>
      <c r="BG60" s="48" t="n">
        <f aca="false">BG59*$D$7*8760</f>
        <v>2444400</v>
      </c>
      <c r="BH60" s="48" t="n">
        <f aca="false">BH59*$D$7*8760</f>
        <v>2549160</v>
      </c>
      <c r="BI60" s="48" t="n">
        <f aca="false">BI59*$D$7*8760</f>
        <v>2444400</v>
      </c>
      <c r="BJ60" s="48" t="n">
        <f aca="false">BJ59*$D$7*8760</f>
        <v>2444400</v>
      </c>
      <c r="BK60" s="48" t="n">
        <f aca="false">BK59*$D$7*8760</f>
        <v>2549160</v>
      </c>
      <c r="BL60" s="48" t="n">
        <f aca="false">BL59*$D$7*8760</f>
        <v>2339640</v>
      </c>
      <c r="BM60" s="48" t="n">
        <f aca="false">BM59*$D$7*8760</f>
        <v>2444400</v>
      </c>
      <c r="BN60" s="48" t="n">
        <f aca="false">BN59*$D$7*8760</f>
        <v>2549160</v>
      </c>
      <c r="BO60" s="48" t="n">
        <f aca="false">BO59*$D$7*8760</f>
        <v>2444400</v>
      </c>
      <c r="BP60" s="48" t="n">
        <f aca="false">BP59*$D$7*8760</f>
        <v>2444400</v>
      </c>
      <c r="BQ60" s="48" t="n">
        <f aca="false">BQ59*$D$7*8760</f>
        <v>2549160</v>
      </c>
      <c r="BR60" s="48" t="n">
        <f aca="false">BR59*$D$7*8760</f>
        <v>2444400</v>
      </c>
      <c r="BS60" s="48" t="n">
        <f aca="false">BS59*$D$7*8760</f>
        <v>2444400</v>
      </c>
      <c r="BT60" s="48" t="n">
        <f aca="false">BT59*$D$7*8760</f>
        <v>2549160</v>
      </c>
      <c r="BU60" s="48" t="n">
        <f aca="false">BU59*$D$7*8760</f>
        <v>2444400</v>
      </c>
      <c r="BV60" s="48" t="n">
        <f aca="false">BV59*$D$7*8760</f>
        <v>2339640</v>
      </c>
      <c r="BW60" s="48" t="n">
        <f aca="false">BW59*$D$7*8760</f>
        <v>0</v>
      </c>
      <c r="BX60" s="48" t="n">
        <f aca="false">BX59*$D$7*8760</f>
        <v>0</v>
      </c>
    </row>
    <row r="61" customFormat="false" ht="15" hidden="false" customHeight="false" outlineLevel="0" collapsed="false">
      <c r="A61" s="1"/>
      <c r="B61" s="8" t="s">
        <v>407</v>
      </c>
      <c r="C61" s="8" t="s">
        <v>76</v>
      </c>
      <c r="D61" s="1"/>
      <c r="E61" s="1"/>
      <c r="F61" s="1"/>
      <c r="G61" s="49" t="n">
        <f aca="false">IF(G43=1,$D$37,0)</f>
        <v>0</v>
      </c>
      <c r="H61" s="49" t="n">
        <f aca="false">IF(H43=1,$D$37,0)</f>
        <v>0</v>
      </c>
      <c r="I61" s="49" t="n">
        <f aca="false">IF(I43=1,$D$37,0)</f>
        <v>0</v>
      </c>
      <c r="J61" s="49" t="n">
        <f aca="false">IF(J43=1,$D$37,0)</f>
        <v>0</v>
      </c>
      <c r="K61" s="49" t="n">
        <f aca="false">IF(K43=1,$D$37,0)</f>
        <v>0</v>
      </c>
      <c r="L61" s="49" t="n">
        <f aca="false">IF(L43=1,$D$37,0)</f>
        <v>0</v>
      </c>
      <c r="M61" s="49" t="n">
        <f aca="false">IF(M43=1,$D$37,0)</f>
        <v>0</v>
      </c>
      <c r="N61" s="49" t="n">
        <f aca="false">IF(N43=1,$D$37,0)</f>
        <v>0</v>
      </c>
      <c r="O61" s="49" t="n">
        <f aca="false">IF(O43=1,$D$37,0)</f>
        <v>483.39</v>
      </c>
      <c r="P61" s="49" t="n">
        <f aca="false">IF(P43=1,$D$37,0)</f>
        <v>483.39</v>
      </c>
      <c r="Q61" s="49" t="n">
        <f aca="false">IF(Q43=1,$D$37,0)</f>
        <v>483.39</v>
      </c>
      <c r="R61" s="49" t="n">
        <f aca="false">IF(R43=1,$D$37,0)</f>
        <v>483.39</v>
      </c>
      <c r="S61" s="49" t="n">
        <f aca="false">IF(S43=1,$D$37,0)</f>
        <v>483.39</v>
      </c>
      <c r="T61" s="49" t="n">
        <f aca="false">IF(T43=1,$D$37,0)</f>
        <v>483.39</v>
      </c>
      <c r="U61" s="49" t="n">
        <f aca="false">IF(U43=1,$D$37,0)</f>
        <v>483.39</v>
      </c>
      <c r="V61" s="49" t="n">
        <f aca="false">IF(V43=1,$D$37,0)</f>
        <v>483.39</v>
      </c>
      <c r="W61" s="49" t="n">
        <f aca="false">IF(W43=1,$D$37,0)</f>
        <v>483.39</v>
      </c>
      <c r="X61" s="49" t="n">
        <f aca="false">IF(X43=1,$D$37,0)</f>
        <v>483.39</v>
      </c>
      <c r="Y61" s="49" t="n">
        <f aca="false">IF(Y43=1,$D$37,0)</f>
        <v>483.39</v>
      </c>
      <c r="Z61" s="49" t="n">
        <f aca="false">IF(Z43=1,$D$37,0)</f>
        <v>483.39</v>
      </c>
      <c r="AA61" s="49" t="n">
        <f aca="false">IF(AA43=1,$D$37,0)</f>
        <v>483.39</v>
      </c>
      <c r="AB61" s="49" t="n">
        <f aca="false">IF(AB43=1,$D$37,0)</f>
        <v>483.39</v>
      </c>
      <c r="AC61" s="49" t="n">
        <f aca="false">IF(AC43=1,$D$37,0)</f>
        <v>483.39</v>
      </c>
      <c r="AD61" s="49" t="n">
        <f aca="false">IF(AD43=1,$D$37,0)</f>
        <v>483.39</v>
      </c>
      <c r="AE61" s="49" t="n">
        <f aca="false">IF(AE43=1,$D$37,0)</f>
        <v>483.39</v>
      </c>
      <c r="AF61" s="49" t="n">
        <f aca="false">IF(AF43=1,$D$37,0)</f>
        <v>483.39</v>
      </c>
      <c r="AG61" s="49" t="n">
        <f aca="false">IF(AG43=1,$D$37,0)</f>
        <v>483.39</v>
      </c>
      <c r="AH61" s="49" t="n">
        <f aca="false">IF(AH43=1,$D$37,0)</f>
        <v>483.39</v>
      </c>
      <c r="AI61" s="49" t="n">
        <f aca="false">IF(AI43=1,$D$37,0)</f>
        <v>483.39</v>
      </c>
      <c r="AJ61" s="49" t="n">
        <f aca="false">IF(AJ43=1,$D$37,0)</f>
        <v>483.39</v>
      </c>
      <c r="AK61" s="49" t="n">
        <f aca="false">IF(AK43=1,$D$37,0)</f>
        <v>483.39</v>
      </c>
      <c r="AL61" s="49" t="n">
        <f aca="false">IF(AL43=1,$D$37,0)</f>
        <v>483.39</v>
      </c>
      <c r="AM61" s="49" t="n">
        <f aca="false">IF(AM43=1,$D$37,0)</f>
        <v>483.39</v>
      </c>
      <c r="AN61" s="49" t="n">
        <f aca="false">IF(AN43=1,$D$37,0)</f>
        <v>483.39</v>
      </c>
      <c r="AO61" s="49" t="n">
        <f aca="false">IF(AO43=1,$D$37,0)</f>
        <v>483.39</v>
      </c>
      <c r="AP61" s="49" t="n">
        <f aca="false">IF(AP43=1,$D$37,0)</f>
        <v>483.39</v>
      </c>
      <c r="AQ61" s="49" t="n">
        <f aca="false">IF(AQ43=1,$D$37,0)</f>
        <v>483.39</v>
      </c>
      <c r="AR61" s="49" t="n">
        <f aca="false">IF(AR43=1,$D$37,0)</f>
        <v>483.39</v>
      </c>
      <c r="AS61" s="49" t="n">
        <f aca="false">IF(AS43=1,$D$37,0)</f>
        <v>483.39</v>
      </c>
      <c r="AT61" s="49" t="n">
        <f aca="false">IF(AT43=1,$D$37,0)</f>
        <v>483.39</v>
      </c>
      <c r="AU61" s="49" t="n">
        <f aca="false">IF(AU43=1,$D$37,0)</f>
        <v>483.39</v>
      </c>
      <c r="AV61" s="49" t="n">
        <f aca="false">IF(AV43=1,$D$37,0)</f>
        <v>483.39</v>
      </c>
      <c r="AW61" s="49" t="n">
        <f aca="false">IF(AW43=1,$D$37,0)</f>
        <v>483.39</v>
      </c>
      <c r="AX61" s="49" t="n">
        <f aca="false">IF(AX43=1,$D$37,0)</f>
        <v>483.39</v>
      </c>
      <c r="AY61" s="49" t="n">
        <f aca="false">IF(AY43=1,$D$37,0)</f>
        <v>483.39</v>
      </c>
      <c r="AZ61" s="49" t="n">
        <f aca="false">IF(AZ43=1,$D$37,0)</f>
        <v>483.39</v>
      </c>
      <c r="BA61" s="49" t="n">
        <f aca="false">IF(BA43=1,$D$37,0)</f>
        <v>483.39</v>
      </c>
      <c r="BB61" s="49" t="n">
        <f aca="false">IF(BB43=1,$D$37,0)</f>
        <v>483.39</v>
      </c>
      <c r="BC61" s="49" t="n">
        <f aca="false">IF(BC43=1,$D$37,0)</f>
        <v>483.39</v>
      </c>
      <c r="BD61" s="49" t="n">
        <f aca="false">IF(BD43=1,$D$37,0)</f>
        <v>483.39</v>
      </c>
      <c r="BE61" s="49" t="n">
        <f aca="false">IF(BE43=1,$D$37,0)</f>
        <v>483.39</v>
      </c>
      <c r="BF61" s="49" t="n">
        <f aca="false">IF(BF43=1,$D$37,0)</f>
        <v>483.39</v>
      </c>
      <c r="BG61" s="49" t="n">
        <f aca="false">IF(BG43=1,$D$37,0)</f>
        <v>483.39</v>
      </c>
      <c r="BH61" s="49" t="n">
        <f aca="false">IF(BH43=1,$D$37,0)</f>
        <v>483.39</v>
      </c>
      <c r="BI61" s="49" t="n">
        <f aca="false">IF(BI43=1,$D$37,0)</f>
        <v>483.39</v>
      </c>
      <c r="BJ61" s="49" t="n">
        <f aca="false">IF(BJ43=1,$D$37,0)</f>
        <v>483.39</v>
      </c>
      <c r="BK61" s="49" t="n">
        <f aca="false">IF(BK43=1,$D$37,0)</f>
        <v>483.39</v>
      </c>
      <c r="BL61" s="49" t="n">
        <f aca="false">IF(BL43=1,$D$37,0)</f>
        <v>483.39</v>
      </c>
      <c r="BM61" s="49" t="n">
        <f aca="false">IF(BM43=1,$D$37,0)</f>
        <v>483.39</v>
      </c>
      <c r="BN61" s="49" t="n">
        <f aca="false">IF(BN43=1,$D$37,0)</f>
        <v>483.39</v>
      </c>
      <c r="BO61" s="49" t="n">
        <f aca="false">IF(BO43=1,$D$37,0)</f>
        <v>483.39</v>
      </c>
      <c r="BP61" s="49" t="n">
        <f aca="false">IF(BP43=1,$D$37,0)</f>
        <v>483.39</v>
      </c>
      <c r="BQ61" s="49" t="n">
        <f aca="false">IF(BQ43=1,$D$37,0)</f>
        <v>483.39</v>
      </c>
      <c r="BR61" s="49" t="n">
        <f aca="false">IF(BR43=1,$D$37,0)</f>
        <v>483.39</v>
      </c>
      <c r="BS61" s="49" t="n">
        <f aca="false">IF(BS43=1,$D$37,0)</f>
        <v>483.39</v>
      </c>
      <c r="BT61" s="49" t="n">
        <f aca="false">IF(BT43=1,$D$37,0)</f>
        <v>483.39</v>
      </c>
      <c r="BU61" s="49" t="n">
        <f aca="false">IF(BU43=1,$D$37,0)</f>
        <v>483.39</v>
      </c>
      <c r="BV61" s="49" t="n">
        <f aca="false">IF(BV43=1,$D$37,0)</f>
        <v>483.39</v>
      </c>
      <c r="BW61" s="49" t="n">
        <f aca="false">IF(BW43=1,$D$37,0)</f>
        <v>0</v>
      </c>
      <c r="BX61" s="49" t="n">
        <f aca="false">IF(BX43=1,$D$37,0)</f>
        <v>0</v>
      </c>
    </row>
    <row r="62" customFormat="false" ht="15" hidden="false" customHeight="false" outlineLevel="0" collapsed="false">
      <c r="A62" s="1"/>
      <c r="B62" s="8" t="s">
        <v>326</v>
      </c>
      <c r="C62" s="8" t="s">
        <v>126</v>
      </c>
      <c r="D62" s="44" t="n">
        <f aca="false">SUM(G62:BX62)</f>
        <v>71426.1511188</v>
      </c>
      <c r="E62" s="1"/>
      <c r="F62" s="1"/>
      <c r="G62" s="48" t="n">
        <f aca="false">G60*G61/1000000</f>
        <v>0</v>
      </c>
      <c r="H62" s="48" t="n">
        <f aca="false">H60*H61/1000000</f>
        <v>0</v>
      </c>
      <c r="I62" s="48" t="n">
        <f aca="false">I60*I61/1000000</f>
        <v>0</v>
      </c>
      <c r="J62" s="48" t="n">
        <f aca="false">J60*J61/1000000</f>
        <v>0</v>
      </c>
      <c r="K62" s="48" t="n">
        <f aca="false">K60*K61/1000000</f>
        <v>0</v>
      </c>
      <c r="L62" s="48" t="n">
        <f aca="false">L60*L61/1000000</f>
        <v>0</v>
      </c>
      <c r="M62" s="48" t="n">
        <f aca="false">M60*M61/1000000</f>
        <v>0</v>
      </c>
      <c r="N62" s="48" t="n">
        <f aca="false">N60*N61/1000000</f>
        <v>0</v>
      </c>
      <c r="O62" s="48" t="n">
        <f aca="false">O60*O61/1000000</f>
        <v>1194.1279848</v>
      </c>
      <c r="P62" s="48" t="n">
        <f aca="false">P60*P61/1000000</f>
        <v>1145.054232</v>
      </c>
      <c r="Q62" s="48" t="n">
        <f aca="false">Q60*Q61/1000000</f>
        <v>1145.054232</v>
      </c>
      <c r="R62" s="48" t="n">
        <f aca="false">R60*R61/1000000</f>
        <v>1232.2384524</v>
      </c>
      <c r="S62" s="48" t="n">
        <f aca="false">S60*S61/1000000</f>
        <v>1181.598516</v>
      </c>
      <c r="T62" s="48" t="n">
        <f aca="false">T60*T61/1000000</f>
        <v>1181.598516</v>
      </c>
      <c r="U62" s="48" t="n">
        <f aca="false">U60*U61/1000000</f>
        <v>1232.2384524</v>
      </c>
      <c r="V62" s="48" t="n">
        <f aca="false">V60*V61/1000000</f>
        <v>1181.598516</v>
      </c>
      <c r="W62" s="48" t="n">
        <f aca="false">W60*W61/1000000</f>
        <v>1181.598516</v>
      </c>
      <c r="X62" s="48" t="n">
        <f aca="false">X60*X61/1000000</f>
        <v>1147.8385584</v>
      </c>
      <c r="Y62" s="48" t="n">
        <f aca="false">Y60*Y61/1000000</f>
        <v>1181.598516</v>
      </c>
      <c r="Z62" s="48" t="n">
        <f aca="false">Z60*Z61/1000000</f>
        <v>1181.598516</v>
      </c>
      <c r="AA62" s="48" t="n">
        <f aca="false">AA60*AA61/1000000</f>
        <v>1232.2384524</v>
      </c>
      <c r="AB62" s="48" t="n">
        <f aca="false">AB60*AB61/1000000</f>
        <v>1181.598516</v>
      </c>
      <c r="AC62" s="48" t="n">
        <f aca="false">AC60*AC61/1000000</f>
        <v>1181.598516</v>
      </c>
      <c r="AD62" s="48" t="n">
        <f aca="false">AD60*AD61/1000000</f>
        <v>1232.2384524</v>
      </c>
      <c r="AE62" s="48" t="n">
        <f aca="false">AE60*AE61/1000000</f>
        <v>1181.598516</v>
      </c>
      <c r="AF62" s="48" t="n">
        <f aca="false">AF60*AF61/1000000</f>
        <v>1181.598516</v>
      </c>
      <c r="AG62" s="48" t="n">
        <f aca="false">AG60*AG61/1000000</f>
        <v>1232.2384524</v>
      </c>
      <c r="AH62" s="48" t="n">
        <f aca="false">AH60*AH61/1000000</f>
        <v>1130.9585796</v>
      </c>
      <c r="AI62" s="48" t="n">
        <f aca="false">AI60*AI61/1000000</f>
        <v>1181.598516</v>
      </c>
      <c r="AJ62" s="48" t="n">
        <f aca="false">AJ60*AJ61/1000000</f>
        <v>1232.2384524</v>
      </c>
      <c r="AK62" s="48" t="n">
        <f aca="false">AK60*AK61/1000000</f>
        <v>1181.598516</v>
      </c>
      <c r="AL62" s="48" t="n">
        <f aca="false">AL60*AL61/1000000</f>
        <v>1181.598516</v>
      </c>
      <c r="AM62" s="48" t="n">
        <f aca="false">AM60*AM61/1000000</f>
        <v>1232.2384524</v>
      </c>
      <c r="AN62" s="48" t="n">
        <f aca="false">AN60*AN61/1000000</f>
        <v>1181.598516</v>
      </c>
      <c r="AO62" s="48" t="n">
        <f aca="false">AO60*AO61/1000000</f>
        <v>1181.598516</v>
      </c>
      <c r="AP62" s="48" t="n">
        <f aca="false">AP60*AP61/1000000</f>
        <v>1232.2384524</v>
      </c>
      <c r="AQ62" s="48" t="n">
        <f aca="false">AQ60*AQ61/1000000</f>
        <v>1181.598516</v>
      </c>
      <c r="AR62" s="48" t="n">
        <f aca="false">AR60*AR61/1000000</f>
        <v>1130.9585796</v>
      </c>
      <c r="AS62" s="48" t="n">
        <f aca="false">AS60*AS61/1000000</f>
        <v>1232.2384524</v>
      </c>
      <c r="AT62" s="48" t="n">
        <f aca="false">AT60*AT61/1000000</f>
        <v>1181.598516</v>
      </c>
      <c r="AU62" s="48" t="n">
        <f aca="false">AU60*AU61/1000000</f>
        <v>1181.598516</v>
      </c>
      <c r="AV62" s="48" t="n">
        <f aca="false">AV60*AV61/1000000</f>
        <v>1232.2384524</v>
      </c>
      <c r="AW62" s="48" t="n">
        <f aca="false">AW60*AW61/1000000</f>
        <v>1181.598516</v>
      </c>
      <c r="AX62" s="48" t="n">
        <f aca="false">AX60*AX61/1000000</f>
        <v>1181.598516</v>
      </c>
      <c r="AY62" s="48" t="n">
        <f aca="false">AY60*AY61/1000000</f>
        <v>1232.2384524</v>
      </c>
      <c r="AZ62" s="48" t="n">
        <f aca="false">AZ60*AZ61/1000000</f>
        <v>1181.598516</v>
      </c>
      <c r="BA62" s="48" t="n">
        <f aca="false">BA60*BA61/1000000</f>
        <v>1181.598516</v>
      </c>
      <c r="BB62" s="48" t="n">
        <f aca="false">BB60*BB61/1000000</f>
        <v>1147.8385584</v>
      </c>
      <c r="BC62" s="48" t="n">
        <f aca="false">BC60*BC61/1000000</f>
        <v>1181.598516</v>
      </c>
      <c r="BD62" s="48" t="n">
        <f aca="false">BD60*BD61/1000000</f>
        <v>1181.598516</v>
      </c>
      <c r="BE62" s="48" t="n">
        <f aca="false">BE60*BE61/1000000</f>
        <v>1232.2384524</v>
      </c>
      <c r="BF62" s="48" t="n">
        <f aca="false">BF60*BF61/1000000</f>
        <v>1181.598516</v>
      </c>
      <c r="BG62" s="48" t="n">
        <f aca="false">BG60*BG61/1000000</f>
        <v>1181.598516</v>
      </c>
      <c r="BH62" s="48" t="n">
        <f aca="false">BH60*BH61/1000000</f>
        <v>1232.2384524</v>
      </c>
      <c r="BI62" s="48" t="n">
        <f aca="false">BI60*BI61/1000000</f>
        <v>1181.598516</v>
      </c>
      <c r="BJ62" s="48" t="n">
        <f aca="false">BJ60*BJ61/1000000</f>
        <v>1181.598516</v>
      </c>
      <c r="BK62" s="48" t="n">
        <f aca="false">BK60*BK61/1000000</f>
        <v>1232.2384524</v>
      </c>
      <c r="BL62" s="48" t="n">
        <f aca="false">BL60*BL61/1000000</f>
        <v>1130.9585796</v>
      </c>
      <c r="BM62" s="48" t="n">
        <f aca="false">BM60*BM61/1000000</f>
        <v>1181.598516</v>
      </c>
      <c r="BN62" s="48" t="n">
        <f aca="false">BN60*BN61/1000000</f>
        <v>1232.2384524</v>
      </c>
      <c r="BO62" s="48" t="n">
        <f aca="false">BO60*BO61/1000000</f>
        <v>1181.598516</v>
      </c>
      <c r="BP62" s="48" t="n">
        <f aca="false">BP60*BP61/1000000</f>
        <v>1181.598516</v>
      </c>
      <c r="BQ62" s="48" t="n">
        <f aca="false">BQ60*BQ61/1000000</f>
        <v>1232.2384524</v>
      </c>
      <c r="BR62" s="48" t="n">
        <f aca="false">BR60*BR61/1000000</f>
        <v>1181.598516</v>
      </c>
      <c r="BS62" s="48" t="n">
        <f aca="false">BS60*BS61/1000000</f>
        <v>1181.598516</v>
      </c>
      <c r="BT62" s="48" t="n">
        <f aca="false">BT60*BT61/1000000</f>
        <v>1232.2384524</v>
      </c>
      <c r="BU62" s="48" t="n">
        <f aca="false">BU60*BU61/1000000</f>
        <v>1181.598516</v>
      </c>
      <c r="BV62" s="48" t="n">
        <f aca="false">BV60*BV61/1000000</f>
        <v>1130.9585796</v>
      </c>
      <c r="BW62" s="48" t="n">
        <f aca="false">BW60*BW61/1000000</f>
        <v>0</v>
      </c>
      <c r="BX62" s="48" t="n">
        <f aca="false">BX60*BX61/1000000</f>
        <v>0</v>
      </c>
    </row>
    <row r="63" customFormat="false" ht="15" hidden="false" customHeight="false" outlineLevel="0" collapsed="false">
      <c r="A63" s="1"/>
      <c r="B63" s="8" t="s">
        <v>408</v>
      </c>
      <c r="C63" s="8" t="s">
        <v>126</v>
      </c>
      <c r="D63" s="44" t="n">
        <f aca="false">SUM(G63:BX63)</f>
        <v>0</v>
      </c>
      <c r="E63" s="1"/>
      <c r="F63" s="1"/>
      <c r="G63" s="48" t="n">
        <f aca="false">0</f>
        <v>0</v>
      </c>
      <c r="H63" s="48" t="n">
        <f aca="false">0</f>
        <v>0</v>
      </c>
      <c r="I63" s="48" t="n">
        <f aca="false">0</f>
        <v>0</v>
      </c>
      <c r="J63" s="48" t="n">
        <f aca="false">0</f>
        <v>0</v>
      </c>
      <c r="K63" s="48" t="n">
        <f aca="false">0</f>
        <v>0</v>
      </c>
      <c r="L63" s="48" t="n">
        <f aca="false">0</f>
        <v>0</v>
      </c>
      <c r="M63" s="48" t="n">
        <f aca="false">0</f>
        <v>0</v>
      </c>
      <c r="N63" s="48" t="n">
        <f aca="false">0</f>
        <v>0</v>
      </c>
      <c r="O63" s="48" t="n">
        <f aca="false">0</f>
        <v>0</v>
      </c>
      <c r="P63" s="48" t="n">
        <f aca="false">0</f>
        <v>0</v>
      </c>
      <c r="Q63" s="48" t="n">
        <f aca="false">0</f>
        <v>0</v>
      </c>
      <c r="R63" s="48" t="n">
        <f aca="false">0</f>
        <v>0</v>
      </c>
      <c r="S63" s="48" t="n">
        <f aca="false">0</f>
        <v>0</v>
      </c>
      <c r="T63" s="48" t="n">
        <f aca="false">0</f>
        <v>0</v>
      </c>
      <c r="U63" s="48" t="n">
        <f aca="false">0</f>
        <v>0</v>
      </c>
      <c r="V63" s="48" t="n">
        <f aca="false">0</f>
        <v>0</v>
      </c>
      <c r="W63" s="48" t="n">
        <f aca="false">0</f>
        <v>0</v>
      </c>
      <c r="X63" s="48" t="n">
        <f aca="false">0</f>
        <v>0</v>
      </c>
      <c r="Y63" s="48" t="n">
        <f aca="false">0</f>
        <v>0</v>
      </c>
      <c r="Z63" s="48" t="n">
        <f aca="false">0</f>
        <v>0</v>
      </c>
      <c r="AA63" s="48" t="n">
        <f aca="false">0</f>
        <v>0</v>
      </c>
      <c r="AB63" s="48" t="n">
        <f aca="false">0</f>
        <v>0</v>
      </c>
      <c r="AC63" s="48" t="n">
        <f aca="false">0</f>
        <v>0</v>
      </c>
      <c r="AD63" s="48" t="n">
        <f aca="false">0</f>
        <v>0</v>
      </c>
      <c r="AE63" s="48" t="n">
        <f aca="false">0</f>
        <v>0</v>
      </c>
      <c r="AF63" s="48" t="n">
        <f aca="false">0</f>
        <v>0</v>
      </c>
      <c r="AG63" s="48" t="n">
        <f aca="false">0</f>
        <v>0</v>
      </c>
      <c r="AH63" s="48" t="n">
        <f aca="false">0</f>
        <v>0</v>
      </c>
      <c r="AI63" s="48" t="n">
        <f aca="false">0</f>
        <v>0</v>
      </c>
      <c r="AJ63" s="48" t="n">
        <f aca="false">0</f>
        <v>0</v>
      </c>
      <c r="AK63" s="48" t="n">
        <f aca="false">0</f>
        <v>0</v>
      </c>
      <c r="AL63" s="48" t="n">
        <f aca="false">0</f>
        <v>0</v>
      </c>
      <c r="AM63" s="48" t="n">
        <f aca="false">0</f>
        <v>0</v>
      </c>
      <c r="AN63" s="48" t="n">
        <f aca="false">0</f>
        <v>0</v>
      </c>
      <c r="AO63" s="48" t="n">
        <f aca="false">0</f>
        <v>0</v>
      </c>
      <c r="AP63" s="48" t="n">
        <f aca="false">0</f>
        <v>0</v>
      </c>
      <c r="AQ63" s="48" t="n">
        <f aca="false">0</f>
        <v>0</v>
      </c>
      <c r="AR63" s="48" t="n">
        <f aca="false">0</f>
        <v>0</v>
      </c>
      <c r="AS63" s="48" t="n">
        <f aca="false">0</f>
        <v>0</v>
      </c>
      <c r="AT63" s="48" t="n">
        <f aca="false">0</f>
        <v>0</v>
      </c>
      <c r="AU63" s="48" t="n">
        <f aca="false">0</f>
        <v>0</v>
      </c>
      <c r="AV63" s="48" t="n">
        <f aca="false">0</f>
        <v>0</v>
      </c>
      <c r="AW63" s="48" t="n">
        <f aca="false">0</f>
        <v>0</v>
      </c>
      <c r="AX63" s="48" t="n">
        <f aca="false">0</f>
        <v>0</v>
      </c>
      <c r="AY63" s="48" t="n">
        <f aca="false">0</f>
        <v>0</v>
      </c>
      <c r="AZ63" s="48" t="n">
        <f aca="false">0</f>
        <v>0</v>
      </c>
      <c r="BA63" s="48" t="n">
        <f aca="false">0</f>
        <v>0</v>
      </c>
      <c r="BB63" s="48" t="n">
        <f aca="false">0</f>
        <v>0</v>
      </c>
      <c r="BC63" s="48" t="n">
        <f aca="false">0</f>
        <v>0</v>
      </c>
      <c r="BD63" s="48" t="n">
        <f aca="false">0</f>
        <v>0</v>
      </c>
      <c r="BE63" s="48" t="n">
        <f aca="false">0</f>
        <v>0</v>
      </c>
      <c r="BF63" s="48" t="n">
        <f aca="false">0</f>
        <v>0</v>
      </c>
      <c r="BG63" s="48" t="n">
        <f aca="false">0</f>
        <v>0</v>
      </c>
      <c r="BH63" s="48" t="n">
        <f aca="false">0</f>
        <v>0</v>
      </c>
      <c r="BI63" s="48" t="n">
        <f aca="false">0</f>
        <v>0</v>
      </c>
      <c r="BJ63" s="48" t="n">
        <f aca="false">0</f>
        <v>0</v>
      </c>
      <c r="BK63" s="48" t="n">
        <f aca="false">0</f>
        <v>0</v>
      </c>
      <c r="BL63" s="48" t="n">
        <f aca="false">0</f>
        <v>0</v>
      </c>
      <c r="BM63" s="48" t="n">
        <f aca="false">0</f>
        <v>0</v>
      </c>
      <c r="BN63" s="48" t="n">
        <f aca="false">0</f>
        <v>0</v>
      </c>
      <c r="BO63" s="48" t="n">
        <f aca="false">0</f>
        <v>0</v>
      </c>
      <c r="BP63" s="48" t="n">
        <f aca="false">0</f>
        <v>0</v>
      </c>
      <c r="BQ63" s="48" t="n">
        <f aca="false">0</f>
        <v>0</v>
      </c>
      <c r="BR63" s="48" t="n">
        <f aca="false">0</f>
        <v>0</v>
      </c>
      <c r="BS63" s="48" t="n">
        <f aca="false">0</f>
        <v>0</v>
      </c>
      <c r="BT63" s="48" t="n">
        <f aca="false">0</f>
        <v>0</v>
      </c>
      <c r="BU63" s="48" t="n">
        <f aca="false">0</f>
        <v>0</v>
      </c>
      <c r="BV63" s="48" t="n">
        <f aca="false">0</f>
        <v>0</v>
      </c>
      <c r="BW63" s="48" t="n">
        <f aca="false">0</f>
        <v>0</v>
      </c>
      <c r="BX63" s="48" t="n">
        <f aca="false">0</f>
        <v>0</v>
      </c>
    </row>
    <row r="64" customFormat="false" ht="15" hidden="false" customHeight="false" outlineLevel="0" collapsed="false">
      <c r="A64" s="1"/>
      <c r="B64" s="8" t="s">
        <v>329</v>
      </c>
      <c r="C64" s="8" t="s">
        <v>126</v>
      </c>
      <c r="D64" s="44" t="n">
        <f aca="false">SUM(G64:BX64)</f>
        <v>0</v>
      </c>
      <c r="E64" s="1"/>
      <c r="F64" s="1"/>
      <c r="G64" s="48" t="n">
        <f aca="false">IF(AND(G43=1,G44&lt;=$D$39),$D$38*$D$35*$D$7*1000/1000000,0)</f>
        <v>0</v>
      </c>
      <c r="H64" s="48" t="n">
        <f aca="false">IF(AND(H43=1,H44&lt;=$D$39),$D$38*$D$35*$D$7*1000/1000000,0)</f>
        <v>0</v>
      </c>
      <c r="I64" s="48" t="n">
        <f aca="false">IF(AND(I43=1,I44&lt;=$D$39),$D$38*$D$35*$D$7*1000/1000000,0)</f>
        <v>0</v>
      </c>
      <c r="J64" s="48" t="n">
        <f aca="false">IF(AND(J43=1,J44&lt;=$D$39),$D$38*$D$35*$D$7*1000/1000000,0)</f>
        <v>0</v>
      </c>
      <c r="K64" s="48" t="n">
        <f aca="false">IF(AND(K43=1,K44&lt;=$D$39),$D$38*$D$35*$D$7*1000/1000000,0)</f>
        <v>0</v>
      </c>
      <c r="L64" s="48" t="n">
        <f aca="false">IF(AND(L43=1,L44&lt;=$D$39),$D$38*$D$35*$D$7*1000/1000000,0)</f>
        <v>0</v>
      </c>
      <c r="M64" s="48" t="n">
        <f aca="false">IF(AND(M43=1,M44&lt;=$D$39),$D$38*$D$35*$D$7*1000/1000000,0)</f>
        <v>0</v>
      </c>
      <c r="N64" s="48" t="n">
        <f aca="false">IF(AND(N43=1,N44&lt;=$D$39),$D$38*$D$35*$D$7*1000/1000000,0)</f>
        <v>0</v>
      </c>
      <c r="O64" s="48" t="n">
        <f aca="false">IF(AND(O43=1,O44&lt;=$D$39),$D$38*$D$35*$D$7*1000/1000000,0)</f>
        <v>0</v>
      </c>
      <c r="P64" s="48" t="n">
        <f aca="false">IF(AND(P43=1,P44&lt;=$D$39),$D$38*$D$35*$D$7*1000/1000000,0)</f>
        <v>0</v>
      </c>
      <c r="Q64" s="48" t="n">
        <f aca="false">IF(AND(Q43=1,Q44&lt;=$D$39),$D$38*$D$35*$D$7*1000/1000000,0)</f>
        <v>0</v>
      </c>
      <c r="R64" s="48" t="n">
        <f aca="false">IF(AND(R43=1,R44&lt;=$D$39),$D$38*$D$35*$D$7*1000/1000000,0)</f>
        <v>0</v>
      </c>
      <c r="S64" s="48" t="n">
        <f aca="false">IF(AND(S43=1,S44&lt;=$D$39),$D$38*$D$35*$D$7*1000/1000000,0)</f>
        <v>0</v>
      </c>
      <c r="T64" s="48" t="n">
        <f aca="false">IF(AND(T43=1,T44&lt;=$D$39),$D$38*$D$35*$D$7*1000/1000000,0)</f>
        <v>0</v>
      </c>
      <c r="U64" s="48" t="n">
        <f aca="false">IF(AND(U43=1,U44&lt;=$D$39),$D$38*$D$35*$D$7*1000/1000000,0)</f>
        <v>0</v>
      </c>
      <c r="V64" s="48" t="n">
        <f aca="false">IF(AND(V43=1,V44&lt;=$D$39),$D$38*$D$35*$D$7*1000/1000000,0)</f>
        <v>0</v>
      </c>
      <c r="W64" s="48" t="n">
        <f aca="false">IF(AND(W43=1,W44&lt;=$D$39),$D$38*$D$35*$D$7*1000/1000000,0)</f>
        <v>0</v>
      </c>
      <c r="X64" s="48" t="n">
        <f aca="false">IF(AND(X43=1,X44&lt;=$D$39),$D$38*$D$35*$D$7*1000/1000000,0)</f>
        <v>0</v>
      </c>
      <c r="Y64" s="48" t="n">
        <f aca="false">IF(AND(Y43=1,Y44&lt;=$D$39),$D$38*$D$35*$D$7*1000/1000000,0)</f>
        <v>0</v>
      </c>
      <c r="Z64" s="48" t="n">
        <f aca="false">IF(AND(Z43=1,Z44&lt;=$D$39),$D$38*$D$35*$D$7*1000/1000000,0)</f>
        <v>0</v>
      </c>
      <c r="AA64" s="48" t="n">
        <f aca="false">IF(AND(AA43=1,AA44&lt;=$D$39),$D$38*$D$35*$D$7*1000/1000000,0)</f>
        <v>0</v>
      </c>
      <c r="AB64" s="48" t="n">
        <f aca="false">IF(AND(AB43=1,AB44&lt;=$D$39),$D$38*$D$35*$D$7*1000/1000000,0)</f>
        <v>0</v>
      </c>
      <c r="AC64" s="48" t="n">
        <f aca="false">IF(AND(AC43=1,AC44&lt;=$D$39),$D$38*$D$35*$D$7*1000/1000000,0)</f>
        <v>0</v>
      </c>
      <c r="AD64" s="48" t="n">
        <f aca="false">IF(AND(AD43=1,AD44&lt;=$D$39),$D$38*$D$35*$D$7*1000/1000000,0)</f>
        <v>0</v>
      </c>
      <c r="AE64" s="48" t="n">
        <f aca="false">IF(AND(AE43=1,AE44&lt;=$D$39),$D$38*$D$35*$D$7*1000/1000000,0)</f>
        <v>0</v>
      </c>
      <c r="AF64" s="48" t="n">
        <f aca="false">IF(AND(AF43=1,AF44&lt;=$D$39),$D$38*$D$35*$D$7*1000/1000000,0)</f>
        <v>0</v>
      </c>
      <c r="AG64" s="48" t="n">
        <f aca="false">IF(AND(AG43=1,AG44&lt;=$D$39),$D$38*$D$35*$D$7*1000/1000000,0)</f>
        <v>0</v>
      </c>
      <c r="AH64" s="48" t="n">
        <f aca="false">IF(AND(AH43=1,AH44&lt;=$D$39),$D$38*$D$35*$D$7*1000/1000000,0)</f>
        <v>0</v>
      </c>
      <c r="AI64" s="48" t="n">
        <f aca="false">IF(AND(AI43=1,AI44&lt;=$D$39),$D$38*$D$35*$D$7*1000/1000000,0)</f>
        <v>0</v>
      </c>
      <c r="AJ64" s="48" t="n">
        <f aca="false">IF(AND(AJ43=1,AJ44&lt;=$D$39),$D$38*$D$35*$D$7*1000/1000000,0)</f>
        <v>0</v>
      </c>
      <c r="AK64" s="48" t="n">
        <f aca="false">IF(AND(AK43=1,AK44&lt;=$D$39),$D$38*$D$35*$D$7*1000/1000000,0)</f>
        <v>0</v>
      </c>
      <c r="AL64" s="48" t="n">
        <f aca="false">IF(AND(AL43=1,AL44&lt;=$D$39),$D$38*$D$35*$D$7*1000/1000000,0)</f>
        <v>0</v>
      </c>
      <c r="AM64" s="48" t="n">
        <f aca="false">IF(AND(AM43=1,AM44&lt;=$D$39),$D$38*$D$35*$D$7*1000/1000000,0)</f>
        <v>0</v>
      </c>
      <c r="AN64" s="48" t="n">
        <f aca="false">IF(AND(AN43=1,AN44&lt;=$D$39),$D$38*$D$35*$D$7*1000/1000000,0)</f>
        <v>0</v>
      </c>
      <c r="AO64" s="48" t="n">
        <f aca="false">IF(AND(AO43=1,AO44&lt;=$D$39),$D$38*$D$35*$D$7*1000/1000000,0)</f>
        <v>0</v>
      </c>
      <c r="AP64" s="48" t="n">
        <f aca="false">IF(AND(AP43=1,AP44&lt;=$D$39),$D$38*$D$35*$D$7*1000/1000000,0)</f>
        <v>0</v>
      </c>
      <c r="AQ64" s="48" t="n">
        <f aca="false">IF(AND(AQ43=1,AQ44&lt;=$D$39),$D$38*$D$35*$D$7*1000/1000000,0)</f>
        <v>0</v>
      </c>
      <c r="AR64" s="48" t="n">
        <f aca="false">IF(AND(AR43=1,AR44&lt;=$D$39),$D$38*$D$35*$D$7*1000/1000000,0)</f>
        <v>0</v>
      </c>
      <c r="AS64" s="48" t="n">
        <f aca="false">IF(AND(AS43=1,AS44&lt;=$D$39),$D$38*$D$35*$D$7*1000/1000000,0)</f>
        <v>0</v>
      </c>
      <c r="AT64" s="48" t="n">
        <f aca="false">IF(AND(AT43=1,AT44&lt;=$D$39),$D$38*$D$35*$D$7*1000/1000000,0)</f>
        <v>0</v>
      </c>
      <c r="AU64" s="48" t="n">
        <f aca="false">IF(AND(AU43=1,AU44&lt;=$D$39),$D$38*$D$35*$D$7*1000/1000000,0)</f>
        <v>0</v>
      </c>
      <c r="AV64" s="48" t="n">
        <f aca="false">IF(AND(AV43=1,AV44&lt;=$D$39),$D$38*$D$35*$D$7*1000/1000000,0)</f>
        <v>0</v>
      </c>
      <c r="AW64" s="48" t="n">
        <f aca="false">IF(AND(AW43=1,AW44&lt;=$D$39),$D$38*$D$35*$D$7*1000/1000000,0)</f>
        <v>0</v>
      </c>
      <c r="AX64" s="48" t="n">
        <f aca="false">IF(AND(AX43=1,AX44&lt;=$D$39),$D$38*$D$35*$D$7*1000/1000000,0)</f>
        <v>0</v>
      </c>
      <c r="AY64" s="48" t="n">
        <f aca="false">IF(AND(AY43=1,AY44&lt;=$D$39),$D$38*$D$35*$D$7*1000/1000000,0)</f>
        <v>0</v>
      </c>
      <c r="AZ64" s="48" t="n">
        <f aca="false">IF(AND(AZ43=1,AZ44&lt;=$D$39),$D$38*$D$35*$D$7*1000/1000000,0)</f>
        <v>0</v>
      </c>
      <c r="BA64" s="48" t="n">
        <f aca="false">IF(AND(BA43=1,BA44&lt;=$D$39),$D$38*$D$35*$D$7*1000/1000000,0)</f>
        <v>0</v>
      </c>
      <c r="BB64" s="48" t="n">
        <f aca="false">IF(AND(BB43=1,BB44&lt;=$D$39),$D$38*$D$35*$D$7*1000/1000000,0)</f>
        <v>0</v>
      </c>
      <c r="BC64" s="48" t="n">
        <f aca="false">IF(AND(BC43=1,BC44&lt;=$D$39),$D$38*$D$35*$D$7*1000/1000000,0)</f>
        <v>0</v>
      </c>
      <c r="BD64" s="48" t="n">
        <f aca="false">IF(AND(BD43=1,BD44&lt;=$D$39),$D$38*$D$35*$D$7*1000/1000000,0)</f>
        <v>0</v>
      </c>
      <c r="BE64" s="48" t="n">
        <f aca="false">IF(AND(BE43=1,BE44&lt;=$D$39),$D$38*$D$35*$D$7*1000/1000000,0)</f>
        <v>0</v>
      </c>
      <c r="BF64" s="48" t="n">
        <f aca="false">IF(AND(BF43=1,BF44&lt;=$D$39),$D$38*$D$35*$D$7*1000/1000000,0)</f>
        <v>0</v>
      </c>
      <c r="BG64" s="48" t="n">
        <f aca="false">IF(AND(BG43=1,BG44&lt;=$D$39),$D$38*$D$35*$D$7*1000/1000000,0)</f>
        <v>0</v>
      </c>
      <c r="BH64" s="48" t="n">
        <f aca="false">IF(AND(BH43=1,BH44&lt;=$D$39),$D$38*$D$35*$D$7*1000/1000000,0)</f>
        <v>0</v>
      </c>
      <c r="BI64" s="48" t="n">
        <f aca="false">IF(AND(BI43=1,BI44&lt;=$D$39),$D$38*$D$35*$D$7*1000/1000000,0)</f>
        <v>0</v>
      </c>
      <c r="BJ64" s="48" t="n">
        <f aca="false">IF(AND(BJ43=1,BJ44&lt;=$D$39),$D$38*$D$35*$D$7*1000/1000000,0)</f>
        <v>0</v>
      </c>
      <c r="BK64" s="48" t="n">
        <f aca="false">IF(AND(BK43=1,BK44&lt;=$D$39),$D$38*$D$35*$D$7*1000/1000000,0)</f>
        <v>0</v>
      </c>
      <c r="BL64" s="48" t="n">
        <f aca="false">IF(AND(BL43=1,BL44&lt;=$D$39),$D$38*$D$35*$D$7*1000/1000000,0)</f>
        <v>0</v>
      </c>
      <c r="BM64" s="48" t="n">
        <f aca="false">IF(AND(BM43=1,BM44&lt;=$D$39),$D$38*$D$35*$D$7*1000/1000000,0)</f>
        <v>0</v>
      </c>
      <c r="BN64" s="48" t="n">
        <f aca="false">IF(AND(BN43=1,BN44&lt;=$D$39),$D$38*$D$35*$D$7*1000/1000000,0)</f>
        <v>0</v>
      </c>
      <c r="BO64" s="48" t="n">
        <f aca="false">IF(AND(BO43=1,BO44&lt;=$D$39),$D$38*$D$35*$D$7*1000/1000000,0)</f>
        <v>0</v>
      </c>
      <c r="BP64" s="48" t="n">
        <f aca="false">IF(AND(BP43=1,BP44&lt;=$D$39),$D$38*$D$35*$D$7*1000/1000000,0)</f>
        <v>0</v>
      </c>
      <c r="BQ64" s="48" t="n">
        <f aca="false">IF(AND(BQ43=1,BQ44&lt;=$D$39),$D$38*$D$35*$D$7*1000/1000000,0)</f>
        <v>0</v>
      </c>
      <c r="BR64" s="48" t="n">
        <f aca="false">IF(AND(BR43=1,BR44&lt;=$D$39),$D$38*$D$35*$D$7*1000/1000000,0)</f>
        <v>0</v>
      </c>
      <c r="BS64" s="48" t="n">
        <f aca="false">IF(AND(BS43=1,BS44&lt;=$D$39),$D$38*$D$35*$D$7*1000/1000000,0)</f>
        <v>0</v>
      </c>
      <c r="BT64" s="48" t="n">
        <f aca="false">IF(AND(BT43=1,BT44&lt;=$D$39),$D$38*$D$35*$D$7*1000/1000000,0)</f>
        <v>0</v>
      </c>
      <c r="BU64" s="48" t="n">
        <f aca="false">IF(AND(BU43=1,BU44&lt;=$D$39),$D$38*$D$35*$D$7*1000/1000000,0)</f>
        <v>0</v>
      </c>
      <c r="BV64" s="48" t="n">
        <f aca="false">IF(AND(BV43=1,BV44&lt;=$D$39),$D$38*$D$35*$D$7*1000/1000000,0)</f>
        <v>0</v>
      </c>
      <c r="BW64" s="48" t="n">
        <f aca="false">IF(AND(BW43=1,BW44&lt;=$D$39),$D$38*$D$35*$D$7*1000/1000000,0)</f>
        <v>0</v>
      </c>
      <c r="BX64" s="48" t="n">
        <f aca="false">IF(AND(BX43=1,BX44&lt;=$D$39),$D$38*$D$35*$D$7*1000/1000000,0)</f>
        <v>0</v>
      </c>
    </row>
    <row r="65" customFormat="false" ht="15" hidden="false" customHeight="false" outlineLevel="0" collapsed="false">
      <c r="A65" s="1"/>
      <c r="B65" s="8" t="s">
        <v>330</v>
      </c>
      <c r="C65" s="8" t="s">
        <v>126</v>
      </c>
      <c r="D65" s="44" t="n">
        <f aca="false">SUM(G65:BX65)</f>
        <v>0</v>
      </c>
      <c r="E65" s="1"/>
      <c r="F65" s="1"/>
      <c r="G65" s="48" t="n">
        <f aca="false">0</f>
        <v>0</v>
      </c>
      <c r="H65" s="48" t="n">
        <f aca="false">0</f>
        <v>0</v>
      </c>
      <c r="I65" s="48" t="n">
        <f aca="false">0</f>
        <v>0</v>
      </c>
      <c r="J65" s="48" t="n">
        <f aca="false">0</f>
        <v>0</v>
      </c>
      <c r="K65" s="48" t="n">
        <f aca="false">0</f>
        <v>0</v>
      </c>
      <c r="L65" s="48" t="n">
        <f aca="false">0</f>
        <v>0</v>
      </c>
      <c r="M65" s="48" t="n">
        <f aca="false">0</f>
        <v>0</v>
      </c>
      <c r="N65" s="48" t="n">
        <f aca="false">0</f>
        <v>0</v>
      </c>
      <c r="O65" s="48" t="n">
        <f aca="false">0</f>
        <v>0</v>
      </c>
      <c r="P65" s="48" t="n">
        <f aca="false">0</f>
        <v>0</v>
      </c>
      <c r="Q65" s="48" t="n">
        <f aca="false">0</f>
        <v>0</v>
      </c>
      <c r="R65" s="48" t="n">
        <f aca="false">0</f>
        <v>0</v>
      </c>
      <c r="S65" s="48" t="n">
        <f aca="false">0</f>
        <v>0</v>
      </c>
      <c r="T65" s="48" t="n">
        <f aca="false">0</f>
        <v>0</v>
      </c>
      <c r="U65" s="48" t="n">
        <f aca="false">0</f>
        <v>0</v>
      </c>
      <c r="V65" s="48" t="n">
        <f aca="false">0</f>
        <v>0</v>
      </c>
      <c r="W65" s="48" t="n">
        <f aca="false">0</f>
        <v>0</v>
      </c>
      <c r="X65" s="48" t="n">
        <f aca="false">0</f>
        <v>0</v>
      </c>
      <c r="Y65" s="48" t="n">
        <f aca="false">0</f>
        <v>0</v>
      </c>
      <c r="Z65" s="48" t="n">
        <f aca="false">0</f>
        <v>0</v>
      </c>
      <c r="AA65" s="48" t="n">
        <f aca="false">0</f>
        <v>0</v>
      </c>
      <c r="AB65" s="48" t="n">
        <f aca="false">0</f>
        <v>0</v>
      </c>
      <c r="AC65" s="48" t="n">
        <f aca="false">0</f>
        <v>0</v>
      </c>
      <c r="AD65" s="48" t="n">
        <f aca="false">0</f>
        <v>0</v>
      </c>
      <c r="AE65" s="48" t="n">
        <f aca="false">0</f>
        <v>0</v>
      </c>
      <c r="AF65" s="48" t="n">
        <f aca="false">0</f>
        <v>0</v>
      </c>
      <c r="AG65" s="48" t="n">
        <f aca="false">0</f>
        <v>0</v>
      </c>
      <c r="AH65" s="48" t="n">
        <f aca="false">0</f>
        <v>0</v>
      </c>
      <c r="AI65" s="48" t="n">
        <f aca="false">0</f>
        <v>0</v>
      </c>
      <c r="AJ65" s="48" t="n">
        <f aca="false">0</f>
        <v>0</v>
      </c>
      <c r="AK65" s="48" t="n">
        <f aca="false">0</f>
        <v>0</v>
      </c>
      <c r="AL65" s="48" t="n">
        <f aca="false">0</f>
        <v>0</v>
      </c>
      <c r="AM65" s="48" t="n">
        <f aca="false">0</f>
        <v>0</v>
      </c>
      <c r="AN65" s="48" t="n">
        <f aca="false">0</f>
        <v>0</v>
      </c>
      <c r="AO65" s="48" t="n">
        <f aca="false">0</f>
        <v>0</v>
      </c>
      <c r="AP65" s="48" t="n">
        <f aca="false">0</f>
        <v>0</v>
      </c>
      <c r="AQ65" s="48" t="n">
        <f aca="false">0</f>
        <v>0</v>
      </c>
      <c r="AR65" s="48" t="n">
        <f aca="false">0</f>
        <v>0</v>
      </c>
      <c r="AS65" s="48" t="n">
        <f aca="false">0</f>
        <v>0</v>
      </c>
      <c r="AT65" s="48" t="n">
        <f aca="false">0</f>
        <v>0</v>
      </c>
      <c r="AU65" s="48" t="n">
        <f aca="false">0</f>
        <v>0</v>
      </c>
      <c r="AV65" s="48" t="n">
        <f aca="false">0</f>
        <v>0</v>
      </c>
      <c r="AW65" s="48" t="n">
        <f aca="false">0</f>
        <v>0</v>
      </c>
      <c r="AX65" s="48" t="n">
        <f aca="false">0</f>
        <v>0</v>
      </c>
      <c r="AY65" s="48" t="n">
        <f aca="false">0</f>
        <v>0</v>
      </c>
      <c r="AZ65" s="48" t="n">
        <f aca="false">0</f>
        <v>0</v>
      </c>
      <c r="BA65" s="48" t="n">
        <f aca="false">0</f>
        <v>0</v>
      </c>
      <c r="BB65" s="48" t="n">
        <f aca="false">0</f>
        <v>0</v>
      </c>
      <c r="BC65" s="48" t="n">
        <f aca="false">0</f>
        <v>0</v>
      </c>
      <c r="BD65" s="48" t="n">
        <f aca="false">0</f>
        <v>0</v>
      </c>
      <c r="BE65" s="48" t="n">
        <f aca="false">0</f>
        <v>0</v>
      </c>
      <c r="BF65" s="48" t="n">
        <f aca="false">0</f>
        <v>0</v>
      </c>
      <c r="BG65" s="48" t="n">
        <f aca="false">0</f>
        <v>0</v>
      </c>
      <c r="BH65" s="48" t="n">
        <f aca="false">0</f>
        <v>0</v>
      </c>
      <c r="BI65" s="48" t="n">
        <f aca="false">0</f>
        <v>0</v>
      </c>
      <c r="BJ65" s="48" t="n">
        <f aca="false">0</f>
        <v>0</v>
      </c>
      <c r="BK65" s="48" t="n">
        <f aca="false">0</f>
        <v>0</v>
      </c>
      <c r="BL65" s="48" t="n">
        <f aca="false">0</f>
        <v>0</v>
      </c>
      <c r="BM65" s="48" t="n">
        <f aca="false">0</f>
        <v>0</v>
      </c>
      <c r="BN65" s="48" t="n">
        <f aca="false">0</f>
        <v>0</v>
      </c>
      <c r="BO65" s="48" t="n">
        <f aca="false">0</f>
        <v>0</v>
      </c>
      <c r="BP65" s="48" t="n">
        <f aca="false">0</f>
        <v>0</v>
      </c>
      <c r="BQ65" s="48" t="n">
        <f aca="false">0</f>
        <v>0</v>
      </c>
      <c r="BR65" s="48" t="n">
        <f aca="false">0</f>
        <v>0</v>
      </c>
      <c r="BS65" s="48" t="n">
        <f aca="false">0</f>
        <v>0</v>
      </c>
      <c r="BT65" s="48" t="n">
        <f aca="false">0</f>
        <v>0</v>
      </c>
      <c r="BU65" s="48" t="n">
        <f aca="false">0</f>
        <v>0</v>
      </c>
      <c r="BV65" s="48" t="n">
        <f aca="false">0</f>
        <v>0</v>
      </c>
      <c r="BW65" s="48" t="n">
        <f aca="false">0</f>
        <v>0</v>
      </c>
      <c r="BX65" s="48" t="n">
        <f aca="false">0</f>
        <v>0</v>
      </c>
    </row>
    <row r="66" customFormat="false" ht="15" hidden="false" customHeight="false" outlineLevel="0" collapsed="false">
      <c r="A66" s="1"/>
      <c r="B66" s="4" t="s">
        <v>331</v>
      </c>
      <c r="C66" s="8" t="s">
        <v>126</v>
      </c>
      <c r="D66" s="44" t="n">
        <f aca="false">SUM(G66:BX66)</f>
        <v>71426.1511188</v>
      </c>
      <c r="E66" s="1"/>
      <c r="F66" s="1"/>
      <c r="G66" s="44" t="n">
        <f aca="false">G62+G63+G64+G65</f>
        <v>0</v>
      </c>
      <c r="H66" s="44" t="n">
        <f aca="false">H62+H63+H64+H65</f>
        <v>0</v>
      </c>
      <c r="I66" s="44" t="n">
        <f aca="false">I62+I63+I64+I65</f>
        <v>0</v>
      </c>
      <c r="J66" s="44" t="n">
        <f aca="false">J62+J63+J64+J65</f>
        <v>0</v>
      </c>
      <c r="K66" s="44" t="n">
        <f aca="false">K62+K63+K64+K65</f>
        <v>0</v>
      </c>
      <c r="L66" s="44" t="n">
        <f aca="false">L62+L63+L64+L65</f>
        <v>0</v>
      </c>
      <c r="M66" s="44" t="n">
        <f aca="false">M62+M63+M64+M65</f>
        <v>0</v>
      </c>
      <c r="N66" s="44" t="n">
        <f aca="false">N62+N63+N64+N65</f>
        <v>0</v>
      </c>
      <c r="O66" s="44" t="n">
        <f aca="false">O62+O63+O64+O65</f>
        <v>1194.1279848</v>
      </c>
      <c r="P66" s="44" t="n">
        <f aca="false">P62+P63+P64+P65</f>
        <v>1145.054232</v>
      </c>
      <c r="Q66" s="44" t="n">
        <f aca="false">Q62+Q63+Q64+Q65</f>
        <v>1145.054232</v>
      </c>
      <c r="R66" s="44" t="n">
        <f aca="false">R62+R63+R64+R65</f>
        <v>1232.2384524</v>
      </c>
      <c r="S66" s="44" t="n">
        <f aca="false">S62+S63+S64+S65</f>
        <v>1181.598516</v>
      </c>
      <c r="T66" s="44" t="n">
        <f aca="false">T62+T63+T64+T65</f>
        <v>1181.598516</v>
      </c>
      <c r="U66" s="44" t="n">
        <f aca="false">U62+U63+U64+U65</f>
        <v>1232.2384524</v>
      </c>
      <c r="V66" s="44" t="n">
        <f aca="false">V62+V63+V64+V65</f>
        <v>1181.598516</v>
      </c>
      <c r="W66" s="44" t="n">
        <f aca="false">W62+W63+W64+W65</f>
        <v>1181.598516</v>
      </c>
      <c r="X66" s="44" t="n">
        <f aca="false">X62+X63+X64+X65</f>
        <v>1147.8385584</v>
      </c>
      <c r="Y66" s="44" t="n">
        <f aca="false">Y62+Y63+Y64+Y65</f>
        <v>1181.598516</v>
      </c>
      <c r="Z66" s="44" t="n">
        <f aca="false">Z62+Z63+Z64+Z65</f>
        <v>1181.598516</v>
      </c>
      <c r="AA66" s="44" t="n">
        <f aca="false">AA62+AA63+AA64+AA65</f>
        <v>1232.2384524</v>
      </c>
      <c r="AB66" s="44" t="n">
        <f aca="false">AB62+AB63+AB64+AB65</f>
        <v>1181.598516</v>
      </c>
      <c r="AC66" s="44" t="n">
        <f aca="false">AC62+AC63+AC64+AC65</f>
        <v>1181.598516</v>
      </c>
      <c r="AD66" s="44" t="n">
        <f aca="false">AD62+AD63+AD64+AD65</f>
        <v>1232.2384524</v>
      </c>
      <c r="AE66" s="44" t="n">
        <f aca="false">AE62+AE63+AE64+AE65</f>
        <v>1181.598516</v>
      </c>
      <c r="AF66" s="44" t="n">
        <f aca="false">AF62+AF63+AF64+AF65</f>
        <v>1181.598516</v>
      </c>
      <c r="AG66" s="44" t="n">
        <f aca="false">AG62+AG63+AG64+AG65</f>
        <v>1232.2384524</v>
      </c>
      <c r="AH66" s="44" t="n">
        <f aca="false">AH62+AH63+AH64+AH65</f>
        <v>1130.9585796</v>
      </c>
      <c r="AI66" s="44" t="n">
        <f aca="false">AI62+AI63+AI64+AI65</f>
        <v>1181.598516</v>
      </c>
      <c r="AJ66" s="44" t="n">
        <f aca="false">AJ62+AJ63+AJ64+AJ65</f>
        <v>1232.2384524</v>
      </c>
      <c r="AK66" s="44" t="n">
        <f aca="false">AK62+AK63+AK64+AK65</f>
        <v>1181.598516</v>
      </c>
      <c r="AL66" s="44" t="n">
        <f aca="false">AL62+AL63+AL64+AL65</f>
        <v>1181.598516</v>
      </c>
      <c r="AM66" s="44" t="n">
        <f aca="false">AM62+AM63+AM64+AM65</f>
        <v>1232.2384524</v>
      </c>
      <c r="AN66" s="44" t="n">
        <f aca="false">AN62+AN63+AN64+AN65</f>
        <v>1181.598516</v>
      </c>
      <c r="AO66" s="44" t="n">
        <f aca="false">AO62+AO63+AO64+AO65</f>
        <v>1181.598516</v>
      </c>
      <c r="AP66" s="44" t="n">
        <f aca="false">AP62+AP63+AP64+AP65</f>
        <v>1232.2384524</v>
      </c>
      <c r="AQ66" s="44" t="n">
        <f aca="false">AQ62+AQ63+AQ64+AQ65</f>
        <v>1181.598516</v>
      </c>
      <c r="AR66" s="44" t="n">
        <f aca="false">AR62+AR63+AR64+AR65</f>
        <v>1130.9585796</v>
      </c>
      <c r="AS66" s="44" t="n">
        <f aca="false">AS62+AS63+AS64+AS65</f>
        <v>1232.2384524</v>
      </c>
      <c r="AT66" s="44" t="n">
        <f aca="false">AT62+AT63+AT64+AT65</f>
        <v>1181.598516</v>
      </c>
      <c r="AU66" s="44" t="n">
        <f aca="false">AU62+AU63+AU64+AU65</f>
        <v>1181.598516</v>
      </c>
      <c r="AV66" s="44" t="n">
        <f aca="false">AV62+AV63+AV64+AV65</f>
        <v>1232.2384524</v>
      </c>
      <c r="AW66" s="44" t="n">
        <f aca="false">AW62+AW63+AW64+AW65</f>
        <v>1181.598516</v>
      </c>
      <c r="AX66" s="44" t="n">
        <f aca="false">AX62+AX63+AX64+AX65</f>
        <v>1181.598516</v>
      </c>
      <c r="AY66" s="44" t="n">
        <f aca="false">AY62+AY63+AY64+AY65</f>
        <v>1232.2384524</v>
      </c>
      <c r="AZ66" s="44" t="n">
        <f aca="false">AZ62+AZ63+AZ64+AZ65</f>
        <v>1181.598516</v>
      </c>
      <c r="BA66" s="44" t="n">
        <f aca="false">BA62+BA63+BA64+BA65</f>
        <v>1181.598516</v>
      </c>
      <c r="BB66" s="44" t="n">
        <f aca="false">BB62+BB63+BB64+BB65</f>
        <v>1147.8385584</v>
      </c>
      <c r="BC66" s="44" t="n">
        <f aca="false">BC62+BC63+BC64+BC65</f>
        <v>1181.598516</v>
      </c>
      <c r="BD66" s="44" t="n">
        <f aca="false">BD62+BD63+BD64+BD65</f>
        <v>1181.598516</v>
      </c>
      <c r="BE66" s="44" t="n">
        <f aca="false">BE62+BE63+BE64+BE65</f>
        <v>1232.2384524</v>
      </c>
      <c r="BF66" s="44" t="n">
        <f aca="false">BF62+BF63+BF64+BF65</f>
        <v>1181.598516</v>
      </c>
      <c r="BG66" s="44" t="n">
        <f aca="false">BG62+BG63+BG64+BG65</f>
        <v>1181.598516</v>
      </c>
      <c r="BH66" s="44" t="n">
        <f aca="false">BH62+BH63+BH64+BH65</f>
        <v>1232.2384524</v>
      </c>
      <c r="BI66" s="44" t="n">
        <f aca="false">BI62+BI63+BI64+BI65</f>
        <v>1181.598516</v>
      </c>
      <c r="BJ66" s="44" t="n">
        <f aca="false">BJ62+BJ63+BJ64+BJ65</f>
        <v>1181.598516</v>
      </c>
      <c r="BK66" s="44" t="n">
        <f aca="false">BK62+BK63+BK64+BK65</f>
        <v>1232.2384524</v>
      </c>
      <c r="BL66" s="44" t="n">
        <f aca="false">BL62+BL63+BL64+BL65</f>
        <v>1130.9585796</v>
      </c>
      <c r="BM66" s="44" t="n">
        <f aca="false">BM62+BM63+BM64+BM65</f>
        <v>1181.598516</v>
      </c>
      <c r="BN66" s="44" t="n">
        <f aca="false">BN62+BN63+BN64+BN65</f>
        <v>1232.2384524</v>
      </c>
      <c r="BO66" s="44" t="n">
        <f aca="false">BO62+BO63+BO64+BO65</f>
        <v>1181.598516</v>
      </c>
      <c r="BP66" s="44" t="n">
        <f aca="false">BP62+BP63+BP64+BP65</f>
        <v>1181.598516</v>
      </c>
      <c r="BQ66" s="44" t="n">
        <f aca="false">BQ62+BQ63+BQ64+BQ65</f>
        <v>1232.2384524</v>
      </c>
      <c r="BR66" s="44" t="n">
        <f aca="false">BR62+BR63+BR64+BR65</f>
        <v>1181.598516</v>
      </c>
      <c r="BS66" s="44" t="n">
        <f aca="false">BS62+BS63+BS64+BS65</f>
        <v>1181.598516</v>
      </c>
      <c r="BT66" s="44" t="n">
        <f aca="false">BT62+BT63+BT64+BT65</f>
        <v>1232.2384524</v>
      </c>
      <c r="BU66" s="44" t="n">
        <f aca="false">BU62+BU63+BU64+BU65</f>
        <v>1181.598516</v>
      </c>
      <c r="BV66" s="44" t="n">
        <f aca="false">BV62+BV63+BV64+BV65</f>
        <v>1130.9585796</v>
      </c>
      <c r="BW66" s="44" t="n">
        <f aca="false">BW62+BW63+BW64+BW65</f>
        <v>0</v>
      </c>
      <c r="BX66" s="44" t="n">
        <f aca="false">BX62+BX63+BX64+BX65</f>
        <v>0</v>
      </c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</row>
    <row r="68" customFormat="false" ht="15" hidden="false" customHeight="false" outlineLevel="0" collapsed="false">
      <c r="A68" s="1"/>
      <c r="B68" s="13" t="s">
        <v>332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</row>
    <row r="69" customFormat="false" ht="15" hidden="false" customHeight="false" outlineLevel="0" collapsed="false">
      <c r="A69" s="1"/>
      <c r="B69" s="8" t="s">
        <v>333</v>
      </c>
      <c r="C69" s="8" t="s">
        <v>126</v>
      </c>
      <c r="D69" s="44" t="n">
        <f aca="false">SUM(G69:BX69)</f>
        <v>4580.58852</v>
      </c>
      <c r="E69" s="1"/>
      <c r="F69" s="1"/>
      <c r="G69" s="48" t="n">
        <f aca="false">G60*$D$25*IF(G43=1,IFERROR(INDEX(Twin!$G$31:$BN$31,1,G44),0),0)/1000000</f>
        <v>0</v>
      </c>
      <c r="H69" s="48" t="n">
        <f aca="false">H60*$D$25*IF(H43=1,IFERROR(INDEX(Twin!$G$31:$BN$31,1,H44),0),0)/1000000</f>
        <v>0</v>
      </c>
      <c r="I69" s="48" t="n">
        <f aca="false">I60*$D$25*IF(I43=1,IFERROR(INDEX(Twin!$G$31:$BN$31,1,I44),0),0)/1000000</f>
        <v>0</v>
      </c>
      <c r="J69" s="48" t="n">
        <f aca="false">J60*$D$25*IF(J43=1,IFERROR(INDEX(Twin!$G$31:$BN$31,1,J44),0),0)/1000000</f>
        <v>0</v>
      </c>
      <c r="K69" s="48" t="n">
        <f aca="false">K60*$D$25*IF(K43=1,IFERROR(INDEX(Twin!$G$31:$BN$31,1,K44),0),0)/1000000</f>
        <v>0</v>
      </c>
      <c r="L69" s="48" t="n">
        <f aca="false">L60*$D$25*IF(L43=1,IFERROR(INDEX(Twin!$G$31:$BN$31,1,L44),0),0)/1000000</f>
        <v>0</v>
      </c>
      <c r="M69" s="48" t="n">
        <f aca="false">M60*$D$25*IF(M43=1,IFERROR(INDEX(Twin!$G$31:$BN$31,1,M44),0),0)/1000000</f>
        <v>0</v>
      </c>
      <c r="N69" s="48" t="n">
        <f aca="false">N60*$D$25*IF(N43=1,IFERROR(INDEX(Twin!$G$31:$BN$31,1,N44),0),0)/1000000</f>
        <v>0</v>
      </c>
      <c r="O69" s="48" t="n">
        <f aca="false">O60*$D$25*IF(O43=1,IFERROR(INDEX(Twin!$G$31:$BN$31,1,O44),0),0)/1000000</f>
        <v>76.57992</v>
      </c>
      <c r="P69" s="48" t="n">
        <f aca="false">P60*$D$25*IF(P43=1,IFERROR(INDEX(Twin!$G$31:$BN$31,1,P44),0),0)/1000000</f>
        <v>73.4328</v>
      </c>
      <c r="Q69" s="48" t="n">
        <f aca="false">Q60*$D$25*IF(Q43=1,IFERROR(INDEX(Twin!$G$31:$BN$31,1,Q44),0),0)/1000000</f>
        <v>73.4328</v>
      </c>
      <c r="R69" s="48" t="n">
        <f aca="false">R60*$D$25*IF(R43=1,IFERROR(INDEX(Twin!$G$31:$BN$31,1,R44),0),0)/1000000</f>
        <v>79.02396</v>
      </c>
      <c r="S69" s="48" t="n">
        <f aca="false">S60*$D$25*IF(S43=1,IFERROR(INDEX(Twin!$G$31:$BN$31,1,S44),0),0)/1000000</f>
        <v>75.7764</v>
      </c>
      <c r="T69" s="48" t="n">
        <f aca="false">T60*$D$25*IF(T43=1,IFERROR(INDEX(Twin!$G$31:$BN$31,1,T44),0),0)/1000000</f>
        <v>75.7764</v>
      </c>
      <c r="U69" s="48" t="n">
        <f aca="false">U60*$D$25*IF(U43=1,IFERROR(INDEX(Twin!$G$31:$BN$31,1,U44),0),0)/1000000</f>
        <v>79.02396</v>
      </c>
      <c r="V69" s="48" t="n">
        <f aca="false">V60*$D$25*IF(V43=1,IFERROR(INDEX(Twin!$G$31:$BN$31,1,V44),0),0)/1000000</f>
        <v>75.7764</v>
      </c>
      <c r="W69" s="48" t="n">
        <f aca="false">W60*$D$25*IF(W43=1,IFERROR(INDEX(Twin!$G$31:$BN$31,1,W44),0),0)/1000000</f>
        <v>75.7764</v>
      </c>
      <c r="X69" s="48" t="n">
        <f aca="false">X60*$D$25*IF(X43=1,IFERROR(INDEX(Twin!$G$31:$BN$31,1,X44),0),0)/1000000</f>
        <v>73.61136</v>
      </c>
      <c r="Y69" s="48" t="n">
        <f aca="false">Y60*$D$25*IF(Y43=1,IFERROR(INDEX(Twin!$G$31:$BN$31,1,Y44),0),0)/1000000</f>
        <v>75.7764</v>
      </c>
      <c r="Z69" s="48" t="n">
        <f aca="false">Z60*$D$25*IF(Z43=1,IFERROR(INDEX(Twin!$G$31:$BN$31,1,Z44),0),0)/1000000</f>
        <v>75.7764</v>
      </c>
      <c r="AA69" s="48" t="n">
        <f aca="false">AA60*$D$25*IF(AA43=1,IFERROR(INDEX(Twin!$G$31:$BN$31,1,AA44),0),0)/1000000</f>
        <v>79.02396</v>
      </c>
      <c r="AB69" s="48" t="n">
        <f aca="false">AB60*$D$25*IF(AB43=1,IFERROR(INDEX(Twin!$G$31:$BN$31,1,AB44),0),0)/1000000</f>
        <v>75.7764</v>
      </c>
      <c r="AC69" s="48" t="n">
        <f aca="false">AC60*$D$25*IF(AC43=1,IFERROR(INDEX(Twin!$G$31:$BN$31,1,AC44),0),0)/1000000</f>
        <v>75.7764</v>
      </c>
      <c r="AD69" s="48" t="n">
        <f aca="false">AD60*$D$25*IF(AD43=1,IFERROR(INDEX(Twin!$G$31:$BN$31,1,AD44),0),0)/1000000</f>
        <v>79.02396</v>
      </c>
      <c r="AE69" s="48" t="n">
        <f aca="false">AE60*$D$25*IF(AE43=1,IFERROR(INDEX(Twin!$G$31:$BN$31,1,AE44),0),0)/1000000</f>
        <v>75.7764</v>
      </c>
      <c r="AF69" s="48" t="n">
        <f aca="false">AF60*$D$25*IF(AF43=1,IFERROR(INDEX(Twin!$G$31:$BN$31,1,AF44),0),0)/1000000</f>
        <v>75.7764</v>
      </c>
      <c r="AG69" s="48" t="n">
        <f aca="false">AG60*$D$25*IF(AG43=1,IFERROR(INDEX(Twin!$G$31:$BN$31,1,AG44),0),0)/1000000</f>
        <v>79.02396</v>
      </c>
      <c r="AH69" s="48" t="n">
        <f aca="false">AH60*$D$25*IF(AH43=1,IFERROR(INDEX(Twin!$G$31:$BN$31,1,AH44),0),0)/1000000</f>
        <v>72.52884</v>
      </c>
      <c r="AI69" s="48" t="n">
        <f aca="false">AI60*$D$25*IF(AI43=1,IFERROR(INDEX(Twin!$G$31:$BN$31,1,AI44),0),0)/1000000</f>
        <v>75.7764</v>
      </c>
      <c r="AJ69" s="48" t="n">
        <f aca="false">AJ60*$D$25*IF(AJ43=1,IFERROR(INDEX(Twin!$G$31:$BN$31,1,AJ44),0),0)/1000000</f>
        <v>79.02396</v>
      </c>
      <c r="AK69" s="48" t="n">
        <f aca="false">AK60*$D$25*IF(AK43=1,IFERROR(INDEX(Twin!$G$31:$BN$31,1,AK44),0),0)/1000000</f>
        <v>75.7764</v>
      </c>
      <c r="AL69" s="48" t="n">
        <f aca="false">AL60*$D$25*IF(AL43=1,IFERROR(INDEX(Twin!$G$31:$BN$31,1,AL44),0),0)/1000000</f>
        <v>75.7764</v>
      </c>
      <c r="AM69" s="48" t="n">
        <f aca="false">AM60*$D$25*IF(AM43=1,IFERROR(INDEX(Twin!$G$31:$BN$31,1,AM44),0),0)/1000000</f>
        <v>79.02396</v>
      </c>
      <c r="AN69" s="48" t="n">
        <f aca="false">AN60*$D$25*IF(AN43=1,IFERROR(INDEX(Twin!$G$31:$BN$31,1,AN44),0),0)/1000000</f>
        <v>75.7764</v>
      </c>
      <c r="AO69" s="48" t="n">
        <f aca="false">AO60*$D$25*IF(AO43=1,IFERROR(INDEX(Twin!$G$31:$BN$31,1,AO44),0),0)/1000000</f>
        <v>75.7764</v>
      </c>
      <c r="AP69" s="48" t="n">
        <f aca="false">AP60*$D$25*IF(AP43=1,IFERROR(INDEX(Twin!$G$31:$BN$31,1,AP44),0),0)/1000000</f>
        <v>79.02396</v>
      </c>
      <c r="AQ69" s="48" t="n">
        <f aca="false">AQ60*$D$25*IF(AQ43=1,IFERROR(INDEX(Twin!$G$31:$BN$31,1,AQ44),0),0)/1000000</f>
        <v>75.7764</v>
      </c>
      <c r="AR69" s="48" t="n">
        <f aca="false">AR60*$D$25*IF(AR43=1,IFERROR(INDEX(Twin!$G$31:$BN$31,1,AR44),0),0)/1000000</f>
        <v>72.52884</v>
      </c>
      <c r="AS69" s="48" t="n">
        <f aca="false">AS60*$D$25*IF(AS43=1,IFERROR(INDEX(Twin!$G$31:$BN$31,1,AS44),0),0)/1000000</f>
        <v>79.02396</v>
      </c>
      <c r="AT69" s="48" t="n">
        <f aca="false">AT60*$D$25*IF(AT43=1,IFERROR(INDEX(Twin!$G$31:$BN$31,1,AT44),0),0)/1000000</f>
        <v>75.7764</v>
      </c>
      <c r="AU69" s="48" t="n">
        <f aca="false">AU60*$D$25*IF(AU43=1,IFERROR(INDEX(Twin!$G$31:$BN$31,1,AU44),0),0)/1000000</f>
        <v>75.7764</v>
      </c>
      <c r="AV69" s="48" t="n">
        <f aca="false">AV60*$D$25*IF(AV43=1,IFERROR(INDEX(Twin!$G$31:$BN$31,1,AV44),0),0)/1000000</f>
        <v>79.02396</v>
      </c>
      <c r="AW69" s="48" t="n">
        <f aca="false">AW60*$D$25*IF(AW43=1,IFERROR(INDEX(Twin!$G$31:$BN$31,1,AW44),0),0)/1000000</f>
        <v>75.7764</v>
      </c>
      <c r="AX69" s="48" t="n">
        <f aca="false">AX60*$D$25*IF(AX43=1,IFERROR(INDEX(Twin!$G$31:$BN$31,1,AX44),0),0)/1000000</f>
        <v>75.7764</v>
      </c>
      <c r="AY69" s="48" t="n">
        <f aca="false">AY60*$D$25*IF(AY43=1,IFERROR(INDEX(Twin!$G$31:$BN$31,1,AY44),0),0)/1000000</f>
        <v>79.02396</v>
      </c>
      <c r="AZ69" s="48" t="n">
        <f aca="false">AZ60*$D$25*IF(AZ43=1,IFERROR(INDEX(Twin!$G$31:$BN$31,1,AZ44),0),0)/1000000</f>
        <v>75.7764</v>
      </c>
      <c r="BA69" s="48" t="n">
        <f aca="false">BA60*$D$25*IF(BA43=1,IFERROR(INDEX(Twin!$G$31:$BN$31,1,BA44),0),0)/1000000</f>
        <v>75.7764</v>
      </c>
      <c r="BB69" s="48" t="n">
        <f aca="false">BB60*$D$25*IF(BB43=1,IFERROR(INDEX(Twin!$G$31:$BN$31,1,BB44),0),0)/1000000</f>
        <v>73.61136</v>
      </c>
      <c r="BC69" s="48" t="n">
        <f aca="false">BC60*$D$25*IF(BC43=1,IFERROR(INDEX(Twin!$G$31:$BN$31,1,BC44),0),0)/1000000</f>
        <v>75.7764</v>
      </c>
      <c r="BD69" s="48" t="n">
        <f aca="false">BD60*$D$25*IF(BD43=1,IFERROR(INDEX(Twin!$G$31:$BN$31,1,BD44),0),0)/1000000</f>
        <v>75.7764</v>
      </c>
      <c r="BE69" s="48" t="n">
        <f aca="false">BE60*$D$25*IF(BE43=1,IFERROR(INDEX(Twin!$G$31:$BN$31,1,BE44),0),0)/1000000</f>
        <v>79.02396</v>
      </c>
      <c r="BF69" s="48" t="n">
        <f aca="false">BF60*$D$25*IF(BF43=1,IFERROR(INDEX(Twin!$G$31:$BN$31,1,BF44),0),0)/1000000</f>
        <v>75.7764</v>
      </c>
      <c r="BG69" s="48" t="n">
        <f aca="false">BG60*$D$25*IF(BG43=1,IFERROR(INDEX(Twin!$G$31:$BN$31,1,BG44),0),0)/1000000</f>
        <v>75.7764</v>
      </c>
      <c r="BH69" s="48" t="n">
        <f aca="false">BH60*$D$25*IF(BH43=1,IFERROR(INDEX(Twin!$G$31:$BN$31,1,BH44),0),0)/1000000</f>
        <v>79.02396</v>
      </c>
      <c r="BI69" s="48" t="n">
        <f aca="false">BI60*$D$25*IF(BI43=1,IFERROR(INDEX(Twin!$G$31:$BN$31,1,BI44),0),0)/1000000</f>
        <v>75.7764</v>
      </c>
      <c r="BJ69" s="48" t="n">
        <f aca="false">BJ60*$D$25*IF(BJ43=1,IFERROR(INDEX(Twin!$G$31:$BN$31,1,BJ44),0),0)/1000000</f>
        <v>75.7764</v>
      </c>
      <c r="BK69" s="48" t="n">
        <f aca="false">BK60*$D$25*IF(BK43=1,IFERROR(INDEX(Twin!$G$31:$BN$31,1,BK44),0),0)/1000000</f>
        <v>79.02396</v>
      </c>
      <c r="BL69" s="48" t="n">
        <f aca="false">BL60*$D$25*IF(BL43=1,IFERROR(INDEX(Twin!$G$31:$BN$31,1,BL44),0),0)/1000000</f>
        <v>72.52884</v>
      </c>
      <c r="BM69" s="48" t="n">
        <f aca="false">BM60*$D$25*IF(BM43=1,IFERROR(INDEX(Twin!$G$31:$BN$31,1,BM44),0),0)/1000000</f>
        <v>75.7764</v>
      </c>
      <c r="BN69" s="48" t="n">
        <f aca="false">BN60*$D$25*IF(BN43=1,IFERROR(INDEX(Twin!$G$31:$BN$31,1,BN44),0),0)/1000000</f>
        <v>79.02396</v>
      </c>
      <c r="BO69" s="48" t="n">
        <f aca="false">BO60*$D$25*IF(BO43=1,IFERROR(INDEX(Twin!$G$31:$BN$31,1,BO44),0),0)/1000000</f>
        <v>75.7764</v>
      </c>
      <c r="BP69" s="48" t="n">
        <f aca="false">BP60*$D$25*IF(BP43=1,IFERROR(INDEX(Twin!$G$31:$BN$31,1,BP44),0),0)/1000000</f>
        <v>75.7764</v>
      </c>
      <c r="BQ69" s="48" t="n">
        <f aca="false">BQ60*$D$25*IF(BQ43=1,IFERROR(INDEX(Twin!$G$31:$BN$31,1,BQ44),0),0)/1000000</f>
        <v>79.02396</v>
      </c>
      <c r="BR69" s="48" t="n">
        <f aca="false">BR60*$D$25*IF(BR43=1,IFERROR(INDEX(Twin!$G$31:$BN$31,1,BR44),0),0)/1000000</f>
        <v>75.7764</v>
      </c>
      <c r="BS69" s="48" t="n">
        <f aca="false">BS60*$D$25*IF(BS43=1,IFERROR(INDEX(Twin!$G$31:$BN$31,1,BS44),0),0)/1000000</f>
        <v>75.7764</v>
      </c>
      <c r="BT69" s="48" t="n">
        <f aca="false">BT60*$D$25*IF(BT43=1,IFERROR(INDEX(Twin!$G$31:$BN$31,1,BT44),0),0)/1000000</f>
        <v>79.02396</v>
      </c>
      <c r="BU69" s="48" t="n">
        <f aca="false">BU60*$D$25*IF(BU43=1,IFERROR(INDEX(Twin!$G$31:$BN$31,1,BU44),0),0)/1000000</f>
        <v>75.7764</v>
      </c>
      <c r="BV69" s="48" t="n">
        <f aca="false">BV60*$D$25*IF(BV43=1,IFERROR(INDEX(Twin!$G$31:$BN$31,1,BV44),0),0)/1000000</f>
        <v>72.52884</v>
      </c>
      <c r="BW69" s="48" t="n">
        <f aca="false">BW60*$D$25*IF(BW43=1,IFERROR(INDEX(Twin!$G$31:$BN$31,1,BW44),0),0)/1000000</f>
        <v>0</v>
      </c>
      <c r="BX69" s="48" t="n">
        <f aca="false">BX60*$D$25*IF(BX43=1,IFERROR(INDEX(Twin!$G$31:$BN$31,1,BX44),0),0)/1000000</f>
        <v>0</v>
      </c>
    </row>
    <row r="70" customFormat="false" ht="15" hidden="false" customHeight="false" outlineLevel="0" collapsed="false">
      <c r="A70" s="1"/>
      <c r="B70" s="8" t="s">
        <v>334</v>
      </c>
      <c r="C70" s="8" t="s">
        <v>126</v>
      </c>
      <c r="D70" s="44" t="n">
        <f aca="false">SUM(G70:BX70)</f>
        <v>0</v>
      </c>
      <c r="E70" s="1"/>
      <c r="F70" s="1"/>
      <c r="G70" s="48" t="n">
        <f aca="false">0</f>
        <v>0</v>
      </c>
      <c r="H70" s="48" t="n">
        <f aca="false">0</f>
        <v>0</v>
      </c>
      <c r="I70" s="48" t="n">
        <f aca="false">0</f>
        <v>0</v>
      </c>
      <c r="J70" s="48" t="n">
        <f aca="false">0</f>
        <v>0</v>
      </c>
      <c r="K70" s="48" t="n">
        <f aca="false">0</f>
        <v>0</v>
      </c>
      <c r="L70" s="48" t="n">
        <f aca="false">0</f>
        <v>0</v>
      </c>
      <c r="M70" s="48" t="n">
        <f aca="false">0</f>
        <v>0</v>
      </c>
      <c r="N70" s="48" t="n">
        <f aca="false">0</f>
        <v>0</v>
      </c>
      <c r="O70" s="48" t="n">
        <f aca="false">0</f>
        <v>0</v>
      </c>
      <c r="P70" s="48" t="n">
        <f aca="false">0</f>
        <v>0</v>
      </c>
      <c r="Q70" s="48" t="n">
        <f aca="false">0</f>
        <v>0</v>
      </c>
      <c r="R70" s="48" t="n">
        <f aca="false">0</f>
        <v>0</v>
      </c>
      <c r="S70" s="48" t="n">
        <f aca="false">0</f>
        <v>0</v>
      </c>
      <c r="T70" s="48" t="n">
        <f aca="false">0</f>
        <v>0</v>
      </c>
      <c r="U70" s="48" t="n">
        <f aca="false">0</f>
        <v>0</v>
      </c>
      <c r="V70" s="48" t="n">
        <f aca="false">0</f>
        <v>0</v>
      </c>
      <c r="W70" s="48" t="n">
        <f aca="false">0</f>
        <v>0</v>
      </c>
      <c r="X70" s="48" t="n">
        <f aca="false">0</f>
        <v>0</v>
      </c>
      <c r="Y70" s="48" t="n">
        <f aca="false">0</f>
        <v>0</v>
      </c>
      <c r="Z70" s="48" t="n">
        <f aca="false">0</f>
        <v>0</v>
      </c>
      <c r="AA70" s="48" t="n">
        <f aca="false">0</f>
        <v>0</v>
      </c>
      <c r="AB70" s="48" t="n">
        <f aca="false">0</f>
        <v>0</v>
      </c>
      <c r="AC70" s="48" t="n">
        <f aca="false">0</f>
        <v>0</v>
      </c>
      <c r="AD70" s="48" t="n">
        <f aca="false">0</f>
        <v>0</v>
      </c>
      <c r="AE70" s="48" t="n">
        <f aca="false">0</f>
        <v>0</v>
      </c>
      <c r="AF70" s="48" t="n">
        <f aca="false">0</f>
        <v>0</v>
      </c>
      <c r="AG70" s="48" t="n">
        <f aca="false">0</f>
        <v>0</v>
      </c>
      <c r="AH70" s="48" t="n">
        <f aca="false">0</f>
        <v>0</v>
      </c>
      <c r="AI70" s="48" t="n">
        <f aca="false">0</f>
        <v>0</v>
      </c>
      <c r="AJ70" s="48" t="n">
        <f aca="false">0</f>
        <v>0</v>
      </c>
      <c r="AK70" s="48" t="n">
        <f aca="false">0</f>
        <v>0</v>
      </c>
      <c r="AL70" s="48" t="n">
        <f aca="false">0</f>
        <v>0</v>
      </c>
      <c r="AM70" s="48" t="n">
        <f aca="false">0</f>
        <v>0</v>
      </c>
      <c r="AN70" s="48" t="n">
        <f aca="false">0</f>
        <v>0</v>
      </c>
      <c r="AO70" s="48" t="n">
        <f aca="false">0</f>
        <v>0</v>
      </c>
      <c r="AP70" s="48" t="n">
        <f aca="false">0</f>
        <v>0</v>
      </c>
      <c r="AQ70" s="48" t="n">
        <f aca="false">0</f>
        <v>0</v>
      </c>
      <c r="AR70" s="48" t="n">
        <f aca="false">0</f>
        <v>0</v>
      </c>
      <c r="AS70" s="48" t="n">
        <f aca="false">0</f>
        <v>0</v>
      </c>
      <c r="AT70" s="48" t="n">
        <f aca="false">0</f>
        <v>0</v>
      </c>
      <c r="AU70" s="48" t="n">
        <f aca="false">0</f>
        <v>0</v>
      </c>
      <c r="AV70" s="48" t="n">
        <f aca="false">0</f>
        <v>0</v>
      </c>
      <c r="AW70" s="48" t="n">
        <f aca="false">0</f>
        <v>0</v>
      </c>
      <c r="AX70" s="48" t="n">
        <f aca="false">0</f>
        <v>0</v>
      </c>
      <c r="AY70" s="48" t="n">
        <f aca="false">0</f>
        <v>0</v>
      </c>
      <c r="AZ70" s="48" t="n">
        <f aca="false">0</f>
        <v>0</v>
      </c>
      <c r="BA70" s="48" t="n">
        <f aca="false">0</f>
        <v>0</v>
      </c>
      <c r="BB70" s="48" t="n">
        <f aca="false">0</f>
        <v>0</v>
      </c>
      <c r="BC70" s="48" t="n">
        <f aca="false">0</f>
        <v>0</v>
      </c>
      <c r="BD70" s="48" t="n">
        <f aca="false">0</f>
        <v>0</v>
      </c>
      <c r="BE70" s="48" t="n">
        <f aca="false">0</f>
        <v>0</v>
      </c>
      <c r="BF70" s="48" t="n">
        <f aca="false">0</f>
        <v>0</v>
      </c>
      <c r="BG70" s="48" t="n">
        <f aca="false">0</f>
        <v>0</v>
      </c>
      <c r="BH70" s="48" t="n">
        <f aca="false">0</f>
        <v>0</v>
      </c>
      <c r="BI70" s="48" t="n">
        <f aca="false">0</f>
        <v>0</v>
      </c>
      <c r="BJ70" s="48" t="n">
        <f aca="false">0</f>
        <v>0</v>
      </c>
      <c r="BK70" s="48" t="n">
        <f aca="false">0</f>
        <v>0</v>
      </c>
      <c r="BL70" s="48" t="n">
        <f aca="false">0</f>
        <v>0</v>
      </c>
      <c r="BM70" s="48" t="n">
        <f aca="false">0</f>
        <v>0</v>
      </c>
      <c r="BN70" s="48" t="n">
        <f aca="false">0</f>
        <v>0</v>
      </c>
      <c r="BO70" s="48" t="n">
        <f aca="false">0</f>
        <v>0</v>
      </c>
      <c r="BP70" s="48" t="n">
        <f aca="false">0</f>
        <v>0</v>
      </c>
      <c r="BQ70" s="48" t="n">
        <f aca="false">0</f>
        <v>0</v>
      </c>
      <c r="BR70" s="48" t="n">
        <f aca="false">0</f>
        <v>0</v>
      </c>
      <c r="BS70" s="48" t="n">
        <f aca="false">0</f>
        <v>0</v>
      </c>
      <c r="BT70" s="48" t="n">
        <f aca="false">0</f>
        <v>0</v>
      </c>
      <c r="BU70" s="48" t="n">
        <f aca="false">0</f>
        <v>0</v>
      </c>
      <c r="BV70" s="48" t="n">
        <f aca="false">0</f>
        <v>0</v>
      </c>
      <c r="BW70" s="48" t="n">
        <f aca="false">0</f>
        <v>0</v>
      </c>
      <c r="BX70" s="48" t="n">
        <f aca="false">0</f>
        <v>0</v>
      </c>
    </row>
    <row r="71" customFormat="false" ht="15" hidden="false" customHeight="false" outlineLevel="0" collapsed="false">
      <c r="A71" s="1"/>
      <c r="B71" s="8" t="s">
        <v>335</v>
      </c>
      <c r="C71" s="8" t="s">
        <v>126</v>
      </c>
      <c r="D71" s="44" t="n">
        <f aca="false">SUM(G71:BX71)</f>
        <v>1625.37012</v>
      </c>
      <c r="E71" s="1"/>
      <c r="F71" s="1"/>
      <c r="G71" s="48" t="n">
        <f aca="false">G60*$D$15/1000000</f>
        <v>0</v>
      </c>
      <c r="H71" s="48" t="n">
        <f aca="false">H60*$D$15/1000000</f>
        <v>0</v>
      </c>
      <c r="I71" s="48" t="n">
        <f aca="false">I60*$D$15/1000000</f>
        <v>0</v>
      </c>
      <c r="J71" s="48" t="n">
        <f aca="false">J60*$D$15/1000000</f>
        <v>0</v>
      </c>
      <c r="K71" s="48" t="n">
        <f aca="false">K60*$D$15/1000000</f>
        <v>0</v>
      </c>
      <c r="L71" s="48" t="n">
        <f aca="false">L60*$D$15/1000000</f>
        <v>0</v>
      </c>
      <c r="M71" s="48" t="n">
        <f aca="false">M60*$D$15/1000000</f>
        <v>0</v>
      </c>
      <c r="N71" s="48" t="n">
        <f aca="false">N60*$D$15/1000000</f>
        <v>0</v>
      </c>
      <c r="O71" s="48" t="n">
        <f aca="false">O60*$D$15/1000000</f>
        <v>27.17352</v>
      </c>
      <c r="P71" s="48" t="n">
        <f aca="false">P60*$D$15/1000000</f>
        <v>26.0568</v>
      </c>
      <c r="Q71" s="48" t="n">
        <f aca="false">Q60*$D$15/1000000</f>
        <v>26.0568</v>
      </c>
      <c r="R71" s="48" t="n">
        <f aca="false">R60*$D$15/1000000</f>
        <v>28.04076</v>
      </c>
      <c r="S71" s="48" t="n">
        <f aca="false">S60*$D$15/1000000</f>
        <v>26.8884</v>
      </c>
      <c r="T71" s="48" t="n">
        <f aca="false">T60*$D$15/1000000</f>
        <v>26.8884</v>
      </c>
      <c r="U71" s="48" t="n">
        <f aca="false">U60*$D$15/1000000</f>
        <v>28.04076</v>
      </c>
      <c r="V71" s="48" t="n">
        <f aca="false">V60*$D$15/1000000</f>
        <v>26.8884</v>
      </c>
      <c r="W71" s="48" t="n">
        <f aca="false">W60*$D$15/1000000</f>
        <v>26.8884</v>
      </c>
      <c r="X71" s="48" t="n">
        <f aca="false">X60*$D$15/1000000</f>
        <v>26.12016</v>
      </c>
      <c r="Y71" s="48" t="n">
        <f aca="false">Y60*$D$15/1000000</f>
        <v>26.8884</v>
      </c>
      <c r="Z71" s="48" t="n">
        <f aca="false">Z60*$D$15/1000000</f>
        <v>26.8884</v>
      </c>
      <c r="AA71" s="48" t="n">
        <f aca="false">AA60*$D$15/1000000</f>
        <v>28.04076</v>
      </c>
      <c r="AB71" s="48" t="n">
        <f aca="false">AB60*$D$15/1000000</f>
        <v>26.8884</v>
      </c>
      <c r="AC71" s="48" t="n">
        <f aca="false">AC60*$D$15/1000000</f>
        <v>26.8884</v>
      </c>
      <c r="AD71" s="48" t="n">
        <f aca="false">AD60*$D$15/1000000</f>
        <v>28.04076</v>
      </c>
      <c r="AE71" s="48" t="n">
        <f aca="false">AE60*$D$15/1000000</f>
        <v>26.8884</v>
      </c>
      <c r="AF71" s="48" t="n">
        <f aca="false">AF60*$D$15/1000000</f>
        <v>26.8884</v>
      </c>
      <c r="AG71" s="48" t="n">
        <f aca="false">AG60*$D$15/1000000</f>
        <v>28.04076</v>
      </c>
      <c r="AH71" s="48" t="n">
        <f aca="false">AH60*$D$15/1000000</f>
        <v>25.73604</v>
      </c>
      <c r="AI71" s="48" t="n">
        <f aca="false">AI60*$D$15/1000000</f>
        <v>26.8884</v>
      </c>
      <c r="AJ71" s="48" t="n">
        <f aca="false">AJ60*$D$15/1000000</f>
        <v>28.04076</v>
      </c>
      <c r="AK71" s="48" t="n">
        <f aca="false">AK60*$D$15/1000000</f>
        <v>26.8884</v>
      </c>
      <c r="AL71" s="48" t="n">
        <f aca="false">AL60*$D$15/1000000</f>
        <v>26.8884</v>
      </c>
      <c r="AM71" s="48" t="n">
        <f aca="false">AM60*$D$15/1000000</f>
        <v>28.04076</v>
      </c>
      <c r="AN71" s="48" t="n">
        <f aca="false">AN60*$D$15/1000000</f>
        <v>26.8884</v>
      </c>
      <c r="AO71" s="48" t="n">
        <f aca="false">AO60*$D$15/1000000</f>
        <v>26.8884</v>
      </c>
      <c r="AP71" s="48" t="n">
        <f aca="false">AP60*$D$15/1000000</f>
        <v>28.04076</v>
      </c>
      <c r="AQ71" s="48" t="n">
        <f aca="false">AQ60*$D$15/1000000</f>
        <v>26.8884</v>
      </c>
      <c r="AR71" s="48" t="n">
        <f aca="false">AR60*$D$15/1000000</f>
        <v>25.73604</v>
      </c>
      <c r="AS71" s="48" t="n">
        <f aca="false">AS60*$D$15/1000000</f>
        <v>28.04076</v>
      </c>
      <c r="AT71" s="48" t="n">
        <f aca="false">AT60*$D$15/1000000</f>
        <v>26.8884</v>
      </c>
      <c r="AU71" s="48" t="n">
        <f aca="false">AU60*$D$15/1000000</f>
        <v>26.8884</v>
      </c>
      <c r="AV71" s="48" t="n">
        <f aca="false">AV60*$D$15/1000000</f>
        <v>28.04076</v>
      </c>
      <c r="AW71" s="48" t="n">
        <f aca="false">AW60*$D$15/1000000</f>
        <v>26.8884</v>
      </c>
      <c r="AX71" s="48" t="n">
        <f aca="false">AX60*$D$15/1000000</f>
        <v>26.8884</v>
      </c>
      <c r="AY71" s="48" t="n">
        <f aca="false">AY60*$D$15/1000000</f>
        <v>28.04076</v>
      </c>
      <c r="AZ71" s="48" t="n">
        <f aca="false">AZ60*$D$15/1000000</f>
        <v>26.8884</v>
      </c>
      <c r="BA71" s="48" t="n">
        <f aca="false">BA60*$D$15/1000000</f>
        <v>26.8884</v>
      </c>
      <c r="BB71" s="48" t="n">
        <f aca="false">BB60*$D$15/1000000</f>
        <v>26.12016</v>
      </c>
      <c r="BC71" s="48" t="n">
        <f aca="false">BC60*$D$15/1000000</f>
        <v>26.8884</v>
      </c>
      <c r="BD71" s="48" t="n">
        <f aca="false">BD60*$D$15/1000000</f>
        <v>26.8884</v>
      </c>
      <c r="BE71" s="48" t="n">
        <f aca="false">BE60*$D$15/1000000</f>
        <v>28.04076</v>
      </c>
      <c r="BF71" s="48" t="n">
        <f aca="false">BF60*$D$15/1000000</f>
        <v>26.8884</v>
      </c>
      <c r="BG71" s="48" t="n">
        <f aca="false">BG60*$D$15/1000000</f>
        <v>26.8884</v>
      </c>
      <c r="BH71" s="48" t="n">
        <f aca="false">BH60*$D$15/1000000</f>
        <v>28.04076</v>
      </c>
      <c r="BI71" s="48" t="n">
        <f aca="false">BI60*$D$15/1000000</f>
        <v>26.8884</v>
      </c>
      <c r="BJ71" s="48" t="n">
        <f aca="false">BJ60*$D$15/1000000</f>
        <v>26.8884</v>
      </c>
      <c r="BK71" s="48" t="n">
        <f aca="false">BK60*$D$15/1000000</f>
        <v>28.04076</v>
      </c>
      <c r="BL71" s="48" t="n">
        <f aca="false">BL60*$D$15/1000000</f>
        <v>25.73604</v>
      </c>
      <c r="BM71" s="48" t="n">
        <f aca="false">BM60*$D$15/1000000</f>
        <v>26.8884</v>
      </c>
      <c r="BN71" s="48" t="n">
        <f aca="false">BN60*$D$15/1000000</f>
        <v>28.04076</v>
      </c>
      <c r="BO71" s="48" t="n">
        <f aca="false">BO60*$D$15/1000000</f>
        <v>26.8884</v>
      </c>
      <c r="BP71" s="48" t="n">
        <f aca="false">BP60*$D$15/1000000</f>
        <v>26.8884</v>
      </c>
      <c r="BQ71" s="48" t="n">
        <f aca="false">BQ60*$D$15/1000000</f>
        <v>28.04076</v>
      </c>
      <c r="BR71" s="48" t="n">
        <f aca="false">BR60*$D$15/1000000</f>
        <v>26.8884</v>
      </c>
      <c r="BS71" s="48" t="n">
        <f aca="false">BS60*$D$15/1000000</f>
        <v>26.8884</v>
      </c>
      <c r="BT71" s="48" t="n">
        <f aca="false">BT60*$D$15/1000000</f>
        <v>28.04076</v>
      </c>
      <c r="BU71" s="48" t="n">
        <f aca="false">BU60*$D$15/1000000</f>
        <v>26.8884</v>
      </c>
      <c r="BV71" s="48" t="n">
        <f aca="false">BV60*$D$15/1000000</f>
        <v>25.73604</v>
      </c>
      <c r="BW71" s="48" t="n">
        <f aca="false">BW60*$D$15/1000000</f>
        <v>0</v>
      </c>
      <c r="BX71" s="48" t="n">
        <f aca="false">BX60*$D$15/1000000</f>
        <v>0</v>
      </c>
    </row>
    <row r="72" customFormat="false" ht="15" hidden="false" customHeight="false" outlineLevel="0" collapsed="false">
      <c r="A72" s="1"/>
      <c r="B72" s="8" t="s">
        <v>336</v>
      </c>
      <c r="C72" s="8" t="s">
        <v>126</v>
      </c>
      <c r="D72" s="44" t="n">
        <f aca="false">SUM(G72:BX72)</f>
        <v>0</v>
      </c>
      <c r="E72" s="1"/>
      <c r="F72" s="1"/>
      <c r="G72" s="48" t="n">
        <f aca="false">0</f>
        <v>0</v>
      </c>
      <c r="H72" s="48" t="n">
        <f aca="false">0</f>
        <v>0</v>
      </c>
      <c r="I72" s="48" t="n">
        <f aca="false">0</f>
        <v>0</v>
      </c>
      <c r="J72" s="48" t="n">
        <f aca="false">0</f>
        <v>0</v>
      </c>
      <c r="K72" s="48" t="n">
        <f aca="false">0</f>
        <v>0</v>
      </c>
      <c r="L72" s="48" t="n">
        <f aca="false">0</f>
        <v>0</v>
      </c>
      <c r="M72" s="48" t="n">
        <f aca="false">0</f>
        <v>0</v>
      </c>
      <c r="N72" s="48" t="n">
        <f aca="false">0</f>
        <v>0</v>
      </c>
      <c r="O72" s="48" t="n">
        <f aca="false">0</f>
        <v>0</v>
      </c>
      <c r="P72" s="48" t="n">
        <f aca="false">0</f>
        <v>0</v>
      </c>
      <c r="Q72" s="48" t="n">
        <f aca="false">0</f>
        <v>0</v>
      </c>
      <c r="R72" s="48" t="n">
        <f aca="false">0</f>
        <v>0</v>
      </c>
      <c r="S72" s="48" t="n">
        <f aca="false">0</f>
        <v>0</v>
      </c>
      <c r="T72" s="48" t="n">
        <f aca="false">0</f>
        <v>0</v>
      </c>
      <c r="U72" s="48" t="n">
        <f aca="false">0</f>
        <v>0</v>
      </c>
      <c r="V72" s="48" t="n">
        <f aca="false">0</f>
        <v>0</v>
      </c>
      <c r="W72" s="48" t="n">
        <f aca="false">0</f>
        <v>0</v>
      </c>
      <c r="X72" s="48" t="n">
        <f aca="false">0</f>
        <v>0</v>
      </c>
      <c r="Y72" s="48" t="n">
        <f aca="false">0</f>
        <v>0</v>
      </c>
      <c r="Z72" s="48" t="n">
        <f aca="false">0</f>
        <v>0</v>
      </c>
      <c r="AA72" s="48" t="n">
        <f aca="false">0</f>
        <v>0</v>
      </c>
      <c r="AB72" s="48" t="n">
        <f aca="false">0</f>
        <v>0</v>
      </c>
      <c r="AC72" s="48" t="n">
        <f aca="false">0</f>
        <v>0</v>
      </c>
      <c r="AD72" s="48" t="n">
        <f aca="false">0</f>
        <v>0</v>
      </c>
      <c r="AE72" s="48" t="n">
        <f aca="false">0</f>
        <v>0</v>
      </c>
      <c r="AF72" s="48" t="n">
        <f aca="false">0</f>
        <v>0</v>
      </c>
      <c r="AG72" s="48" t="n">
        <f aca="false">0</f>
        <v>0</v>
      </c>
      <c r="AH72" s="48" t="n">
        <f aca="false">0</f>
        <v>0</v>
      </c>
      <c r="AI72" s="48" t="n">
        <f aca="false">0</f>
        <v>0</v>
      </c>
      <c r="AJ72" s="48" t="n">
        <f aca="false">0</f>
        <v>0</v>
      </c>
      <c r="AK72" s="48" t="n">
        <f aca="false">0</f>
        <v>0</v>
      </c>
      <c r="AL72" s="48" t="n">
        <f aca="false">0</f>
        <v>0</v>
      </c>
      <c r="AM72" s="48" t="n">
        <f aca="false">0</f>
        <v>0</v>
      </c>
      <c r="AN72" s="48" t="n">
        <f aca="false">0</f>
        <v>0</v>
      </c>
      <c r="AO72" s="48" t="n">
        <f aca="false">0</f>
        <v>0</v>
      </c>
      <c r="AP72" s="48" t="n">
        <f aca="false">0</f>
        <v>0</v>
      </c>
      <c r="AQ72" s="48" t="n">
        <f aca="false">0</f>
        <v>0</v>
      </c>
      <c r="AR72" s="48" t="n">
        <f aca="false">0</f>
        <v>0</v>
      </c>
      <c r="AS72" s="48" t="n">
        <f aca="false">0</f>
        <v>0</v>
      </c>
      <c r="AT72" s="48" t="n">
        <f aca="false">0</f>
        <v>0</v>
      </c>
      <c r="AU72" s="48" t="n">
        <f aca="false">0</f>
        <v>0</v>
      </c>
      <c r="AV72" s="48" t="n">
        <f aca="false">0</f>
        <v>0</v>
      </c>
      <c r="AW72" s="48" t="n">
        <f aca="false">0</f>
        <v>0</v>
      </c>
      <c r="AX72" s="48" t="n">
        <f aca="false">0</f>
        <v>0</v>
      </c>
      <c r="AY72" s="48" t="n">
        <f aca="false">0</f>
        <v>0</v>
      </c>
      <c r="AZ72" s="48" t="n">
        <f aca="false">0</f>
        <v>0</v>
      </c>
      <c r="BA72" s="48" t="n">
        <f aca="false">0</f>
        <v>0</v>
      </c>
      <c r="BB72" s="48" t="n">
        <f aca="false">0</f>
        <v>0</v>
      </c>
      <c r="BC72" s="48" t="n">
        <f aca="false">0</f>
        <v>0</v>
      </c>
      <c r="BD72" s="48" t="n">
        <f aca="false">0</f>
        <v>0</v>
      </c>
      <c r="BE72" s="48" t="n">
        <f aca="false">0</f>
        <v>0</v>
      </c>
      <c r="BF72" s="48" t="n">
        <f aca="false">0</f>
        <v>0</v>
      </c>
      <c r="BG72" s="48" t="n">
        <f aca="false">0</f>
        <v>0</v>
      </c>
      <c r="BH72" s="48" t="n">
        <f aca="false">0</f>
        <v>0</v>
      </c>
      <c r="BI72" s="48" t="n">
        <f aca="false">0</f>
        <v>0</v>
      </c>
      <c r="BJ72" s="48" t="n">
        <f aca="false">0</f>
        <v>0</v>
      </c>
      <c r="BK72" s="48" t="n">
        <f aca="false">0</f>
        <v>0</v>
      </c>
      <c r="BL72" s="48" t="n">
        <f aca="false">0</f>
        <v>0</v>
      </c>
      <c r="BM72" s="48" t="n">
        <f aca="false">0</f>
        <v>0</v>
      </c>
      <c r="BN72" s="48" t="n">
        <f aca="false">0</f>
        <v>0</v>
      </c>
      <c r="BO72" s="48" t="n">
        <f aca="false">0</f>
        <v>0</v>
      </c>
      <c r="BP72" s="48" t="n">
        <f aca="false">0</f>
        <v>0</v>
      </c>
      <c r="BQ72" s="48" t="n">
        <f aca="false">0</f>
        <v>0</v>
      </c>
      <c r="BR72" s="48" t="n">
        <f aca="false">0</f>
        <v>0</v>
      </c>
      <c r="BS72" s="48" t="n">
        <f aca="false">0</f>
        <v>0</v>
      </c>
      <c r="BT72" s="48" t="n">
        <f aca="false">0</f>
        <v>0</v>
      </c>
      <c r="BU72" s="48" t="n">
        <f aca="false">0</f>
        <v>0</v>
      </c>
      <c r="BV72" s="48" t="n">
        <f aca="false">0</f>
        <v>0</v>
      </c>
      <c r="BW72" s="48" t="n">
        <f aca="false">0</f>
        <v>0</v>
      </c>
      <c r="BX72" s="48" t="n">
        <f aca="false">0</f>
        <v>0</v>
      </c>
    </row>
    <row r="73" customFormat="false" ht="15" hidden="false" customHeight="false" outlineLevel="0" collapsed="false">
      <c r="A73" s="1"/>
      <c r="B73" s="8" t="s">
        <v>337</v>
      </c>
      <c r="C73" s="8" t="s">
        <v>126</v>
      </c>
      <c r="D73" s="44" t="n">
        <f aca="false">SUM(G73:BX73)</f>
        <v>3841.78392</v>
      </c>
      <c r="E73" s="1"/>
      <c r="F73" s="1"/>
      <c r="G73" s="48" t="n">
        <f aca="false">G60*$D$26/1000000</f>
        <v>0</v>
      </c>
      <c r="H73" s="48" t="n">
        <f aca="false">H60*$D$26/1000000</f>
        <v>0</v>
      </c>
      <c r="I73" s="48" t="n">
        <f aca="false">I60*$D$26/1000000</f>
        <v>0</v>
      </c>
      <c r="J73" s="48" t="n">
        <f aca="false">J60*$D$26/1000000</f>
        <v>0</v>
      </c>
      <c r="K73" s="48" t="n">
        <f aca="false">K60*$D$26/1000000</f>
        <v>0</v>
      </c>
      <c r="L73" s="48" t="n">
        <f aca="false">L60*$D$26/1000000</f>
        <v>0</v>
      </c>
      <c r="M73" s="48" t="n">
        <f aca="false">M60*$D$26/1000000</f>
        <v>0</v>
      </c>
      <c r="N73" s="48" t="n">
        <f aca="false">N60*$D$26/1000000</f>
        <v>0</v>
      </c>
      <c r="O73" s="48" t="n">
        <f aca="false">O60*$D$26/1000000</f>
        <v>64.22832</v>
      </c>
      <c r="P73" s="48" t="n">
        <f aca="false">P60*$D$26/1000000</f>
        <v>61.5888</v>
      </c>
      <c r="Q73" s="48" t="n">
        <f aca="false">Q60*$D$26/1000000</f>
        <v>61.5888</v>
      </c>
      <c r="R73" s="48" t="n">
        <f aca="false">R60*$D$26/1000000</f>
        <v>66.27816</v>
      </c>
      <c r="S73" s="48" t="n">
        <f aca="false">S60*$D$26/1000000</f>
        <v>63.5544</v>
      </c>
      <c r="T73" s="48" t="n">
        <f aca="false">T60*$D$26/1000000</f>
        <v>63.5544</v>
      </c>
      <c r="U73" s="48" t="n">
        <f aca="false">U60*$D$26/1000000</f>
        <v>66.27816</v>
      </c>
      <c r="V73" s="48" t="n">
        <f aca="false">V60*$D$26/1000000</f>
        <v>63.5544</v>
      </c>
      <c r="W73" s="48" t="n">
        <f aca="false">W60*$D$26/1000000</f>
        <v>63.5544</v>
      </c>
      <c r="X73" s="48" t="n">
        <f aca="false">X60*$D$26/1000000</f>
        <v>61.73856</v>
      </c>
      <c r="Y73" s="48" t="n">
        <f aca="false">Y60*$D$26/1000000</f>
        <v>63.5544</v>
      </c>
      <c r="Z73" s="48" t="n">
        <f aca="false">Z60*$D$26/1000000</f>
        <v>63.5544</v>
      </c>
      <c r="AA73" s="48" t="n">
        <f aca="false">AA60*$D$26/1000000</f>
        <v>66.27816</v>
      </c>
      <c r="AB73" s="48" t="n">
        <f aca="false">AB60*$D$26/1000000</f>
        <v>63.5544</v>
      </c>
      <c r="AC73" s="48" t="n">
        <f aca="false">AC60*$D$26/1000000</f>
        <v>63.5544</v>
      </c>
      <c r="AD73" s="48" t="n">
        <f aca="false">AD60*$D$26/1000000</f>
        <v>66.27816</v>
      </c>
      <c r="AE73" s="48" t="n">
        <f aca="false">AE60*$D$26/1000000</f>
        <v>63.5544</v>
      </c>
      <c r="AF73" s="48" t="n">
        <f aca="false">AF60*$D$26/1000000</f>
        <v>63.5544</v>
      </c>
      <c r="AG73" s="48" t="n">
        <f aca="false">AG60*$D$26/1000000</f>
        <v>66.27816</v>
      </c>
      <c r="AH73" s="48" t="n">
        <f aca="false">AH60*$D$26/1000000</f>
        <v>60.83064</v>
      </c>
      <c r="AI73" s="48" t="n">
        <f aca="false">AI60*$D$26/1000000</f>
        <v>63.5544</v>
      </c>
      <c r="AJ73" s="48" t="n">
        <f aca="false">AJ60*$D$26/1000000</f>
        <v>66.27816</v>
      </c>
      <c r="AK73" s="48" t="n">
        <f aca="false">AK60*$D$26/1000000</f>
        <v>63.5544</v>
      </c>
      <c r="AL73" s="48" t="n">
        <f aca="false">AL60*$D$26/1000000</f>
        <v>63.5544</v>
      </c>
      <c r="AM73" s="48" t="n">
        <f aca="false">AM60*$D$26/1000000</f>
        <v>66.27816</v>
      </c>
      <c r="AN73" s="48" t="n">
        <f aca="false">AN60*$D$26/1000000</f>
        <v>63.5544</v>
      </c>
      <c r="AO73" s="48" t="n">
        <f aca="false">AO60*$D$26/1000000</f>
        <v>63.5544</v>
      </c>
      <c r="AP73" s="48" t="n">
        <f aca="false">AP60*$D$26/1000000</f>
        <v>66.27816</v>
      </c>
      <c r="AQ73" s="48" t="n">
        <f aca="false">AQ60*$D$26/1000000</f>
        <v>63.5544</v>
      </c>
      <c r="AR73" s="48" t="n">
        <f aca="false">AR60*$D$26/1000000</f>
        <v>60.83064</v>
      </c>
      <c r="AS73" s="48" t="n">
        <f aca="false">AS60*$D$26/1000000</f>
        <v>66.27816</v>
      </c>
      <c r="AT73" s="48" t="n">
        <f aca="false">AT60*$D$26/1000000</f>
        <v>63.5544</v>
      </c>
      <c r="AU73" s="48" t="n">
        <f aca="false">AU60*$D$26/1000000</f>
        <v>63.5544</v>
      </c>
      <c r="AV73" s="48" t="n">
        <f aca="false">AV60*$D$26/1000000</f>
        <v>66.27816</v>
      </c>
      <c r="AW73" s="48" t="n">
        <f aca="false">AW60*$D$26/1000000</f>
        <v>63.5544</v>
      </c>
      <c r="AX73" s="48" t="n">
        <f aca="false">AX60*$D$26/1000000</f>
        <v>63.5544</v>
      </c>
      <c r="AY73" s="48" t="n">
        <f aca="false">AY60*$D$26/1000000</f>
        <v>66.27816</v>
      </c>
      <c r="AZ73" s="48" t="n">
        <f aca="false">AZ60*$D$26/1000000</f>
        <v>63.5544</v>
      </c>
      <c r="BA73" s="48" t="n">
        <f aca="false">BA60*$D$26/1000000</f>
        <v>63.5544</v>
      </c>
      <c r="BB73" s="48" t="n">
        <f aca="false">BB60*$D$26/1000000</f>
        <v>61.73856</v>
      </c>
      <c r="BC73" s="48" t="n">
        <f aca="false">BC60*$D$26/1000000</f>
        <v>63.5544</v>
      </c>
      <c r="BD73" s="48" t="n">
        <f aca="false">BD60*$D$26/1000000</f>
        <v>63.5544</v>
      </c>
      <c r="BE73" s="48" t="n">
        <f aca="false">BE60*$D$26/1000000</f>
        <v>66.27816</v>
      </c>
      <c r="BF73" s="48" t="n">
        <f aca="false">BF60*$D$26/1000000</f>
        <v>63.5544</v>
      </c>
      <c r="BG73" s="48" t="n">
        <f aca="false">BG60*$D$26/1000000</f>
        <v>63.5544</v>
      </c>
      <c r="BH73" s="48" t="n">
        <f aca="false">BH60*$D$26/1000000</f>
        <v>66.27816</v>
      </c>
      <c r="BI73" s="48" t="n">
        <f aca="false">BI60*$D$26/1000000</f>
        <v>63.5544</v>
      </c>
      <c r="BJ73" s="48" t="n">
        <f aca="false">BJ60*$D$26/1000000</f>
        <v>63.5544</v>
      </c>
      <c r="BK73" s="48" t="n">
        <f aca="false">BK60*$D$26/1000000</f>
        <v>66.27816</v>
      </c>
      <c r="BL73" s="48" t="n">
        <f aca="false">BL60*$D$26/1000000</f>
        <v>60.83064</v>
      </c>
      <c r="BM73" s="48" t="n">
        <f aca="false">BM60*$D$26/1000000</f>
        <v>63.5544</v>
      </c>
      <c r="BN73" s="48" t="n">
        <f aca="false">BN60*$D$26/1000000</f>
        <v>66.27816</v>
      </c>
      <c r="BO73" s="48" t="n">
        <f aca="false">BO60*$D$26/1000000</f>
        <v>63.5544</v>
      </c>
      <c r="BP73" s="48" t="n">
        <f aca="false">BP60*$D$26/1000000</f>
        <v>63.5544</v>
      </c>
      <c r="BQ73" s="48" t="n">
        <f aca="false">BQ60*$D$26/1000000</f>
        <v>66.27816</v>
      </c>
      <c r="BR73" s="48" t="n">
        <f aca="false">BR60*$D$26/1000000</f>
        <v>63.5544</v>
      </c>
      <c r="BS73" s="48" t="n">
        <f aca="false">BS60*$D$26/1000000</f>
        <v>63.5544</v>
      </c>
      <c r="BT73" s="48" t="n">
        <f aca="false">BT60*$D$26/1000000</f>
        <v>66.27816</v>
      </c>
      <c r="BU73" s="48" t="n">
        <f aca="false">BU60*$D$26/1000000</f>
        <v>63.5544</v>
      </c>
      <c r="BV73" s="48" t="n">
        <f aca="false">BV60*$D$26/1000000</f>
        <v>60.83064</v>
      </c>
      <c r="BW73" s="48" t="n">
        <f aca="false">BW60*$D$26/1000000</f>
        <v>0</v>
      </c>
      <c r="BX73" s="48" t="n">
        <f aca="false">BX60*$D$26/1000000</f>
        <v>0</v>
      </c>
    </row>
    <row r="74" customFormat="false" ht="15" hidden="false" customHeight="false" outlineLevel="0" collapsed="false">
      <c r="A74" s="1"/>
      <c r="B74" s="8" t="s">
        <v>338</v>
      </c>
      <c r="C74" s="8" t="s">
        <v>126</v>
      </c>
      <c r="D74" s="44" t="n">
        <f aca="false">SUM(G74:BX74)</f>
        <v>9594</v>
      </c>
      <c r="E74" s="1"/>
      <c r="F74" s="1"/>
      <c r="G74" s="48" t="n">
        <f aca="false">IF(G43=1,$D$14*$D$7*1000/1000000*IF(G44&lt;=$D$32,$D$31,1)*(1+0),0)</f>
        <v>0</v>
      </c>
      <c r="H74" s="48" t="n">
        <f aca="false">IF(H43=1,$D$14*$D$7*1000/1000000*IF(H44&lt;=$D$32,$D$31,1)*(1+0),0)</f>
        <v>0</v>
      </c>
      <c r="I74" s="48" t="n">
        <f aca="false">IF(I43=1,$D$14*$D$7*1000/1000000*IF(I44&lt;=$D$32,$D$31,1)*(1+0),0)</f>
        <v>0</v>
      </c>
      <c r="J74" s="48" t="n">
        <f aca="false">IF(J43=1,$D$14*$D$7*1000/1000000*IF(J44&lt;=$D$32,$D$31,1)*(1+0),0)</f>
        <v>0</v>
      </c>
      <c r="K74" s="48" t="n">
        <f aca="false">IF(K43=1,$D$14*$D$7*1000/1000000*IF(K44&lt;=$D$32,$D$31,1)*(1+0),0)</f>
        <v>0</v>
      </c>
      <c r="L74" s="48" t="n">
        <f aca="false">IF(L43=1,$D$14*$D$7*1000/1000000*IF(L44&lt;=$D$32,$D$31,1)*(1+0),0)</f>
        <v>0</v>
      </c>
      <c r="M74" s="48" t="n">
        <f aca="false">IF(M43=1,$D$14*$D$7*1000/1000000*IF(M44&lt;=$D$32,$D$31,1)*(1+0),0)</f>
        <v>0</v>
      </c>
      <c r="N74" s="48" t="n">
        <f aca="false">IF(N43=1,$D$14*$D$7*1000/1000000*IF(N44&lt;=$D$32,$D$31,1)*(1+0),0)</f>
        <v>0</v>
      </c>
      <c r="O74" s="48" t="n">
        <f aca="false">IF(O43=1,$D$14*$D$7*1000/1000000*IF(O44&lt;=$D$32,$D$31,1)*(1+0),0)</f>
        <v>234</v>
      </c>
      <c r="P74" s="48" t="n">
        <f aca="false">IF(P43=1,$D$14*$D$7*1000/1000000*IF(P44&lt;=$D$32,$D$31,1)*(1+0),0)</f>
        <v>234</v>
      </c>
      <c r="Q74" s="48" t="n">
        <f aca="false">IF(Q43=1,$D$14*$D$7*1000/1000000*IF(Q44&lt;=$D$32,$D$31,1)*(1+0),0)</f>
        <v>234</v>
      </c>
      <c r="R74" s="48" t="n">
        <f aca="false">IF(R43=1,$D$14*$D$7*1000/1000000*IF(R44&lt;=$D$32,$D$31,1)*(1+0),0)</f>
        <v>156</v>
      </c>
      <c r="S74" s="48" t="n">
        <f aca="false">IF(S43=1,$D$14*$D$7*1000/1000000*IF(S44&lt;=$D$32,$D$31,1)*(1+0),0)</f>
        <v>156</v>
      </c>
      <c r="T74" s="48" t="n">
        <f aca="false">IF(T43=1,$D$14*$D$7*1000/1000000*IF(T44&lt;=$D$32,$D$31,1)*(1+0),0)</f>
        <v>156</v>
      </c>
      <c r="U74" s="48" t="n">
        <f aca="false">IF(U43=1,$D$14*$D$7*1000/1000000*IF(U44&lt;=$D$32,$D$31,1)*(1+0),0)</f>
        <v>156</v>
      </c>
      <c r="V74" s="48" t="n">
        <f aca="false">IF(V43=1,$D$14*$D$7*1000/1000000*IF(V44&lt;=$D$32,$D$31,1)*(1+0),0)</f>
        <v>156</v>
      </c>
      <c r="W74" s="48" t="n">
        <f aca="false">IF(W43=1,$D$14*$D$7*1000/1000000*IF(W44&lt;=$D$32,$D$31,1)*(1+0),0)</f>
        <v>156</v>
      </c>
      <c r="X74" s="48" t="n">
        <f aca="false">IF(X43=1,$D$14*$D$7*1000/1000000*IF(X44&lt;=$D$32,$D$31,1)*(1+0),0)</f>
        <v>156</v>
      </c>
      <c r="Y74" s="48" t="n">
        <f aca="false">IF(Y43=1,$D$14*$D$7*1000/1000000*IF(Y44&lt;=$D$32,$D$31,1)*(1+0),0)</f>
        <v>156</v>
      </c>
      <c r="Z74" s="48" t="n">
        <f aca="false">IF(Z43=1,$D$14*$D$7*1000/1000000*IF(Z44&lt;=$D$32,$D$31,1)*(1+0),0)</f>
        <v>156</v>
      </c>
      <c r="AA74" s="48" t="n">
        <f aca="false">IF(AA43=1,$D$14*$D$7*1000/1000000*IF(AA44&lt;=$D$32,$D$31,1)*(1+0),0)</f>
        <v>156</v>
      </c>
      <c r="AB74" s="48" t="n">
        <f aca="false">IF(AB43=1,$D$14*$D$7*1000/1000000*IF(AB44&lt;=$D$32,$D$31,1)*(1+0),0)</f>
        <v>156</v>
      </c>
      <c r="AC74" s="48" t="n">
        <f aca="false">IF(AC43=1,$D$14*$D$7*1000/1000000*IF(AC44&lt;=$D$32,$D$31,1)*(1+0),0)</f>
        <v>156</v>
      </c>
      <c r="AD74" s="48" t="n">
        <f aca="false">IF(AD43=1,$D$14*$D$7*1000/1000000*IF(AD44&lt;=$D$32,$D$31,1)*(1+0),0)</f>
        <v>156</v>
      </c>
      <c r="AE74" s="48" t="n">
        <f aca="false">IF(AE43=1,$D$14*$D$7*1000/1000000*IF(AE44&lt;=$D$32,$D$31,1)*(1+0),0)</f>
        <v>156</v>
      </c>
      <c r="AF74" s="48" t="n">
        <f aca="false">IF(AF43=1,$D$14*$D$7*1000/1000000*IF(AF44&lt;=$D$32,$D$31,1)*(1+0),0)</f>
        <v>156</v>
      </c>
      <c r="AG74" s="48" t="n">
        <f aca="false">IF(AG43=1,$D$14*$D$7*1000/1000000*IF(AG44&lt;=$D$32,$D$31,1)*(1+0),0)</f>
        <v>156</v>
      </c>
      <c r="AH74" s="48" t="n">
        <f aca="false">IF(AH43=1,$D$14*$D$7*1000/1000000*IF(AH44&lt;=$D$32,$D$31,1)*(1+0),0)</f>
        <v>156</v>
      </c>
      <c r="AI74" s="48" t="n">
        <f aca="false">IF(AI43=1,$D$14*$D$7*1000/1000000*IF(AI44&lt;=$D$32,$D$31,1)*(1+0),0)</f>
        <v>156</v>
      </c>
      <c r="AJ74" s="48" t="n">
        <f aca="false">IF(AJ43=1,$D$14*$D$7*1000/1000000*IF(AJ44&lt;=$D$32,$D$31,1)*(1+0),0)</f>
        <v>156</v>
      </c>
      <c r="AK74" s="48" t="n">
        <f aca="false">IF(AK43=1,$D$14*$D$7*1000/1000000*IF(AK44&lt;=$D$32,$D$31,1)*(1+0),0)</f>
        <v>156</v>
      </c>
      <c r="AL74" s="48" t="n">
        <f aca="false">IF(AL43=1,$D$14*$D$7*1000/1000000*IF(AL44&lt;=$D$32,$D$31,1)*(1+0),0)</f>
        <v>156</v>
      </c>
      <c r="AM74" s="48" t="n">
        <f aca="false">IF(AM43=1,$D$14*$D$7*1000/1000000*IF(AM44&lt;=$D$32,$D$31,1)*(1+0),0)</f>
        <v>156</v>
      </c>
      <c r="AN74" s="48" t="n">
        <f aca="false">IF(AN43=1,$D$14*$D$7*1000/1000000*IF(AN44&lt;=$D$32,$D$31,1)*(1+0),0)</f>
        <v>156</v>
      </c>
      <c r="AO74" s="48" t="n">
        <f aca="false">IF(AO43=1,$D$14*$D$7*1000/1000000*IF(AO44&lt;=$D$32,$D$31,1)*(1+0),0)</f>
        <v>156</v>
      </c>
      <c r="AP74" s="48" t="n">
        <f aca="false">IF(AP43=1,$D$14*$D$7*1000/1000000*IF(AP44&lt;=$D$32,$D$31,1)*(1+0),0)</f>
        <v>156</v>
      </c>
      <c r="AQ74" s="48" t="n">
        <f aca="false">IF(AQ43=1,$D$14*$D$7*1000/1000000*IF(AQ44&lt;=$D$32,$D$31,1)*(1+0),0)</f>
        <v>156</v>
      </c>
      <c r="AR74" s="48" t="n">
        <f aca="false">IF(AR43=1,$D$14*$D$7*1000/1000000*IF(AR44&lt;=$D$32,$D$31,1)*(1+0),0)</f>
        <v>156</v>
      </c>
      <c r="AS74" s="48" t="n">
        <f aca="false">IF(AS43=1,$D$14*$D$7*1000/1000000*IF(AS44&lt;=$D$32,$D$31,1)*(1+0),0)</f>
        <v>156</v>
      </c>
      <c r="AT74" s="48" t="n">
        <f aca="false">IF(AT43=1,$D$14*$D$7*1000/1000000*IF(AT44&lt;=$D$32,$D$31,1)*(1+0),0)</f>
        <v>156</v>
      </c>
      <c r="AU74" s="48" t="n">
        <f aca="false">IF(AU43=1,$D$14*$D$7*1000/1000000*IF(AU44&lt;=$D$32,$D$31,1)*(1+0),0)</f>
        <v>156</v>
      </c>
      <c r="AV74" s="48" t="n">
        <f aca="false">IF(AV43=1,$D$14*$D$7*1000/1000000*IF(AV44&lt;=$D$32,$D$31,1)*(1+0),0)</f>
        <v>156</v>
      </c>
      <c r="AW74" s="48" t="n">
        <f aca="false">IF(AW43=1,$D$14*$D$7*1000/1000000*IF(AW44&lt;=$D$32,$D$31,1)*(1+0),0)</f>
        <v>156</v>
      </c>
      <c r="AX74" s="48" t="n">
        <f aca="false">IF(AX43=1,$D$14*$D$7*1000/1000000*IF(AX44&lt;=$D$32,$D$31,1)*(1+0),0)</f>
        <v>156</v>
      </c>
      <c r="AY74" s="48" t="n">
        <f aca="false">IF(AY43=1,$D$14*$D$7*1000/1000000*IF(AY44&lt;=$D$32,$D$31,1)*(1+0),0)</f>
        <v>156</v>
      </c>
      <c r="AZ74" s="48" t="n">
        <f aca="false">IF(AZ43=1,$D$14*$D$7*1000/1000000*IF(AZ44&lt;=$D$32,$D$31,1)*(1+0),0)</f>
        <v>156</v>
      </c>
      <c r="BA74" s="48" t="n">
        <f aca="false">IF(BA43=1,$D$14*$D$7*1000/1000000*IF(BA44&lt;=$D$32,$D$31,1)*(1+0),0)</f>
        <v>156</v>
      </c>
      <c r="BB74" s="48" t="n">
        <f aca="false">IF(BB43=1,$D$14*$D$7*1000/1000000*IF(BB44&lt;=$D$32,$D$31,1)*(1+0),0)</f>
        <v>156</v>
      </c>
      <c r="BC74" s="48" t="n">
        <f aca="false">IF(BC43=1,$D$14*$D$7*1000/1000000*IF(BC44&lt;=$D$32,$D$31,1)*(1+0),0)</f>
        <v>156</v>
      </c>
      <c r="BD74" s="48" t="n">
        <f aca="false">IF(BD43=1,$D$14*$D$7*1000/1000000*IF(BD44&lt;=$D$32,$D$31,1)*(1+0),0)</f>
        <v>156</v>
      </c>
      <c r="BE74" s="48" t="n">
        <f aca="false">IF(BE43=1,$D$14*$D$7*1000/1000000*IF(BE44&lt;=$D$32,$D$31,1)*(1+0),0)</f>
        <v>156</v>
      </c>
      <c r="BF74" s="48" t="n">
        <f aca="false">IF(BF43=1,$D$14*$D$7*1000/1000000*IF(BF44&lt;=$D$32,$D$31,1)*(1+0),0)</f>
        <v>156</v>
      </c>
      <c r="BG74" s="48" t="n">
        <f aca="false">IF(BG43=1,$D$14*$D$7*1000/1000000*IF(BG44&lt;=$D$32,$D$31,1)*(1+0),0)</f>
        <v>156</v>
      </c>
      <c r="BH74" s="48" t="n">
        <f aca="false">IF(BH43=1,$D$14*$D$7*1000/1000000*IF(BH44&lt;=$D$32,$D$31,1)*(1+0),0)</f>
        <v>156</v>
      </c>
      <c r="BI74" s="48" t="n">
        <f aca="false">IF(BI43=1,$D$14*$D$7*1000/1000000*IF(BI44&lt;=$D$32,$D$31,1)*(1+0),0)</f>
        <v>156</v>
      </c>
      <c r="BJ74" s="48" t="n">
        <f aca="false">IF(BJ43=1,$D$14*$D$7*1000/1000000*IF(BJ44&lt;=$D$32,$D$31,1)*(1+0),0)</f>
        <v>156</v>
      </c>
      <c r="BK74" s="48" t="n">
        <f aca="false">IF(BK43=1,$D$14*$D$7*1000/1000000*IF(BK44&lt;=$D$32,$D$31,1)*(1+0),0)</f>
        <v>156</v>
      </c>
      <c r="BL74" s="48" t="n">
        <f aca="false">IF(BL43=1,$D$14*$D$7*1000/1000000*IF(BL44&lt;=$D$32,$D$31,1)*(1+0),0)</f>
        <v>156</v>
      </c>
      <c r="BM74" s="48" t="n">
        <f aca="false">IF(BM43=1,$D$14*$D$7*1000/1000000*IF(BM44&lt;=$D$32,$D$31,1)*(1+0),0)</f>
        <v>156</v>
      </c>
      <c r="BN74" s="48" t="n">
        <f aca="false">IF(BN43=1,$D$14*$D$7*1000/1000000*IF(BN44&lt;=$D$32,$D$31,1)*(1+0),0)</f>
        <v>156</v>
      </c>
      <c r="BO74" s="48" t="n">
        <f aca="false">IF(BO43=1,$D$14*$D$7*1000/1000000*IF(BO44&lt;=$D$32,$D$31,1)*(1+0),0)</f>
        <v>156</v>
      </c>
      <c r="BP74" s="48" t="n">
        <f aca="false">IF(BP43=1,$D$14*$D$7*1000/1000000*IF(BP44&lt;=$D$32,$D$31,1)*(1+0),0)</f>
        <v>156</v>
      </c>
      <c r="BQ74" s="48" t="n">
        <f aca="false">IF(BQ43=1,$D$14*$D$7*1000/1000000*IF(BQ44&lt;=$D$32,$D$31,1)*(1+0),0)</f>
        <v>156</v>
      </c>
      <c r="BR74" s="48" t="n">
        <f aca="false">IF(BR43=1,$D$14*$D$7*1000/1000000*IF(BR44&lt;=$D$32,$D$31,1)*(1+0),0)</f>
        <v>156</v>
      </c>
      <c r="BS74" s="48" t="n">
        <f aca="false">IF(BS43=1,$D$14*$D$7*1000/1000000*IF(BS44&lt;=$D$32,$D$31,1)*(1+0),0)</f>
        <v>156</v>
      </c>
      <c r="BT74" s="48" t="n">
        <f aca="false">IF(BT43=1,$D$14*$D$7*1000/1000000*IF(BT44&lt;=$D$32,$D$31,1)*(1+0),0)</f>
        <v>156</v>
      </c>
      <c r="BU74" s="48" t="n">
        <f aca="false">IF(BU43=1,$D$14*$D$7*1000/1000000*IF(BU44&lt;=$D$32,$D$31,1)*(1+0),0)</f>
        <v>156</v>
      </c>
      <c r="BV74" s="48" t="n">
        <f aca="false">IF(BV43=1,$D$14*$D$7*1000/1000000*IF(BV44&lt;=$D$32,$D$31,1)*(1+0),0)</f>
        <v>156</v>
      </c>
      <c r="BW74" s="48" t="n">
        <f aca="false">IF(BW43=1,$D$14*$D$7*1000/1000000*IF(BW44&lt;=$D$32,$D$31,1)*(1+0),0)</f>
        <v>0</v>
      </c>
      <c r="BX74" s="48" t="n">
        <f aca="false">IF(BX43=1,$D$14*$D$7*1000/1000000*IF(BX44&lt;=$D$32,$D$31,1)*(1+0),0)</f>
        <v>0</v>
      </c>
    </row>
    <row r="75" customFormat="false" ht="15" hidden="false" customHeight="false" outlineLevel="0" collapsed="false">
      <c r="A75" s="1"/>
      <c r="B75" s="8" t="s">
        <v>339</v>
      </c>
      <c r="C75" s="8" t="s">
        <v>126</v>
      </c>
      <c r="D75" s="44" t="n">
        <f aca="false">SUM(G75:BX75)</f>
        <v>3132</v>
      </c>
      <c r="E75" s="1"/>
      <c r="F75" s="1"/>
      <c r="G75" s="48" t="n">
        <f aca="false">IF(G43=1,$D$19*$D$20/1000,0)</f>
        <v>0</v>
      </c>
      <c r="H75" s="48" t="n">
        <f aca="false">IF(H43=1,$D$19*$D$20/1000,0)</f>
        <v>0</v>
      </c>
      <c r="I75" s="48" t="n">
        <f aca="false">IF(I43=1,$D$19*$D$20/1000,0)</f>
        <v>0</v>
      </c>
      <c r="J75" s="48" t="n">
        <f aca="false">IF(J43=1,$D$19*$D$20/1000,0)</f>
        <v>0</v>
      </c>
      <c r="K75" s="48" t="n">
        <f aca="false">IF(K43=1,$D$19*$D$20/1000,0)</f>
        <v>0</v>
      </c>
      <c r="L75" s="48" t="n">
        <f aca="false">IF(L43=1,$D$19*$D$20/1000,0)</f>
        <v>0</v>
      </c>
      <c r="M75" s="48" t="n">
        <f aca="false">IF(M43=1,$D$19*$D$20/1000,0)</f>
        <v>0</v>
      </c>
      <c r="N75" s="48" t="n">
        <f aca="false">IF(N43=1,$D$19*$D$20/1000,0)</f>
        <v>0</v>
      </c>
      <c r="O75" s="48" t="n">
        <f aca="false">IF(O43=1,$D$19*$D$20/1000,0)</f>
        <v>52.2</v>
      </c>
      <c r="P75" s="48" t="n">
        <f aca="false">IF(P43=1,$D$19*$D$20/1000,0)</f>
        <v>52.2</v>
      </c>
      <c r="Q75" s="48" t="n">
        <f aca="false">IF(Q43=1,$D$19*$D$20/1000,0)</f>
        <v>52.2</v>
      </c>
      <c r="R75" s="48" t="n">
        <f aca="false">IF(R43=1,$D$19*$D$20/1000,0)</f>
        <v>52.2</v>
      </c>
      <c r="S75" s="48" t="n">
        <f aca="false">IF(S43=1,$D$19*$D$20/1000,0)</f>
        <v>52.2</v>
      </c>
      <c r="T75" s="48" t="n">
        <f aca="false">IF(T43=1,$D$19*$D$20/1000,0)</f>
        <v>52.2</v>
      </c>
      <c r="U75" s="48" t="n">
        <f aca="false">IF(U43=1,$D$19*$D$20/1000,0)</f>
        <v>52.2</v>
      </c>
      <c r="V75" s="48" t="n">
        <f aca="false">IF(V43=1,$D$19*$D$20/1000,0)</f>
        <v>52.2</v>
      </c>
      <c r="W75" s="48" t="n">
        <f aca="false">IF(W43=1,$D$19*$D$20/1000,0)</f>
        <v>52.2</v>
      </c>
      <c r="X75" s="48" t="n">
        <f aca="false">IF(X43=1,$D$19*$D$20/1000,0)</f>
        <v>52.2</v>
      </c>
      <c r="Y75" s="48" t="n">
        <f aca="false">IF(Y43=1,$D$19*$D$20/1000,0)</f>
        <v>52.2</v>
      </c>
      <c r="Z75" s="48" t="n">
        <f aca="false">IF(Z43=1,$D$19*$D$20/1000,0)</f>
        <v>52.2</v>
      </c>
      <c r="AA75" s="48" t="n">
        <f aca="false">IF(AA43=1,$D$19*$D$20/1000,0)</f>
        <v>52.2</v>
      </c>
      <c r="AB75" s="48" t="n">
        <f aca="false">IF(AB43=1,$D$19*$D$20/1000,0)</f>
        <v>52.2</v>
      </c>
      <c r="AC75" s="48" t="n">
        <f aca="false">IF(AC43=1,$D$19*$D$20/1000,0)</f>
        <v>52.2</v>
      </c>
      <c r="AD75" s="48" t="n">
        <f aca="false">IF(AD43=1,$D$19*$D$20/1000,0)</f>
        <v>52.2</v>
      </c>
      <c r="AE75" s="48" t="n">
        <f aca="false">IF(AE43=1,$D$19*$D$20/1000,0)</f>
        <v>52.2</v>
      </c>
      <c r="AF75" s="48" t="n">
        <f aca="false">IF(AF43=1,$D$19*$D$20/1000,0)</f>
        <v>52.2</v>
      </c>
      <c r="AG75" s="48" t="n">
        <f aca="false">IF(AG43=1,$D$19*$D$20/1000,0)</f>
        <v>52.2</v>
      </c>
      <c r="AH75" s="48" t="n">
        <f aca="false">IF(AH43=1,$D$19*$D$20/1000,0)</f>
        <v>52.2</v>
      </c>
      <c r="AI75" s="48" t="n">
        <f aca="false">IF(AI43=1,$D$19*$D$20/1000,0)</f>
        <v>52.2</v>
      </c>
      <c r="AJ75" s="48" t="n">
        <f aca="false">IF(AJ43=1,$D$19*$D$20/1000,0)</f>
        <v>52.2</v>
      </c>
      <c r="AK75" s="48" t="n">
        <f aca="false">IF(AK43=1,$D$19*$D$20/1000,0)</f>
        <v>52.2</v>
      </c>
      <c r="AL75" s="48" t="n">
        <f aca="false">IF(AL43=1,$D$19*$D$20/1000,0)</f>
        <v>52.2</v>
      </c>
      <c r="AM75" s="48" t="n">
        <f aca="false">IF(AM43=1,$D$19*$D$20/1000,0)</f>
        <v>52.2</v>
      </c>
      <c r="AN75" s="48" t="n">
        <f aca="false">IF(AN43=1,$D$19*$D$20/1000,0)</f>
        <v>52.2</v>
      </c>
      <c r="AO75" s="48" t="n">
        <f aca="false">IF(AO43=1,$D$19*$D$20/1000,0)</f>
        <v>52.2</v>
      </c>
      <c r="AP75" s="48" t="n">
        <f aca="false">IF(AP43=1,$D$19*$D$20/1000,0)</f>
        <v>52.2</v>
      </c>
      <c r="AQ75" s="48" t="n">
        <f aca="false">IF(AQ43=1,$D$19*$D$20/1000,0)</f>
        <v>52.2</v>
      </c>
      <c r="AR75" s="48" t="n">
        <f aca="false">IF(AR43=1,$D$19*$D$20/1000,0)</f>
        <v>52.2</v>
      </c>
      <c r="AS75" s="48" t="n">
        <f aca="false">IF(AS43=1,$D$19*$D$20/1000,0)</f>
        <v>52.2</v>
      </c>
      <c r="AT75" s="48" t="n">
        <f aca="false">IF(AT43=1,$D$19*$D$20/1000,0)</f>
        <v>52.2</v>
      </c>
      <c r="AU75" s="48" t="n">
        <f aca="false">IF(AU43=1,$D$19*$D$20/1000,0)</f>
        <v>52.2</v>
      </c>
      <c r="AV75" s="48" t="n">
        <f aca="false">IF(AV43=1,$D$19*$D$20/1000,0)</f>
        <v>52.2</v>
      </c>
      <c r="AW75" s="48" t="n">
        <f aca="false">IF(AW43=1,$D$19*$D$20/1000,0)</f>
        <v>52.2</v>
      </c>
      <c r="AX75" s="48" t="n">
        <f aca="false">IF(AX43=1,$D$19*$D$20/1000,0)</f>
        <v>52.2</v>
      </c>
      <c r="AY75" s="48" t="n">
        <f aca="false">IF(AY43=1,$D$19*$D$20/1000,0)</f>
        <v>52.2</v>
      </c>
      <c r="AZ75" s="48" t="n">
        <f aca="false">IF(AZ43=1,$D$19*$D$20/1000,0)</f>
        <v>52.2</v>
      </c>
      <c r="BA75" s="48" t="n">
        <f aca="false">IF(BA43=1,$D$19*$D$20/1000,0)</f>
        <v>52.2</v>
      </c>
      <c r="BB75" s="48" t="n">
        <f aca="false">IF(BB43=1,$D$19*$D$20/1000,0)</f>
        <v>52.2</v>
      </c>
      <c r="BC75" s="48" t="n">
        <f aca="false">IF(BC43=1,$D$19*$D$20/1000,0)</f>
        <v>52.2</v>
      </c>
      <c r="BD75" s="48" t="n">
        <f aca="false">IF(BD43=1,$D$19*$D$20/1000,0)</f>
        <v>52.2</v>
      </c>
      <c r="BE75" s="48" t="n">
        <f aca="false">IF(BE43=1,$D$19*$D$20/1000,0)</f>
        <v>52.2</v>
      </c>
      <c r="BF75" s="48" t="n">
        <f aca="false">IF(BF43=1,$D$19*$D$20/1000,0)</f>
        <v>52.2</v>
      </c>
      <c r="BG75" s="48" t="n">
        <f aca="false">IF(BG43=1,$D$19*$D$20/1000,0)</f>
        <v>52.2</v>
      </c>
      <c r="BH75" s="48" t="n">
        <f aca="false">IF(BH43=1,$D$19*$D$20/1000,0)</f>
        <v>52.2</v>
      </c>
      <c r="BI75" s="48" t="n">
        <f aca="false">IF(BI43=1,$D$19*$D$20/1000,0)</f>
        <v>52.2</v>
      </c>
      <c r="BJ75" s="48" t="n">
        <f aca="false">IF(BJ43=1,$D$19*$D$20/1000,0)</f>
        <v>52.2</v>
      </c>
      <c r="BK75" s="48" t="n">
        <f aca="false">IF(BK43=1,$D$19*$D$20/1000,0)</f>
        <v>52.2</v>
      </c>
      <c r="BL75" s="48" t="n">
        <f aca="false">IF(BL43=1,$D$19*$D$20/1000,0)</f>
        <v>52.2</v>
      </c>
      <c r="BM75" s="48" t="n">
        <f aca="false">IF(BM43=1,$D$19*$D$20/1000,0)</f>
        <v>52.2</v>
      </c>
      <c r="BN75" s="48" t="n">
        <f aca="false">IF(BN43=1,$D$19*$D$20/1000,0)</f>
        <v>52.2</v>
      </c>
      <c r="BO75" s="48" t="n">
        <f aca="false">IF(BO43=1,$D$19*$D$20/1000,0)</f>
        <v>52.2</v>
      </c>
      <c r="BP75" s="48" t="n">
        <f aca="false">IF(BP43=1,$D$19*$D$20/1000,0)</f>
        <v>52.2</v>
      </c>
      <c r="BQ75" s="48" t="n">
        <f aca="false">IF(BQ43=1,$D$19*$D$20/1000,0)</f>
        <v>52.2</v>
      </c>
      <c r="BR75" s="48" t="n">
        <f aca="false">IF(BR43=1,$D$19*$D$20/1000,0)</f>
        <v>52.2</v>
      </c>
      <c r="BS75" s="48" t="n">
        <f aca="false">IF(BS43=1,$D$19*$D$20/1000,0)</f>
        <v>52.2</v>
      </c>
      <c r="BT75" s="48" t="n">
        <f aca="false">IF(BT43=1,$D$19*$D$20/1000,0)</f>
        <v>52.2</v>
      </c>
      <c r="BU75" s="48" t="n">
        <f aca="false">IF(BU43=1,$D$19*$D$20/1000,0)</f>
        <v>52.2</v>
      </c>
      <c r="BV75" s="48" t="n">
        <f aca="false">IF(BV43=1,$D$19*$D$20/1000,0)</f>
        <v>52.2</v>
      </c>
      <c r="BW75" s="48" t="n">
        <f aca="false">IF(BW43=1,$D$19*$D$20/1000,0)</f>
        <v>0</v>
      </c>
      <c r="BX75" s="48" t="n">
        <f aca="false">IF(BX43=1,$D$19*$D$20/1000,0)</f>
        <v>0</v>
      </c>
    </row>
    <row r="76" customFormat="false" ht="15" hidden="false" customHeight="false" outlineLevel="0" collapsed="false">
      <c r="A76" s="1"/>
      <c r="B76" s="8" t="s">
        <v>340</v>
      </c>
      <c r="C76" s="8" t="s">
        <v>126</v>
      </c>
      <c r="D76" s="44" t="n">
        <f aca="false">SUM(G76:BX76)</f>
        <v>3547.8</v>
      </c>
      <c r="E76" s="1"/>
      <c r="F76" s="1"/>
      <c r="G76" s="48" t="n">
        <f aca="false">IF(G43=1,$D$27*$D$7*8760*0.9/1000000,0)</f>
        <v>0</v>
      </c>
      <c r="H76" s="48" t="n">
        <f aca="false">IF(H43=1,$D$27*$D$7*8760*0.9/1000000,0)</f>
        <v>0</v>
      </c>
      <c r="I76" s="48" t="n">
        <f aca="false">IF(I43=1,$D$27*$D$7*8760*0.9/1000000,0)</f>
        <v>0</v>
      </c>
      <c r="J76" s="48" t="n">
        <f aca="false">IF(J43=1,$D$27*$D$7*8760*0.9/1000000,0)</f>
        <v>0</v>
      </c>
      <c r="K76" s="48" t="n">
        <f aca="false">IF(K43=1,$D$27*$D$7*8760*0.9/1000000,0)</f>
        <v>0</v>
      </c>
      <c r="L76" s="48" t="n">
        <f aca="false">IF(L43=1,$D$27*$D$7*8760*0.9/1000000,0)</f>
        <v>0</v>
      </c>
      <c r="M76" s="48" t="n">
        <f aca="false">IF(M43=1,$D$27*$D$7*8760*0.9/1000000,0)</f>
        <v>0</v>
      </c>
      <c r="N76" s="48" t="n">
        <f aca="false">IF(N43=1,$D$27*$D$7*8760*0.9/1000000,0)</f>
        <v>0</v>
      </c>
      <c r="O76" s="48" t="n">
        <f aca="false">IF(O43=1,$D$27*$D$7*8760*0.9/1000000,0)</f>
        <v>59.13</v>
      </c>
      <c r="P76" s="48" t="n">
        <f aca="false">IF(P43=1,$D$27*$D$7*8760*0.9/1000000,0)</f>
        <v>59.13</v>
      </c>
      <c r="Q76" s="48" t="n">
        <f aca="false">IF(Q43=1,$D$27*$D$7*8760*0.9/1000000,0)</f>
        <v>59.13</v>
      </c>
      <c r="R76" s="48" t="n">
        <f aca="false">IF(R43=1,$D$27*$D$7*8760*0.9/1000000,0)</f>
        <v>59.13</v>
      </c>
      <c r="S76" s="48" t="n">
        <f aca="false">IF(S43=1,$D$27*$D$7*8760*0.9/1000000,0)</f>
        <v>59.13</v>
      </c>
      <c r="T76" s="48" t="n">
        <f aca="false">IF(T43=1,$D$27*$D$7*8760*0.9/1000000,0)</f>
        <v>59.13</v>
      </c>
      <c r="U76" s="48" t="n">
        <f aca="false">IF(U43=1,$D$27*$D$7*8760*0.9/1000000,0)</f>
        <v>59.13</v>
      </c>
      <c r="V76" s="48" t="n">
        <f aca="false">IF(V43=1,$D$27*$D$7*8760*0.9/1000000,0)</f>
        <v>59.13</v>
      </c>
      <c r="W76" s="48" t="n">
        <f aca="false">IF(W43=1,$D$27*$D$7*8760*0.9/1000000,0)</f>
        <v>59.13</v>
      </c>
      <c r="X76" s="48" t="n">
        <f aca="false">IF(X43=1,$D$27*$D$7*8760*0.9/1000000,0)</f>
        <v>59.13</v>
      </c>
      <c r="Y76" s="48" t="n">
        <f aca="false">IF(Y43=1,$D$27*$D$7*8760*0.9/1000000,0)</f>
        <v>59.13</v>
      </c>
      <c r="Z76" s="48" t="n">
        <f aca="false">IF(Z43=1,$D$27*$D$7*8760*0.9/1000000,0)</f>
        <v>59.13</v>
      </c>
      <c r="AA76" s="48" t="n">
        <f aca="false">IF(AA43=1,$D$27*$D$7*8760*0.9/1000000,0)</f>
        <v>59.13</v>
      </c>
      <c r="AB76" s="48" t="n">
        <f aca="false">IF(AB43=1,$D$27*$D$7*8760*0.9/1000000,0)</f>
        <v>59.13</v>
      </c>
      <c r="AC76" s="48" t="n">
        <f aca="false">IF(AC43=1,$D$27*$D$7*8760*0.9/1000000,0)</f>
        <v>59.13</v>
      </c>
      <c r="AD76" s="48" t="n">
        <f aca="false">IF(AD43=1,$D$27*$D$7*8760*0.9/1000000,0)</f>
        <v>59.13</v>
      </c>
      <c r="AE76" s="48" t="n">
        <f aca="false">IF(AE43=1,$D$27*$D$7*8760*0.9/1000000,0)</f>
        <v>59.13</v>
      </c>
      <c r="AF76" s="48" t="n">
        <f aca="false">IF(AF43=1,$D$27*$D$7*8760*0.9/1000000,0)</f>
        <v>59.13</v>
      </c>
      <c r="AG76" s="48" t="n">
        <f aca="false">IF(AG43=1,$D$27*$D$7*8760*0.9/1000000,0)</f>
        <v>59.13</v>
      </c>
      <c r="AH76" s="48" t="n">
        <f aca="false">IF(AH43=1,$D$27*$D$7*8760*0.9/1000000,0)</f>
        <v>59.13</v>
      </c>
      <c r="AI76" s="48" t="n">
        <f aca="false">IF(AI43=1,$D$27*$D$7*8760*0.9/1000000,0)</f>
        <v>59.13</v>
      </c>
      <c r="AJ76" s="48" t="n">
        <f aca="false">IF(AJ43=1,$D$27*$D$7*8760*0.9/1000000,0)</f>
        <v>59.13</v>
      </c>
      <c r="AK76" s="48" t="n">
        <f aca="false">IF(AK43=1,$D$27*$D$7*8760*0.9/1000000,0)</f>
        <v>59.13</v>
      </c>
      <c r="AL76" s="48" t="n">
        <f aca="false">IF(AL43=1,$D$27*$D$7*8760*0.9/1000000,0)</f>
        <v>59.13</v>
      </c>
      <c r="AM76" s="48" t="n">
        <f aca="false">IF(AM43=1,$D$27*$D$7*8760*0.9/1000000,0)</f>
        <v>59.13</v>
      </c>
      <c r="AN76" s="48" t="n">
        <f aca="false">IF(AN43=1,$D$27*$D$7*8760*0.9/1000000,0)</f>
        <v>59.13</v>
      </c>
      <c r="AO76" s="48" t="n">
        <f aca="false">IF(AO43=1,$D$27*$D$7*8760*0.9/1000000,0)</f>
        <v>59.13</v>
      </c>
      <c r="AP76" s="48" t="n">
        <f aca="false">IF(AP43=1,$D$27*$D$7*8760*0.9/1000000,0)</f>
        <v>59.13</v>
      </c>
      <c r="AQ76" s="48" t="n">
        <f aca="false">IF(AQ43=1,$D$27*$D$7*8760*0.9/1000000,0)</f>
        <v>59.13</v>
      </c>
      <c r="AR76" s="48" t="n">
        <f aca="false">IF(AR43=1,$D$27*$D$7*8760*0.9/1000000,0)</f>
        <v>59.13</v>
      </c>
      <c r="AS76" s="48" t="n">
        <f aca="false">IF(AS43=1,$D$27*$D$7*8760*0.9/1000000,0)</f>
        <v>59.13</v>
      </c>
      <c r="AT76" s="48" t="n">
        <f aca="false">IF(AT43=1,$D$27*$D$7*8760*0.9/1000000,0)</f>
        <v>59.13</v>
      </c>
      <c r="AU76" s="48" t="n">
        <f aca="false">IF(AU43=1,$D$27*$D$7*8760*0.9/1000000,0)</f>
        <v>59.13</v>
      </c>
      <c r="AV76" s="48" t="n">
        <f aca="false">IF(AV43=1,$D$27*$D$7*8760*0.9/1000000,0)</f>
        <v>59.13</v>
      </c>
      <c r="AW76" s="48" t="n">
        <f aca="false">IF(AW43=1,$D$27*$D$7*8760*0.9/1000000,0)</f>
        <v>59.13</v>
      </c>
      <c r="AX76" s="48" t="n">
        <f aca="false">IF(AX43=1,$D$27*$D$7*8760*0.9/1000000,0)</f>
        <v>59.13</v>
      </c>
      <c r="AY76" s="48" t="n">
        <f aca="false">IF(AY43=1,$D$27*$D$7*8760*0.9/1000000,0)</f>
        <v>59.13</v>
      </c>
      <c r="AZ76" s="48" t="n">
        <f aca="false">IF(AZ43=1,$D$27*$D$7*8760*0.9/1000000,0)</f>
        <v>59.13</v>
      </c>
      <c r="BA76" s="48" t="n">
        <f aca="false">IF(BA43=1,$D$27*$D$7*8760*0.9/1000000,0)</f>
        <v>59.13</v>
      </c>
      <c r="BB76" s="48" t="n">
        <f aca="false">IF(BB43=1,$D$27*$D$7*8760*0.9/1000000,0)</f>
        <v>59.13</v>
      </c>
      <c r="BC76" s="48" t="n">
        <f aca="false">IF(BC43=1,$D$27*$D$7*8760*0.9/1000000,0)</f>
        <v>59.13</v>
      </c>
      <c r="BD76" s="48" t="n">
        <f aca="false">IF(BD43=1,$D$27*$D$7*8760*0.9/1000000,0)</f>
        <v>59.13</v>
      </c>
      <c r="BE76" s="48" t="n">
        <f aca="false">IF(BE43=1,$D$27*$D$7*8760*0.9/1000000,0)</f>
        <v>59.13</v>
      </c>
      <c r="BF76" s="48" t="n">
        <f aca="false">IF(BF43=1,$D$27*$D$7*8760*0.9/1000000,0)</f>
        <v>59.13</v>
      </c>
      <c r="BG76" s="48" t="n">
        <f aca="false">IF(BG43=1,$D$27*$D$7*8760*0.9/1000000,0)</f>
        <v>59.13</v>
      </c>
      <c r="BH76" s="48" t="n">
        <f aca="false">IF(BH43=1,$D$27*$D$7*8760*0.9/1000000,0)</f>
        <v>59.13</v>
      </c>
      <c r="BI76" s="48" t="n">
        <f aca="false">IF(BI43=1,$D$27*$D$7*8760*0.9/1000000,0)</f>
        <v>59.13</v>
      </c>
      <c r="BJ76" s="48" t="n">
        <f aca="false">IF(BJ43=1,$D$27*$D$7*8760*0.9/1000000,0)</f>
        <v>59.13</v>
      </c>
      <c r="BK76" s="48" t="n">
        <f aca="false">IF(BK43=1,$D$27*$D$7*8760*0.9/1000000,0)</f>
        <v>59.13</v>
      </c>
      <c r="BL76" s="48" t="n">
        <f aca="false">IF(BL43=1,$D$27*$D$7*8760*0.9/1000000,0)</f>
        <v>59.13</v>
      </c>
      <c r="BM76" s="48" t="n">
        <f aca="false">IF(BM43=1,$D$27*$D$7*8760*0.9/1000000,0)</f>
        <v>59.13</v>
      </c>
      <c r="BN76" s="48" t="n">
        <f aca="false">IF(BN43=1,$D$27*$D$7*8760*0.9/1000000,0)</f>
        <v>59.13</v>
      </c>
      <c r="BO76" s="48" t="n">
        <f aca="false">IF(BO43=1,$D$27*$D$7*8760*0.9/1000000,0)</f>
        <v>59.13</v>
      </c>
      <c r="BP76" s="48" t="n">
        <f aca="false">IF(BP43=1,$D$27*$D$7*8760*0.9/1000000,0)</f>
        <v>59.13</v>
      </c>
      <c r="BQ76" s="48" t="n">
        <f aca="false">IF(BQ43=1,$D$27*$D$7*8760*0.9/1000000,0)</f>
        <v>59.13</v>
      </c>
      <c r="BR76" s="48" t="n">
        <f aca="false">IF(BR43=1,$D$27*$D$7*8760*0.9/1000000,0)</f>
        <v>59.13</v>
      </c>
      <c r="BS76" s="48" t="n">
        <f aca="false">IF(BS43=1,$D$27*$D$7*8760*0.9/1000000,0)</f>
        <v>59.13</v>
      </c>
      <c r="BT76" s="48" t="n">
        <f aca="false">IF(BT43=1,$D$27*$D$7*8760*0.9/1000000,0)</f>
        <v>59.13</v>
      </c>
      <c r="BU76" s="48" t="n">
        <f aca="false">IF(BU43=1,$D$27*$D$7*8760*0.9/1000000,0)</f>
        <v>59.13</v>
      </c>
      <c r="BV76" s="48" t="n">
        <f aca="false">IF(BV43=1,$D$27*$D$7*8760*0.9/1000000,0)</f>
        <v>59.13</v>
      </c>
      <c r="BW76" s="48" t="n">
        <f aca="false">IF(BW43=1,$D$27*$D$7*8760*0.9/1000000,0)</f>
        <v>0</v>
      </c>
      <c r="BX76" s="48" t="n">
        <f aca="false">IF(BX43=1,$D$27*$D$7*8760*0.9/1000000,0)</f>
        <v>0</v>
      </c>
    </row>
    <row r="77" customFormat="false" ht="15" hidden="false" customHeight="false" outlineLevel="0" collapsed="false">
      <c r="A77" s="1"/>
      <c r="B77" s="8" t="s">
        <v>341</v>
      </c>
      <c r="C77" s="8" t="s">
        <v>126</v>
      </c>
      <c r="D77" s="44" t="n">
        <f aca="false">SUM(G77:BX77)</f>
        <v>0</v>
      </c>
      <c r="E77" s="1"/>
      <c r="F77" s="1"/>
      <c r="G77" s="48" t="n">
        <f aca="false">0</f>
        <v>0</v>
      </c>
      <c r="H77" s="48" t="n">
        <f aca="false">0</f>
        <v>0</v>
      </c>
      <c r="I77" s="48" t="n">
        <f aca="false">0</f>
        <v>0</v>
      </c>
      <c r="J77" s="48" t="n">
        <f aca="false">0</f>
        <v>0</v>
      </c>
      <c r="K77" s="48" t="n">
        <f aca="false">0</f>
        <v>0</v>
      </c>
      <c r="L77" s="48" t="n">
        <f aca="false">0</f>
        <v>0</v>
      </c>
      <c r="M77" s="48" t="n">
        <f aca="false">0</f>
        <v>0</v>
      </c>
      <c r="N77" s="48" t="n">
        <f aca="false">0</f>
        <v>0</v>
      </c>
      <c r="O77" s="48" t="n">
        <f aca="false">0</f>
        <v>0</v>
      </c>
      <c r="P77" s="48" t="n">
        <f aca="false">0</f>
        <v>0</v>
      </c>
      <c r="Q77" s="48" t="n">
        <f aca="false">0</f>
        <v>0</v>
      </c>
      <c r="R77" s="48" t="n">
        <f aca="false">0</f>
        <v>0</v>
      </c>
      <c r="S77" s="48" t="n">
        <f aca="false">0</f>
        <v>0</v>
      </c>
      <c r="T77" s="48" t="n">
        <f aca="false">0</f>
        <v>0</v>
      </c>
      <c r="U77" s="48" t="n">
        <f aca="false">0</f>
        <v>0</v>
      </c>
      <c r="V77" s="48" t="n">
        <f aca="false">0</f>
        <v>0</v>
      </c>
      <c r="W77" s="48" t="n">
        <f aca="false">0</f>
        <v>0</v>
      </c>
      <c r="X77" s="48" t="n">
        <f aca="false">0</f>
        <v>0</v>
      </c>
      <c r="Y77" s="48" t="n">
        <f aca="false">0</f>
        <v>0</v>
      </c>
      <c r="Z77" s="48" t="n">
        <f aca="false">0</f>
        <v>0</v>
      </c>
      <c r="AA77" s="48" t="n">
        <f aca="false">0</f>
        <v>0</v>
      </c>
      <c r="AB77" s="48" t="n">
        <f aca="false">0</f>
        <v>0</v>
      </c>
      <c r="AC77" s="48" t="n">
        <f aca="false">0</f>
        <v>0</v>
      </c>
      <c r="AD77" s="48" t="n">
        <f aca="false">0</f>
        <v>0</v>
      </c>
      <c r="AE77" s="48" t="n">
        <f aca="false">0</f>
        <v>0</v>
      </c>
      <c r="AF77" s="48" t="n">
        <f aca="false">0</f>
        <v>0</v>
      </c>
      <c r="AG77" s="48" t="n">
        <f aca="false">0</f>
        <v>0</v>
      </c>
      <c r="AH77" s="48" t="n">
        <f aca="false">0</f>
        <v>0</v>
      </c>
      <c r="AI77" s="48" t="n">
        <f aca="false">0</f>
        <v>0</v>
      </c>
      <c r="AJ77" s="48" t="n">
        <f aca="false">0</f>
        <v>0</v>
      </c>
      <c r="AK77" s="48" t="n">
        <f aca="false">0</f>
        <v>0</v>
      </c>
      <c r="AL77" s="48" t="n">
        <f aca="false">0</f>
        <v>0</v>
      </c>
      <c r="AM77" s="48" t="n">
        <f aca="false">0</f>
        <v>0</v>
      </c>
      <c r="AN77" s="48" t="n">
        <f aca="false">0</f>
        <v>0</v>
      </c>
      <c r="AO77" s="48" t="n">
        <f aca="false">0</f>
        <v>0</v>
      </c>
      <c r="AP77" s="48" t="n">
        <f aca="false">0</f>
        <v>0</v>
      </c>
      <c r="AQ77" s="48" t="n">
        <f aca="false">0</f>
        <v>0</v>
      </c>
      <c r="AR77" s="48" t="n">
        <f aca="false">0</f>
        <v>0</v>
      </c>
      <c r="AS77" s="48" t="n">
        <f aca="false">0</f>
        <v>0</v>
      </c>
      <c r="AT77" s="48" t="n">
        <f aca="false">0</f>
        <v>0</v>
      </c>
      <c r="AU77" s="48" t="n">
        <f aca="false">0</f>
        <v>0</v>
      </c>
      <c r="AV77" s="48" t="n">
        <f aca="false">0</f>
        <v>0</v>
      </c>
      <c r="AW77" s="48" t="n">
        <f aca="false">0</f>
        <v>0</v>
      </c>
      <c r="AX77" s="48" t="n">
        <f aca="false">0</f>
        <v>0</v>
      </c>
      <c r="AY77" s="48" t="n">
        <f aca="false">0</f>
        <v>0</v>
      </c>
      <c r="AZ77" s="48" t="n">
        <f aca="false">0</f>
        <v>0</v>
      </c>
      <c r="BA77" s="48" t="n">
        <f aca="false">0</f>
        <v>0</v>
      </c>
      <c r="BB77" s="48" t="n">
        <f aca="false">0</f>
        <v>0</v>
      </c>
      <c r="BC77" s="48" t="n">
        <f aca="false">0</f>
        <v>0</v>
      </c>
      <c r="BD77" s="48" t="n">
        <f aca="false">0</f>
        <v>0</v>
      </c>
      <c r="BE77" s="48" t="n">
        <f aca="false">0</f>
        <v>0</v>
      </c>
      <c r="BF77" s="48" t="n">
        <f aca="false">0</f>
        <v>0</v>
      </c>
      <c r="BG77" s="48" t="n">
        <f aca="false">0</f>
        <v>0</v>
      </c>
      <c r="BH77" s="48" t="n">
        <f aca="false">0</f>
        <v>0</v>
      </c>
      <c r="BI77" s="48" t="n">
        <f aca="false">0</f>
        <v>0</v>
      </c>
      <c r="BJ77" s="48" t="n">
        <f aca="false">0</f>
        <v>0</v>
      </c>
      <c r="BK77" s="48" t="n">
        <f aca="false">0</f>
        <v>0</v>
      </c>
      <c r="BL77" s="48" t="n">
        <f aca="false">0</f>
        <v>0</v>
      </c>
      <c r="BM77" s="48" t="n">
        <f aca="false">0</f>
        <v>0</v>
      </c>
      <c r="BN77" s="48" t="n">
        <f aca="false">0</f>
        <v>0</v>
      </c>
      <c r="BO77" s="48" t="n">
        <f aca="false">0</f>
        <v>0</v>
      </c>
      <c r="BP77" s="48" t="n">
        <f aca="false">0</f>
        <v>0</v>
      </c>
      <c r="BQ77" s="48" t="n">
        <f aca="false">0</f>
        <v>0</v>
      </c>
      <c r="BR77" s="48" t="n">
        <f aca="false">0</f>
        <v>0</v>
      </c>
      <c r="BS77" s="48" t="n">
        <f aca="false">0</f>
        <v>0</v>
      </c>
      <c r="BT77" s="48" t="n">
        <f aca="false">0</f>
        <v>0</v>
      </c>
      <c r="BU77" s="48" t="n">
        <f aca="false">0</f>
        <v>0</v>
      </c>
      <c r="BV77" s="48" t="n">
        <f aca="false">0</f>
        <v>0</v>
      </c>
      <c r="BW77" s="48" t="n">
        <f aca="false">0</f>
        <v>0</v>
      </c>
      <c r="BX77" s="48" t="n">
        <f aca="false">0</f>
        <v>0</v>
      </c>
    </row>
    <row r="78" customFormat="false" ht="15" hidden="false" customHeight="false" outlineLevel="0" collapsed="false">
      <c r="A78" s="1"/>
      <c r="B78" s="8" t="s">
        <v>342</v>
      </c>
      <c r="C78" s="8" t="s">
        <v>126</v>
      </c>
      <c r="D78" s="44" t="n">
        <f aca="false">SUM(G78:BX78)</f>
        <v>2736</v>
      </c>
      <c r="E78" s="1"/>
      <c r="F78" s="1"/>
      <c r="G78" s="48" t="n">
        <f aca="false">IF(G43=1,$D$22*$D$21*$D$24,0)</f>
        <v>0</v>
      </c>
      <c r="H78" s="48" t="n">
        <f aca="false">IF(H43=1,$D$22*$D$21*$D$24,0)</f>
        <v>0</v>
      </c>
      <c r="I78" s="48" t="n">
        <f aca="false">IF(I43=1,$D$22*$D$21*$D$24,0)</f>
        <v>0</v>
      </c>
      <c r="J78" s="48" t="n">
        <f aca="false">IF(J43=1,$D$22*$D$21*$D$24,0)</f>
        <v>0</v>
      </c>
      <c r="K78" s="48" t="n">
        <f aca="false">IF(K43=1,$D$22*$D$21*$D$24,0)</f>
        <v>0</v>
      </c>
      <c r="L78" s="48" t="n">
        <f aca="false">IF(L43=1,$D$22*$D$21*$D$24,0)</f>
        <v>0</v>
      </c>
      <c r="M78" s="48" t="n">
        <f aca="false">IF(M43=1,$D$22*$D$21*$D$24,0)</f>
        <v>0</v>
      </c>
      <c r="N78" s="48" t="n">
        <f aca="false">IF(N43=1,$D$22*$D$21*$D$24,0)</f>
        <v>0</v>
      </c>
      <c r="O78" s="48" t="n">
        <f aca="false">IF(O43=1,$D$22*$D$21*$D$24,0)</f>
        <v>45.6</v>
      </c>
      <c r="P78" s="48" t="n">
        <f aca="false">IF(P43=1,$D$22*$D$21*$D$24,0)</f>
        <v>45.6</v>
      </c>
      <c r="Q78" s="48" t="n">
        <f aca="false">IF(Q43=1,$D$22*$D$21*$D$24,0)</f>
        <v>45.6</v>
      </c>
      <c r="R78" s="48" t="n">
        <f aca="false">IF(R43=1,$D$22*$D$21*$D$24,0)</f>
        <v>45.6</v>
      </c>
      <c r="S78" s="48" t="n">
        <f aca="false">IF(S43=1,$D$22*$D$21*$D$24,0)</f>
        <v>45.6</v>
      </c>
      <c r="T78" s="48" t="n">
        <f aca="false">IF(T43=1,$D$22*$D$21*$D$24,0)</f>
        <v>45.6</v>
      </c>
      <c r="U78" s="48" t="n">
        <f aca="false">IF(U43=1,$D$22*$D$21*$D$24,0)</f>
        <v>45.6</v>
      </c>
      <c r="V78" s="48" t="n">
        <f aca="false">IF(V43=1,$D$22*$D$21*$D$24,0)</f>
        <v>45.6</v>
      </c>
      <c r="W78" s="48" t="n">
        <f aca="false">IF(W43=1,$D$22*$D$21*$D$24,0)</f>
        <v>45.6</v>
      </c>
      <c r="X78" s="48" t="n">
        <f aca="false">IF(X43=1,$D$22*$D$21*$D$24,0)</f>
        <v>45.6</v>
      </c>
      <c r="Y78" s="48" t="n">
        <f aca="false">IF(Y43=1,$D$22*$D$21*$D$24,0)</f>
        <v>45.6</v>
      </c>
      <c r="Z78" s="48" t="n">
        <f aca="false">IF(Z43=1,$D$22*$D$21*$D$24,0)</f>
        <v>45.6</v>
      </c>
      <c r="AA78" s="48" t="n">
        <f aca="false">IF(AA43=1,$D$22*$D$21*$D$24,0)</f>
        <v>45.6</v>
      </c>
      <c r="AB78" s="48" t="n">
        <f aca="false">IF(AB43=1,$D$22*$D$21*$D$24,0)</f>
        <v>45.6</v>
      </c>
      <c r="AC78" s="48" t="n">
        <f aca="false">IF(AC43=1,$D$22*$D$21*$D$24,0)</f>
        <v>45.6</v>
      </c>
      <c r="AD78" s="48" t="n">
        <f aca="false">IF(AD43=1,$D$22*$D$21*$D$24,0)</f>
        <v>45.6</v>
      </c>
      <c r="AE78" s="48" t="n">
        <f aca="false">IF(AE43=1,$D$22*$D$21*$D$24,0)</f>
        <v>45.6</v>
      </c>
      <c r="AF78" s="48" t="n">
        <f aca="false">IF(AF43=1,$D$22*$D$21*$D$24,0)</f>
        <v>45.6</v>
      </c>
      <c r="AG78" s="48" t="n">
        <f aca="false">IF(AG43=1,$D$22*$D$21*$D$24,0)</f>
        <v>45.6</v>
      </c>
      <c r="AH78" s="48" t="n">
        <f aca="false">IF(AH43=1,$D$22*$D$21*$D$24,0)</f>
        <v>45.6</v>
      </c>
      <c r="AI78" s="48" t="n">
        <f aca="false">IF(AI43=1,$D$22*$D$21*$D$24,0)</f>
        <v>45.6</v>
      </c>
      <c r="AJ78" s="48" t="n">
        <f aca="false">IF(AJ43=1,$D$22*$D$21*$D$24,0)</f>
        <v>45.6</v>
      </c>
      <c r="AK78" s="48" t="n">
        <f aca="false">IF(AK43=1,$D$22*$D$21*$D$24,0)</f>
        <v>45.6</v>
      </c>
      <c r="AL78" s="48" t="n">
        <f aca="false">IF(AL43=1,$D$22*$D$21*$D$24,0)</f>
        <v>45.6</v>
      </c>
      <c r="AM78" s="48" t="n">
        <f aca="false">IF(AM43=1,$D$22*$D$21*$D$24,0)</f>
        <v>45.6</v>
      </c>
      <c r="AN78" s="48" t="n">
        <f aca="false">IF(AN43=1,$D$22*$D$21*$D$24,0)</f>
        <v>45.6</v>
      </c>
      <c r="AO78" s="48" t="n">
        <f aca="false">IF(AO43=1,$D$22*$D$21*$D$24,0)</f>
        <v>45.6</v>
      </c>
      <c r="AP78" s="48" t="n">
        <f aca="false">IF(AP43=1,$D$22*$D$21*$D$24,0)</f>
        <v>45.6</v>
      </c>
      <c r="AQ78" s="48" t="n">
        <f aca="false">IF(AQ43=1,$D$22*$D$21*$D$24,0)</f>
        <v>45.6</v>
      </c>
      <c r="AR78" s="48" t="n">
        <f aca="false">IF(AR43=1,$D$22*$D$21*$D$24,0)</f>
        <v>45.6</v>
      </c>
      <c r="AS78" s="48" t="n">
        <f aca="false">IF(AS43=1,$D$22*$D$21*$D$24,0)</f>
        <v>45.6</v>
      </c>
      <c r="AT78" s="48" t="n">
        <f aca="false">IF(AT43=1,$D$22*$D$21*$D$24,0)</f>
        <v>45.6</v>
      </c>
      <c r="AU78" s="48" t="n">
        <f aca="false">IF(AU43=1,$D$22*$D$21*$D$24,0)</f>
        <v>45.6</v>
      </c>
      <c r="AV78" s="48" t="n">
        <f aca="false">IF(AV43=1,$D$22*$D$21*$D$24,0)</f>
        <v>45.6</v>
      </c>
      <c r="AW78" s="48" t="n">
        <f aca="false">IF(AW43=1,$D$22*$D$21*$D$24,0)</f>
        <v>45.6</v>
      </c>
      <c r="AX78" s="48" t="n">
        <f aca="false">IF(AX43=1,$D$22*$D$21*$D$24,0)</f>
        <v>45.6</v>
      </c>
      <c r="AY78" s="48" t="n">
        <f aca="false">IF(AY43=1,$D$22*$D$21*$D$24,0)</f>
        <v>45.6</v>
      </c>
      <c r="AZ78" s="48" t="n">
        <f aca="false">IF(AZ43=1,$D$22*$D$21*$D$24,0)</f>
        <v>45.6</v>
      </c>
      <c r="BA78" s="48" t="n">
        <f aca="false">IF(BA43=1,$D$22*$D$21*$D$24,0)</f>
        <v>45.6</v>
      </c>
      <c r="BB78" s="48" t="n">
        <f aca="false">IF(BB43=1,$D$22*$D$21*$D$24,0)</f>
        <v>45.6</v>
      </c>
      <c r="BC78" s="48" t="n">
        <f aca="false">IF(BC43=1,$D$22*$D$21*$D$24,0)</f>
        <v>45.6</v>
      </c>
      <c r="BD78" s="48" t="n">
        <f aca="false">IF(BD43=1,$D$22*$D$21*$D$24,0)</f>
        <v>45.6</v>
      </c>
      <c r="BE78" s="48" t="n">
        <f aca="false">IF(BE43=1,$D$22*$D$21*$D$24,0)</f>
        <v>45.6</v>
      </c>
      <c r="BF78" s="48" t="n">
        <f aca="false">IF(BF43=1,$D$22*$D$21*$D$24,0)</f>
        <v>45.6</v>
      </c>
      <c r="BG78" s="48" t="n">
        <f aca="false">IF(BG43=1,$D$22*$D$21*$D$24,0)</f>
        <v>45.6</v>
      </c>
      <c r="BH78" s="48" t="n">
        <f aca="false">IF(BH43=1,$D$22*$D$21*$D$24,0)</f>
        <v>45.6</v>
      </c>
      <c r="BI78" s="48" t="n">
        <f aca="false">IF(BI43=1,$D$22*$D$21*$D$24,0)</f>
        <v>45.6</v>
      </c>
      <c r="BJ78" s="48" t="n">
        <f aca="false">IF(BJ43=1,$D$22*$D$21*$D$24,0)</f>
        <v>45.6</v>
      </c>
      <c r="BK78" s="48" t="n">
        <f aca="false">IF(BK43=1,$D$22*$D$21*$D$24,0)</f>
        <v>45.6</v>
      </c>
      <c r="BL78" s="48" t="n">
        <f aca="false">IF(BL43=1,$D$22*$D$21*$D$24,0)</f>
        <v>45.6</v>
      </c>
      <c r="BM78" s="48" t="n">
        <f aca="false">IF(BM43=1,$D$22*$D$21*$D$24,0)</f>
        <v>45.6</v>
      </c>
      <c r="BN78" s="48" t="n">
        <f aca="false">IF(BN43=1,$D$22*$D$21*$D$24,0)</f>
        <v>45.6</v>
      </c>
      <c r="BO78" s="48" t="n">
        <f aca="false">IF(BO43=1,$D$22*$D$21*$D$24,0)</f>
        <v>45.6</v>
      </c>
      <c r="BP78" s="48" t="n">
        <f aca="false">IF(BP43=1,$D$22*$D$21*$D$24,0)</f>
        <v>45.6</v>
      </c>
      <c r="BQ78" s="48" t="n">
        <f aca="false">IF(BQ43=1,$D$22*$D$21*$D$24,0)</f>
        <v>45.6</v>
      </c>
      <c r="BR78" s="48" t="n">
        <f aca="false">IF(BR43=1,$D$22*$D$21*$D$24,0)</f>
        <v>45.6</v>
      </c>
      <c r="BS78" s="48" t="n">
        <f aca="false">IF(BS43=1,$D$22*$D$21*$D$24,0)</f>
        <v>45.6</v>
      </c>
      <c r="BT78" s="48" t="n">
        <f aca="false">IF(BT43=1,$D$22*$D$21*$D$24,0)</f>
        <v>45.6</v>
      </c>
      <c r="BU78" s="48" t="n">
        <f aca="false">IF(BU43=1,$D$22*$D$21*$D$24,0)</f>
        <v>45.6</v>
      </c>
      <c r="BV78" s="48" t="n">
        <f aca="false">IF(BV43=1,$D$22*$D$21*$D$24,0)</f>
        <v>45.6</v>
      </c>
      <c r="BW78" s="48" t="n">
        <f aca="false">IF(BW43=1,$D$22*$D$21*$D$24,0)</f>
        <v>0</v>
      </c>
      <c r="BX78" s="48" t="n">
        <f aca="false">IF(BX43=1,$D$22*$D$21*$D$24,0)</f>
        <v>0</v>
      </c>
    </row>
    <row r="79" customFormat="false" ht="15" hidden="false" customHeight="false" outlineLevel="0" collapsed="false">
      <c r="A79" s="1"/>
      <c r="B79" s="8" t="s">
        <v>343</v>
      </c>
      <c r="C79" s="8" t="s">
        <v>126</v>
      </c>
      <c r="D79" s="44" t="n">
        <f aca="false">SUM(G79:BX79)</f>
        <v>357.130755594</v>
      </c>
      <c r="E79" s="1"/>
      <c r="F79" s="1"/>
      <c r="G79" s="48" t="n">
        <f aca="false">IF(G43=1,$D$18*MAX(G66,0),0)</f>
        <v>0</v>
      </c>
      <c r="H79" s="48" t="n">
        <f aca="false">IF(H43=1,$D$18*MAX(H66,0),0)</f>
        <v>0</v>
      </c>
      <c r="I79" s="48" t="n">
        <f aca="false">IF(I43=1,$D$18*MAX(I66,0),0)</f>
        <v>0</v>
      </c>
      <c r="J79" s="48" t="n">
        <f aca="false">IF(J43=1,$D$18*MAX(J66,0),0)</f>
        <v>0</v>
      </c>
      <c r="K79" s="48" t="n">
        <f aca="false">IF(K43=1,$D$18*MAX(K66,0),0)</f>
        <v>0</v>
      </c>
      <c r="L79" s="48" t="n">
        <f aca="false">IF(L43=1,$D$18*MAX(L66,0),0)</f>
        <v>0</v>
      </c>
      <c r="M79" s="48" t="n">
        <f aca="false">IF(M43=1,$D$18*MAX(M66,0),0)</f>
        <v>0</v>
      </c>
      <c r="N79" s="48" t="n">
        <f aca="false">IF(N43=1,$D$18*MAX(N66,0),0)</f>
        <v>0</v>
      </c>
      <c r="O79" s="48" t="n">
        <f aca="false">IF(O43=1,$D$18*MAX(O66,0),0)</f>
        <v>5.970639924</v>
      </c>
      <c r="P79" s="48" t="n">
        <f aca="false">IF(P43=1,$D$18*MAX(P66,0),0)</f>
        <v>5.72527116</v>
      </c>
      <c r="Q79" s="48" t="n">
        <f aca="false">IF(Q43=1,$D$18*MAX(Q66,0),0)</f>
        <v>5.72527116</v>
      </c>
      <c r="R79" s="48" t="n">
        <f aca="false">IF(R43=1,$D$18*MAX(R66,0),0)</f>
        <v>6.161192262</v>
      </c>
      <c r="S79" s="48" t="n">
        <f aca="false">IF(S43=1,$D$18*MAX(S66,0),0)</f>
        <v>5.90799258</v>
      </c>
      <c r="T79" s="48" t="n">
        <f aca="false">IF(T43=1,$D$18*MAX(T66,0),0)</f>
        <v>5.90799258</v>
      </c>
      <c r="U79" s="48" t="n">
        <f aca="false">IF(U43=1,$D$18*MAX(U66,0),0)</f>
        <v>6.161192262</v>
      </c>
      <c r="V79" s="48" t="n">
        <f aca="false">IF(V43=1,$D$18*MAX(V66,0),0)</f>
        <v>5.90799258</v>
      </c>
      <c r="W79" s="48" t="n">
        <f aca="false">IF(W43=1,$D$18*MAX(W66,0),0)</f>
        <v>5.90799258</v>
      </c>
      <c r="X79" s="48" t="n">
        <f aca="false">IF(X43=1,$D$18*MAX(X66,0),0)</f>
        <v>5.739192792</v>
      </c>
      <c r="Y79" s="48" t="n">
        <f aca="false">IF(Y43=1,$D$18*MAX(Y66,0),0)</f>
        <v>5.90799258</v>
      </c>
      <c r="Z79" s="48" t="n">
        <f aca="false">IF(Z43=1,$D$18*MAX(Z66,0),0)</f>
        <v>5.90799258</v>
      </c>
      <c r="AA79" s="48" t="n">
        <f aca="false">IF(AA43=1,$D$18*MAX(AA66,0),0)</f>
        <v>6.161192262</v>
      </c>
      <c r="AB79" s="48" t="n">
        <f aca="false">IF(AB43=1,$D$18*MAX(AB66,0),0)</f>
        <v>5.90799258</v>
      </c>
      <c r="AC79" s="48" t="n">
        <f aca="false">IF(AC43=1,$D$18*MAX(AC66,0),0)</f>
        <v>5.90799258</v>
      </c>
      <c r="AD79" s="48" t="n">
        <f aca="false">IF(AD43=1,$D$18*MAX(AD66,0),0)</f>
        <v>6.161192262</v>
      </c>
      <c r="AE79" s="48" t="n">
        <f aca="false">IF(AE43=1,$D$18*MAX(AE66,0),0)</f>
        <v>5.90799258</v>
      </c>
      <c r="AF79" s="48" t="n">
        <f aca="false">IF(AF43=1,$D$18*MAX(AF66,0),0)</f>
        <v>5.90799258</v>
      </c>
      <c r="AG79" s="48" t="n">
        <f aca="false">IF(AG43=1,$D$18*MAX(AG66,0),0)</f>
        <v>6.161192262</v>
      </c>
      <c r="AH79" s="48" t="n">
        <f aca="false">IF(AH43=1,$D$18*MAX(AH66,0),0)</f>
        <v>5.654792898</v>
      </c>
      <c r="AI79" s="48" t="n">
        <f aca="false">IF(AI43=1,$D$18*MAX(AI66,0),0)</f>
        <v>5.90799258</v>
      </c>
      <c r="AJ79" s="48" t="n">
        <f aca="false">IF(AJ43=1,$D$18*MAX(AJ66,0),0)</f>
        <v>6.161192262</v>
      </c>
      <c r="AK79" s="48" t="n">
        <f aca="false">IF(AK43=1,$D$18*MAX(AK66,0),0)</f>
        <v>5.90799258</v>
      </c>
      <c r="AL79" s="48" t="n">
        <f aca="false">IF(AL43=1,$D$18*MAX(AL66,0),0)</f>
        <v>5.90799258</v>
      </c>
      <c r="AM79" s="48" t="n">
        <f aca="false">IF(AM43=1,$D$18*MAX(AM66,0),0)</f>
        <v>6.161192262</v>
      </c>
      <c r="AN79" s="48" t="n">
        <f aca="false">IF(AN43=1,$D$18*MAX(AN66,0),0)</f>
        <v>5.90799258</v>
      </c>
      <c r="AO79" s="48" t="n">
        <f aca="false">IF(AO43=1,$D$18*MAX(AO66,0),0)</f>
        <v>5.90799258</v>
      </c>
      <c r="AP79" s="48" t="n">
        <f aca="false">IF(AP43=1,$D$18*MAX(AP66,0),0)</f>
        <v>6.161192262</v>
      </c>
      <c r="AQ79" s="48" t="n">
        <f aca="false">IF(AQ43=1,$D$18*MAX(AQ66,0),0)</f>
        <v>5.90799258</v>
      </c>
      <c r="AR79" s="48" t="n">
        <f aca="false">IF(AR43=1,$D$18*MAX(AR66,0),0)</f>
        <v>5.654792898</v>
      </c>
      <c r="AS79" s="48" t="n">
        <f aca="false">IF(AS43=1,$D$18*MAX(AS66,0),0)</f>
        <v>6.161192262</v>
      </c>
      <c r="AT79" s="48" t="n">
        <f aca="false">IF(AT43=1,$D$18*MAX(AT66,0),0)</f>
        <v>5.90799258</v>
      </c>
      <c r="AU79" s="48" t="n">
        <f aca="false">IF(AU43=1,$D$18*MAX(AU66,0),0)</f>
        <v>5.90799258</v>
      </c>
      <c r="AV79" s="48" t="n">
        <f aca="false">IF(AV43=1,$D$18*MAX(AV66,0),0)</f>
        <v>6.161192262</v>
      </c>
      <c r="AW79" s="48" t="n">
        <f aca="false">IF(AW43=1,$D$18*MAX(AW66,0),0)</f>
        <v>5.90799258</v>
      </c>
      <c r="AX79" s="48" t="n">
        <f aca="false">IF(AX43=1,$D$18*MAX(AX66,0),0)</f>
        <v>5.90799258</v>
      </c>
      <c r="AY79" s="48" t="n">
        <f aca="false">IF(AY43=1,$D$18*MAX(AY66,0),0)</f>
        <v>6.161192262</v>
      </c>
      <c r="AZ79" s="48" t="n">
        <f aca="false">IF(AZ43=1,$D$18*MAX(AZ66,0),0)</f>
        <v>5.90799258</v>
      </c>
      <c r="BA79" s="48" t="n">
        <f aca="false">IF(BA43=1,$D$18*MAX(BA66,0),0)</f>
        <v>5.90799258</v>
      </c>
      <c r="BB79" s="48" t="n">
        <f aca="false">IF(BB43=1,$D$18*MAX(BB66,0),0)</f>
        <v>5.739192792</v>
      </c>
      <c r="BC79" s="48" t="n">
        <f aca="false">IF(BC43=1,$D$18*MAX(BC66,0),0)</f>
        <v>5.90799258</v>
      </c>
      <c r="BD79" s="48" t="n">
        <f aca="false">IF(BD43=1,$D$18*MAX(BD66,0),0)</f>
        <v>5.90799258</v>
      </c>
      <c r="BE79" s="48" t="n">
        <f aca="false">IF(BE43=1,$D$18*MAX(BE66,0),0)</f>
        <v>6.161192262</v>
      </c>
      <c r="BF79" s="48" t="n">
        <f aca="false">IF(BF43=1,$D$18*MAX(BF66,0),0)</f>
        <v>5.90799258</v>
      </c>
      <c r="BG79" s="48" t="n">
        <f aca="false">IF(BG43=1,$D$18*MAX(BG66,0),0)</f>
        <v>5.90799258</v>
      </c>
      <c r="BH79" s="48" t="n">
        <f aca="false">IF(BH43=1,$D$18*MAX(BH66,0),0)</f>
        <v>6.161192262</v>
      </c>
      <c r="BI79" s="48" t="n">
        <f aca="false">IF(BI43=1,$D$18*MAX(BI66,0),0)</f>
        <v>5.90799258</v>
      </c>
      <c r="BJ79" s="48" t="n">
        <f aca="false">IF(BJ43=1,$D$18*MAX(BJ66,0),0)</f>
        <v>5.90799258</v>
      </c>
      <c r="BK79" s="48" t="n">
        <f aca="false">IF(BK43=1,$D$18*MAX(BK66,0),0)</f>
        <v>6.161192262</v>
      </c>
      <c r="BL79" s="48" t="n">
        <f aca="false">IF(BL43=1,$D$18*MAX(BL66,0),0)</f>
        <v>5.654792898</v>
      </c>
      <c r="BM79" s="48" t="n">
        <f aca="false">IF(BM43=1,$D$18*MAX(BM66,0),0)</f>
        <v>5.90799258</v>
      </c>
      <c r="BN79" s="48" t="n">
        <f aca="false">IF(BN43=1,$D$18*MAX(BN66,0),0)</f>
        <v>6.161192262</v>
      </c>
      <c r="BO79" s="48" t="n">
        <f aca="false">IF(BO43=1,$D$18*MAX(BO66,0),0)</f>
        <v>5.90799258</v>
      </c>
      <c r="BP79" s="48" t="n">
        <f aca="false">IF(BP43=1,$D$18*MAX(BP66,0),0)</f>
        <v>5.90799258</v>
      </c>
      <c r="BQ79" s="48" t="n">
        <f aca="false">IF(BQ43=1,$D$18*MAX(BQ66,0),0)</f>
        <v>6.161192262</v>
      </c>
      <c r="BR79" s="48" t="n">
        <f aca="false">IF(BR43=1,$D$18*MAX(BR66,0),0)</f>
        <v>5.90799258</v>
      </c>
      <c r="BS79" s="48" t="n">
        <f aca="false">IF(BS43=1,$D$18*MAX(BS66,0),0)</f>
        <v>5.90799258</v>
      </c>
      <c r="BT79" s="48" t="n">
        <f aca="false">IF(BT43=1,$D$18*MAX(BT66,0),0)</f>
        <v>6.161192262</v>
      </c>
      <c r="BU79" s="48" t="n">
        <f aca="false">IF(BU43=1,$D$18*MAX(BU66,0),0)</f>
        <v>5.90799258</v>
      </c>
      <c r="BV79" s="48" t="n">
        <f aca="false">IF(BV43=1,$D$18*MAX(BV66,0),0)</f>
        <v>5.654792898</v>
      </c>
      <c r="BW79" s="48" t="n">
        <f aca="false">IF(BW43=1,$D$18*MAX(BW66,0),0)</f>
        <v>0</v>
      </c>
      <c r="BX79" s="48" t="n">
        <f aca="false">IF(BX43=1,$D$18*MAX(BX66,0),0)</f>
        <v>0</v>
      </c>
    </row>
    <row r="80" customFormat="false" ht="15" hidden="false" customHeight="false" outlineLevel="0" collapsed="false">
      <c r="A80" s="1"/>
      <c r="B80" s="4" t="s">
        <v>344</v>
      </c>
      <c r="C80" s="8" t="s">
        <v>126</v>
      </c>
      <c r="D80" s="44" t="n">
        <f aca="false">SUM(G80:BX80)</f>
        <v>26282.673315594</v>
      </c>
      <c r="E80" s="1"/>
      <c r="F80" s="1"/>
      <c r="G80" s="44" t="n">
        <f aca="false">G69+G70+G71+G72+G73+G74+G76+G77+G78+G79</f>
        <v>0</v>
      </c>
      <c r="H80" s="44" t="n">
        <f aca="false">H69+H70+H71+H72+H73+H74+H76+H77+H78+H79</f>
        <v>0</v>
      </c>
      <c r="I80" s="44" t="n">
        <f aca="false">I69+I70+I71+I72+I73+I74+I76+I77+I78+I79</f>
        <v>0</v>
      </c>
      <c r="J80" s="44" t="n">
        <f aca="false">J69+J70+J71+J72+J73+J74+J76+J77+J78+J79</f>
        <v>0</v>
      </c>
      <c r="K80" s="44" t="n">
        <f aca="false">K69+K70+K71+K72+K73+K74+K76+K77+K78+K79</f>
        <v>0</v>
      </c>
      <c r="L80" s="44" t="n">
        <f aca="false">L69+L70+L71+L72+L73+L74+L76+L77+L78+L79</f>
        <v>0</v>
      </c>
      <c r="M80" s="44" t="n">
        <f aca="false">M69+M70+M71+M72+M73+M74+M76+M77+M78+M79</f>
        <v>0</v>
      </c>
      <c r="N80" s="44" t="n">
        <f aca="false">N69+N70+N71+N72+N73+N74+N76+N77+N78+N79</f>
        <v>0</v>
      </c>
      <c r="O80" s="44" t="n">
        <f aca="false">O69+O70+O71+O72+O73+O74+O76+O77+O78+O79</f>
        <v>512.682399924</v>
      </c>
      <c r="P80" s="44" t="n">
        <f aca="false">P69+P70+P71+P72+P73+P74+P76+P77+P78+P79</f>
        <v>505.53367116</v>
      </c>
      <c r="Q80" s="44" t="n">
        <f aca="false">Q69+Q70+Q71+Q72+Q73+Q74+Q76+Q77+Q78+Q79</f>
        <v>505.53367116</v>
      </c>
      <c r="R80" s="44" t="n">
        <f aca="false">R69+R70+R71+R72+R73+R74+R76+R77+R78+R79</f>
        <v>440.234072262</v>
      </c>
      <c r="S80" s="44" t="n">
        <f aca="false">S69+S70+S71+S72+S73+S74+S76+S77+S78+S79</f>
        <v>432.85719258</v>
      </c>
      <c r="T80" s="44" t="n">
        <f aca="false">T69+T70+T71+T72+T73+T74+T76+T77+T78+T79</f>
        <v>432.85719258</v>
      </c>
      <c r="U80" s="44" t="n">
        <f aca="false">U69+U70+U71+U72+U73+U74+U76+U77+U78+U79</f>
        <v>440.234072262</v>
      </c>
      <c r="V80" s="44" t="n">
        <f aca="false">V69+V70+V71+V72+V73+V74+V76+V77+V78+V79</f>
        <v>432.85719258</v>
      </c>
      <c r="W80" s="44" t="n">
        <f aca="false">W69+W70+W71+W72+W73+W74+W76+W77+W78+W79</f>
        <v>432.85719258</v>
      </c>
      <c r="X80" s="44" t="n">
        <f aca="false">X69+X70+X71+X72+X73+X74+X76+X77+X78+X79</f>
        <v>427.939272792</v>
      </c>
      <c r="Y80" s="44" t="n">
        <f aca="false">Y69+Y70+Y71+Y72+Y73+Y74+Y76+Y77+Y78+Y79</f>
        <v>432.85719258</v>
      </c>
      <c r="Z80" s="44" t="n">
        <f aca="false">Z69+Z70+Z71+Z72+Z73+Z74+Z76+Z77+Z78+Z79</f>
        <v>432.85719258</v>
      </c>
      <c r="AA80" s="44" t="n">
        <f aca="false">AA69+AA70+AA71+AA72+AA73+AA74+AA76+AA77+AA78+AA79</f>
        <v>440.234072262</v>
      </c>
      <c r="AB80" s="44" t="n">
        <f aca="false">AB69+AB70+AB71+AB72+AB73+AB74+AB76+AB77+AB78+AB79</f>
        <v>432.85719258</v>
      </c>
      <c r="AC80" s="44" t="n">
        <f aca="false">AC69+AC70+AC71+AC72+AC73+AC74+AC76+AC77+AC78+AC79</f>
        <v>432.85719258</v>
      </c>
      <c r="AD80" s="44" t="n">
        <f aca="false">AD69+AD70+AD71+AD72+AD73+AD74+AD76+AD77+AD78+AD79</f>
        <v>440.234072262</v>
      </c>
      <c r="AE80" s="44" t="n">
        <f aca="false">AE69+AE70+AE71+AE72+AE73+AE74+AE76+AE77+AE78+AE79</f>
        <v>432.85719258</v>
      </c>
      <c r="AF80" s="44" t="n">
        <f aca="false">AF69+AF70+AF71+AF72+AF73+AF74+AF76+AF77+AF78+AF79</f>
        <v>432.85719258</v>
      </c>
      <c r="AG80" s="44" t="n">
        <f aca="false">AG69+AG70+AG71+AG72+AG73+AG74+AG76+AG77+AG78+AG79</f>
        <v>440.234072262</v>
      </c>
      <c r="AH80" s="44" t="n">
        <f aca="false">AH69+AH70+AH71+AH72+AH73+AH74+AH76+AH77+AH78+AH79</f>
        <v>425.480312898</v>
      </c>
      <c r="AI80" s="44" t="n">
        <f aca="false">AI69+AI70+AI71+AI72+AI73+AI74+AI76+AI77+AI78+AI79</f>
        <v>432.85719258</v>
      </c>
      <c r="AJ80" s="44" t="n">
        <f aca="false">AJ69+AJ70+AJ71+AJ72+AJ73+AJ74+AJ76+AJ77+AJ78+AJ79</f>
        <v>440.234072262</v>
      </c>
      <c r="AK80" s="44" t="n">
        <f aca="false">AK69+AK70+AK71+AK72+AK73+AK74+AK76+AK77+AK78+AK79</f>
        <v>432.85719258</v>
      </c>
      <c r="AL80" s="44" t="n">
        <f aca="false">AL69+AL70+AL71+AL72+AL73+AL74+AL76+AL77+AL78+AL79</f>
        <v>432.85719258</v>
      </c>
      <c r="AM80" s="44" t="n">
        <f aca="false">AM69+AM70+AM71+AM72+AM73+AM74+AM76+AM77+AM78+AM79</f>
        <v>440.234072262</v>
      </c>
      <c r="AN80" s="44" t="n">
        <f aca="false">AN69+AN70+AN71+AN72+AN73+AN74+AN76+AN77+AN78+AN79</f>
        <v>432.85719258</v>
      </c>
      <c r="AO80" s="44" t="n">
        <f aca="false">AO69+AO70+AO71+AO72+AO73+AO74+AO76+AO77+AO78+AO79</f>
        <v>432.85719258</v>
      </c>
      <c r="AP80" s="44" t="n">
        <f aca="false">AP69+AP70+AP71+AP72+AP73+AP74+AP76+AP77+AP78+AP79</f>
        <v>440.234072262</v>
      </c>
      <c r="AQ80" s="44" t="n">
        <f aca="false">AQ69+AQ70+AQ71+AQ72+AQ73+AQ74+AQ76+AQ77+AQ78+AQ79</f>
        <v>432.85719258</v>
      </c>
      <c r="AR80" s="44" t="n">
        <f aca="false">AR69+AR70+AR71+AR72+AR73+AR74+AR76+AR77+AR78+AR79</f>
        <v>425.480312898</v>
      </c>
      <c r="AS80" s="44" t="n">
        <f aca="false">AS69+AS70+AS71+AS72+AS73+AS74+AS76+AS77+AS78+AS79</f>
        <v>440.234072262</v>
      </c>
      <c r="AT80" s="44" t="n">
        <f aca="false">AT69+AT70+AT71+AT72+AT73+AT74+AT76+AT77+AT78+AT79</f>
        <v>432.85719258</v>
      </c>
      <c r="AU80" s="44" t="n">
        <f aca="false">AU69+AU70+AU71+AU72+AU73+AU74+AU76+AU77+AU78+AU79</f>
        <v>432.85719258</v>
      </c>
      <c r="AV80" s="44" t="n">
        <f aca="false">AV69+AV70+AV71+AV72+AV73+AV74+AV76+AV77+AV78+AV79</f>
        <v>440.234072262</v>
      </c>
      <c r="AW80" s="44" t="n">
        <f aca="false">AW69+AW70+AW71+AW72+AW73+AW74+AW76+AW77+AW78+AW79</f>
        <v>432.85719258</v>
      </c>
      <c r="AX80" s="44" t="n">
        <f aca="false">AX69+AX70+AX71+AX72+AX73+AX74+AX76+AX77+AX78+AX79</f>
        <v>432.85719258</v>
      </c>
      <c r="AY80" s="44" t="n">
        <f aca="false">AY69+AY70+AY71+AY72+AY73+AY74+AY76+AY77+AY78+AY79</f>
        <v>440.234072262</v>
      </c>
      <c r="AZ80" s="44" t="n">
        <f aca="false">AZ69+AZ70+AZ71+AZ72+AZ73+AZ74+AZ76+AZ77+AZ78+AZ79</f>
        <v>432.85719258</v>
      </c>
      <c r="BA80" s="44" t="n">
        <f aca="false">BA69+BA70+BA71+BA72+BA73+BA74+BA76+BA77+BA78+BA79</f>
        <v>432.85719258</v>
      </c>
      <c r="BB80" s="44" t="n">
        <f aca="false">BB69+BB70+BB71+BB72+BB73+BB74+BB76+BB77+BB78+BB79</f>
        <v>427.939272792</v>
      </c>
      <c r="BC80" s="44" t="n">
        <f aca="false">BC69+BC70+BC71+BC72+BC73+BC74+BC76+BC77+BC78+BC79</f>
        <v>432.85719258</v>
      </c>
      <c r="BD80" s="44" t="n">
        <f aca="false">BD69+BD70+BD71+BD72+BD73+BD74+BD76+BD77+BD78+BD79</f>
        <v>432.85719258</v>
      </c>
      <c r="BE80" s="44" t="n">
        <f aca="false">BE69+BE70+BE71+BE72+BE73+BE74+BE76+BE77+BE78+BE79</f>
        <v>440.234072262</v>
      </c>
      <c r="BF80" s="44" t="n">
        <f aca="false">BF69+BF70+BF71+BF72+BF73+BF74+BF76+BF77+BF78+BF79</f>
        <v>432.85719258</v>
      </c>
      <c r="BG80" s="44" t="n">
        <f aca="false">BG69+BG70+BG71+BG72+BG73+BG74+BG76+BG77+BG78+BG79</f>
        <v>432.85719258</v>
      </c>
      <c r="BH80" s="44" t="n">
        <f aca="false">BH69+BH70+BH71+BH72+BH73+BH74+BH76+BH77+BH78+BH79</f>
        <v>440.234072262</v>
      </c>
      <c r="BI80" s="44" t="n">
        <f aca="false">BI69+BI70+BI71+BI72+BI73+BI74+BI76+BI77+BI78+BI79</f>
        <v>432.85719258</v>
      </c>
      <c r="BJ80" s="44" t="n">
        <f aca="false">BJ69+BJ70+BJ71+BJ72+BJ73+BJ74+BJ76+BJ77+BJ78+BJ79</f>
        <v>432.85719258</v>
      </c>
      <c r="BK80" s="44" t="n">
        <f aca="false">BK69+BK70+BK71+BK72+BK73+BK74+BK76+BK77+BK78+BK79</f>
        <v>440.234072262</v>
      </c>
      <c r="BL80" s="44" t="n">
        <f aca="false">BL69+BL70+BL71+BL72+BL73+BL74+BL76+BL77+BL78+BL79</f>
        <v>425.480312898</v>
      </c>
      <c r="BM80" s="44" t="n">
        <f aca="false">BM69+BM70+BM71+BM72+BM73+BM74+BM76+BM77+BM78+BM79</f>
        <v>432.85719258</v>
      </c>
      <c r="BN80" s="44" t="n">
        <f aca="false">BN69+BN70+BN71+BN72+BN73+BN74+BN76+BN77+BN78+BN79</f>
        <v>440.234072262</v>
      </c>
      <c r="BO80" s="44" t="n">
        <f aca="false">BO69+BO70+BO71+BO72+BO73+BO74+BO76+BO77+BO78+BO79</f>
        <v>432.85719258</v>
      </c>
      <c r="BP80" s="44" t="n">
        <f aca="false">BP69+BP70+BP71+BP72+BP73+BP74+BP76+BP77+BP78+BP79</f>
        <v>432.85719258</v>
      </c>
      <c r="BQ80" s="44" t="n">
        <f aca="false">BQ69+BQ70+BQ71+BQ72+BQ73+BQ74+BQ76+BQ77+BQ78+BQ79</f>
        <v>440.234072262</v>
      </c>
      <c r="BR80" s="44" t="n">
        <f aca="false">BR69+BR70+BR71+BR72+BR73+BR74+BR76+BR77+BR78+BR79</f>
        <v>432.85719258</v>
      </c>
      <c r="BS80" s="44" t="n">
        <f aca="false">BS69+BS70+BS71+BS72+BS73+BS74+BS76+BS77+BS78+BS79</f>
        <v>432.85719258</v>
      </c>
      <c r="BT80" s="44" t="n">
        <f aca="false">BT69+BT70+BT71+BT72+BT73+BT74+BT76+BT77+BT78+BT79</f>
        <v>440.234072262</v>
      </c>
      <c r="BU80" s="44" t="n">
        <f aca="false">BU69+BU70+BU71+BU72+BU73+BU74+BU76+BU77+BU78+BU79</f>
        <v>432.85719258</v>
      </c>
      <c r="BV80" s="44" t="n">
        <f aca="false">BV69+BV70+BV71+BV72+BV73+BV74+BV76+BV77+BV78+BV79</f>
        <v>425.480312898</v>
      </c>
      <c r="BW80" s="44" t="n">
        <f aca="false">BW69+BW70+BW71+BW72+BW73+BW74+BW76+BW77+BW78+BW79</f>
        <v>0</v>
      </c>
      <c r="BX80" s="44" t="n">
        <f aca="false">BX69+BX70+BX71+BX72+BX73+BX74+BX76+BX77+BX78+BX79</f>
        <v>0</v>
      </c>
    </row>
    <row r="81" customFormat="false" ht="15" hidden="false" customHeight="false" outlineLevel="0" collapsed="false">
      <c r="A81" s="1"/>
      <c r="B81" s="4" t="s">
        <v>345</v>
      </c>
      <c r="C81" s="8" t="s">
        <v>126</v>
      </c>
      <c r="D81" s="44" t="n">
        <f aca="false">SUM(G81:BX81)</f>
        <v>45143.477803206</v>
      </c>
      <c r="E81" s="1"/>
      <c r="F81" s="1"/>
      <c r="G81" s="44" t="n">
        <f aca="false">G66-G80</f>
        <v>0</v>
      </c>
      <c r="H81" s="44" t="n">
        <f aca="false">H66-H80</f>
        <v>0</v>
      </c>
      <c r="I81" s="44" t="n">
        <f aca="false">I66-I80</f>
        <v>0</v>
      </c>
      <c r="J81" s="44" t="n">
        <f aca="false">J66-J80</f>
        <v>0</v>
      </c>
      <c r="K81" s="44" t="n">
        <f aca="false">K66-K80</f>
        <v>0</v>
      </c>
      <c r="L81" s="44" t="n">
        <f aca="false">L66-L80</f>
        <v>0</v>
      </c>
      <c r="M81" s="44" t="n">
        <f aca="false">M66-M80</f>
        <v>0</v>
      </c>
      <c r="N81" s="44" t="n">
        <f aca="false">N66-N80</f>
        <v>0</v>
      </c>
      <c r="O81" s="44" t="n">
        <f aca="false">O66-O80</f>
        <v>681.445584876</v>
      </c>
      <c r="P81" s="44" t="n">
        <f aca="false">P66-P80</f>
        <v>639.52056084</v>
      </c>
      <c r="Q81" s="44" t="n">
        <f aca="false">Q66-Q80</f>
        <v>639.52056084</v>
      </c>
      <c r="R81" s="44" t="n">
        <f aca="false">R66-R80</f>
        <v>792.004380138</v>
      </c>
      <c r="S81" s="44" t="n">
        <f aca="false">S66-S80</f>
        <v>748.74132342</v>
      </c>
      <c r="T81" s="44" t="n">
        <f aca="false">T66-T80</f>
        <v>748.74132342</v>
      </c>
      <c r="U81" s="44" t="n">
        <f aca="false">U66-U80</f>
        <v>792.004380138</v>
      </c>
      <c r="V81" s="44" t="n">
        <f aca="false">V66-V80</f>
        <v>748.74132342</v>
      </c>
      <c r="W81" s="44" t="n">
        <f aca="false">W66-W80</f>
        <v>748.74132342</v>
      </c>
      <c r="X81" s="44" t="n">
        <f aca="false">X66-X80</f>
        <v>719.899285608</v>
      </c>
      <c r="Y81" s="44" t="n">
        <f aca="false">Y66-Y80</f>
        <v>748.74132342</v>
      </c>
      <c r="Z81" s="44" t="n">
        <f aca="false">Z66-Z80</f>
        <v>748.74132342</v>
      </c>
      <c r="AA81" s="44" t="n">
        <f aca="false">AA66-AA80</f>
        <v>792.004380138</v>
      </c>
      <c r="AB81" s="44" t="n">
        <f aca="false">AB66-AB80</f>
        <v>748.74132342</v>
      </c>
      <c r="AC81" s="44" t="n">
        <f aca="false">AC66-AC80</f>
        <v>748.74132342</v>
      </c>
      <c r="AD81" s="44" t="n">
        <f aca="false">AD66-AD80</f>
        <v>792.004380138</v>
      </c>
      <c r="AE81" s="44" t="n">
        <f aca="false">AE66-AE80</f>
        <v>748.74132342</v>
      </c>
      <c r="AF81" s="44" t="n">
        <f aca="false">AF66-AF80</f>
        <v>748.74132342</v>
      </c>
      <c r="AG81" s="44" t="n">
        <f aca="false">AG66-AG80</f>
        <v>792.004380138</v>
      </c>
      <c r="AH81" s="44" t="n">
        <f aca="false">AH66-AH80</f>
        <v>705.478266702</v>
      </c>
      <c r="AI81" s="44" t="n">
        <f aca="false">AI66-AI80</f>
        <v>748.74132342</v>
      </c>
      <c r="AJ81" s="44" t="n">
        <f aca="false">AJ66-AJ80</f>
        <v>792.004380138</v>
      </c>
      <c r="AK81" s="44" t="n">
        <f aca="false">AK66-AK80</f>
        <v>748.74132342</v>
      </c>
      <c r="AL81" s="44" t="n">
        <f aca="false">AL66-AL80</f>
        <v>748.74132342</v>
      </c>
      <c r="AM81" s="44" t="n">
        <f aca="false">AM66-AM80</f>
        <v>792.004380138</v>
      </c>
      <c r="AN81" s="44" t="n">
        <f aca="false">AN66-AN80</f>
        <v>748.74132342</v>
      </c>
      <c r="AO81" s="44" t="n">
        <f aca="false">AO66-AO80</f>
        <v>748.74132342</v>
      </c>
      <c r="AP81" s="44" t="n">
        <f aca="false">AP66-AP80</f>
        <v>792.004380138</v>
      </c>
      <c r="AQ81" s="44" t="n">
        <f aca="false">AQ66-AQ80</f>
        <v>748.74132342</v>
      </c>
      <c r="AR81" s="44" t="n">
        <f aca="false">AR66-AR80</f>
        <v>705.478266702</v>
      </c>
      <c r="AS81" s="44" t="n">
        <f aca="false">AS66-AS80</f>
        <v>792.004380138</v>
      </c>
      <c r="AT81" s="44" t="n">
        <f aca="false">AT66-AT80</f>
        <v>748.74132342</v>
      </c>
      <c r="AU81" s="44" t="n">
        <f aca="false">AU66-AU80</f>
        <v>748.74132342</v>
      </c>
      <c r="AV81" s="44" t="n">
        <f aca="false">AV66-AV80</f>
        <v>792.004380138</v>
      </c>
      <c r="AW81" s="44" t="n">
        <f aca="false">AW66-AW80</f>
        <v>748.74132342</v>
      </c>
      <c r="AX81" s="44" t="n">
        <f aca="false">AX66-AX80</f>
        <v>748.74132342</v>
      </c>
      <c r="AY81" s="44" t="n">
        <f aca="false">AY66-AY80</f>
        <v>792.004380138</v>
      </c>
      <c r="AZ81" s="44" t="n">
        <f aca="false">AZ66-AZ80</f>
        <v>748.74132342</v>
      </c>
      <c r="BA81" s="44" t="n">
        <f aca="false">BA66-BA80</f>
        <v>748.74132342</v>
      </c>
      <c r="BB81" s="44" t="n">
        <f aca="false">BB66-BB80</f>
        <v>719.899285608</v>
      </c>
      <c r="BC81" s="44" t="n">
        <f aca="false">BC66-BC80</f>
        <v>748.74132342</v>
      </c>
      <c r="BD81" s="44" t="n">
        <f aca="false">BD66-BD80</f>
        <v>748.74132342</v>
      </c>
      <c r="BE81" s="44" t="n">
        <f aca="false">BE66-BE80</f>
        <v>792.004380138</v>
      </c>
      <c r="BF81" s="44" t="n">
        <f aca="false">BF66-BF80</f>
        <v>748.74132342</v>
      </c>
      <c r="BG81" s="44" t="n">
        <f aca="false">BG66-BG80</f>
        <v>748.74132342</v>
      </c>
      <c r="BH81" s="44" t="n">
        <f aca="false">BH66-BH80</f>
        <v>792.004380138</v>
      </c>
      <c r="BI81" s="44" t="n">
        <f aca="false">BI66-BI80</f>
        <v>748.74132342</v>
      </c>
      <c r="BJ81" s="44" t="n">
        <f aca="false">BJ66-BJ80</f>
        <v>748.74132342</v>
      </c>
      <c r="BK81" s="44" t="n">
        <f aca="false">BK66-BK80</f>
        <v>792.004380138</v>
      </c>
      <c r="BL81" s="44" t="n">
        <f aca="false">BL66-BL80</f>
        <v>705.478266702</v>
      </c>
      <c r="BM81" s="44" t="n">
        <f aca="false">BM66-BM80</f>
        <v>748.74132342</v>
      </c>
      <c r="BN81" s="44" t="n">
        <f aca="false">BN66-BN80</f>
        <v>792.004380138</v>
      </c>
      <c r="BO81" s="44" t="n">
        <f aca="false">BO66-BO80</f>
        <v>748.74132342</v>
      </c>
      <c r="BP81" s="44" t="n">
        <f aca="false">BP66-BP80</f>
        <v>748.74132342</v>
      </c>
      <c r="BQ81" s="44" t="n">
        <f aca="false">BQ66-BQ80</f>
        <v>792.004380138</v>
      </c>
      <c r="BR81" s="44" t="n">
        <f aca="false">BR66-BR80</f>
        <v>748.74132342</v>
      </c>
      <c r="BS81" s="44" t="n">
        <f aca="false">BS66-BS80</f>
        <v>748.74132342</v>
      </c>
      <c r="BT81" s="44" t="n">
        <f aca="false">BT66-BT80</f>
        <v>792.004380138</v>
      </c>
      <c r="BU81" s="44" t="n">
        <f aca="false">BU66-BU80</f>
        <v>748.74132342</v>
      </c>
      <c r="BV81" s="44" t="n">
        <f aca="false">BV66-BV80</f>
        <v>705.478266702</v>
      </c>
      <c r="BW81" s="44" t="n">
        <f aca="false">BW66-BW80</f>
        <v>0</v>
      </c>
      <c r="BX81" s="44" t="n">
        <f aca="false">BX66-BX80</f>
        <v>0</v>
      </c>
    </row>
    <row r="82" customFormat="false" ht="15" hidden="false" customHeight="false" outlineLevel="0" collapsed="false">
      <c r="A82" s="1"/>
      <c r="B82" s="8" t="s">
        <v>346</v>
      </c>
      <c r="C82" s="8" t="s">
        <v>126</v>
      </c>
      <c r="D82" s="44" t="n">
        <f aca="false">SUM(G82:BX82)</f>
        <v>0</v>
      </c>
      <c r="E82" s="1"/>
      <c r="F82" s="1"/>
      <c r="G82" s="48" t="n">
        <f aca="false">0</f>
        <v>0</v>
      </c>
      <c r="H82" s="48" t="n">
        <f aca="false">0</f>
        <v>0</v>
      </c>
      <c r="I82" s="48" t="n">
        <f aca="false">0</f>
        <v>0</v>
      </c>
      <c r="J82" s="48" t="n">
        <f aca="false">0</f>
        <v>0</v>
      </c>
      <c r="K82" s="48" t="n">
        <f aca="false">0</f>
        <v>0</v>
      </c>
      <c r="L82" s="48" t="n">
        <f aca="false">0</f>
        <v>0</v>
      </c>
      <c r="M82" s="48" t="n">
        <f aca="false">0</f>
        <v>0</v>
      </c>
      <c r="N82" s="48" t="n">
        <f aca="false">0</f>
        <v>0</v>
      </c>
      <c r="O82" s="48" t="n">
        <f aca="false">0</f>
        <v>0</v>
      </c>
      <c r="P82" s="48" t="n">
        <f aca="false">0</f>
        <v>0</v>
      </c>
      <c r="Q82" s="48" t="n">
        <f aca="false">0</f>
        <v>0</v>
      </c>
      <c r="R82" s="48" t="n">
        <f aca="false">0</f>
        <v>0</v>
      </c>
      <c r="S82" s="48" t="n">
        <f aca="false">0</f>
        <v>0</v>
      </c>
      <c r="T82" s="48" t="n">
        <f aca="false">0</f>
        <v>0</v>
      </c>
      <c r="U82" s="48" t="n">
        <f aca="false">0</f>
        <v>0</v>
      </c>
      <c r="V82" s="48" t="n">
        <f aca="false">0</f>
        <v>0</v>
      </c>
      <c r="W82" s="48" t="n">
        <f aca="false">0</f>
        <v>0</v>
      </c>
      <c r="X82" s="48" t="n">
        <f aca="false">0</f>
        <v>0</v>
      </c>
      <c r="Y82" s="48" t="n">
        <f aca="false">0</f>
        <v>0</v>
      </c>
      <c r="Z82" s="48" t="n">
        <f aca="false">0</f>
        <v>0</v>
      </c>
      <c r="AA82" s="48" t="n">
        <f aca="false">0</f>
        <v>0</v>
      </c>
      <c r="AB82" s="48" t="n">
        <f aca="false">0</f>
        <v>0</v>
      </c>
      <c r="AC82" s="48" t="n">
        <f aca="false">0</f>
        <v>0</v>
      </c>
      <c r="AD82" s="48" t="n">
        <f aca="false">0</f>
        <v>0</v>
      </c>
      <c r="AE82" s="48" t="n">
        <f aca="false">0</f>
        <v>0</v>
      </c>
      <c r="AF82" s="48" t="n">
        <f aca="false">0</f>
        <v>0</v>
      </c>
      <c r="AG82" s="48" t="n">
        <f aca="false">0</f>
        <v>0</v>
      </c>
      <c r="AH82" s="48" t="n">
        <f aca="false">0</f>
        <v>0</v>
      </c>
      <c r="AI82" s="48" t="n">
        <f aca="false">0</f>
        <v>0</v>
      </c>
      <c r="AJ82" s="48" t="n">
        <f aca="false">0</f>
        <v>0</v>
      </c>
      <c r="AK82" s="48" t="n">
        <f aca="false">0</f>
        <v>0</v>
      </c>
      <c r="AL82" s="48" t="n">
        <f aca="false">0</f>
        <v>0</v>
      </c>
      <c r="AM82" s="48" t="n">
        <f aca="false">0</f>
        <v>0</v>
      </c>
      <c r="AN82" s="48" t="n">
        <f aca="false">0</f>
        <v>0</v>
      </c>
      <c r="AO82" s="48" t="n">
        <f aca="false">0</f>
        <v>0</v>
      </c>
      <c r="AP82" s="48" t="n">
        <f aca="false">0</f>
        <v>0</v>
      </c>
      <c r="AQ82" s="48" t="n">
        <f aca="false">0</f>
        <v>0</v>
      </c>
      <c r="AR82" s="48" t="n">
        <f aca="false">0</f>
        <v>0</v>
      </c>
      <c r="AS82" s="48" t="n">
        <f aca="false">0</f>
        <v>0</v>
      </c>
      <c r="AT82" s="48" t="n">
        <f aca="false">0</f>
        <v>0</v>
      </c>
      <c r="AU82" s="48" t="n">
        <f aca="false">0</f>
        <v>0</v>
      </c>
      <c r="AV82" s="48" t="n">
        <f aca="false">0</f>
        <v>0</v>
      </c>
      <c r="AW82" s="48" t="n">
        <f aca="false">0</f>
        <v>0</v>
      </c>
      <c r="AX82" s="48" t="n">
        <f aca="false">0</f>
        <v>0</v>
      </c>
      <c r="AY82" s="48" t="n">
        <f aca="false">0</f>
        <v>0</v>
      </c>
      <c r="AZ82" s="48" t="n">
        <f aca="false">0</f>
        <v>0</v>
      </c>
      <c r="BA82" s="48" t="n">
        <f aca="false">0</f>
        <v>0</v>
      </c>
      <c r="BB82" s="48" t="n">
        <f aca="false">0</f>
        <v>0</v>
      </c>
      <c r="BC82" s="48" t="n">
        <f aca="false">0</f>
        <v>0</v>
      </c>
      <c r="BD82" s="48" t="n">
        <f aca="false">0</f>
        <v>0</v>
      </c>
      <c r="BE82" s="48" t="n">
        <f aca="false">0</f>
        <v>0</v>
      </c>
      <c r="BF82" s="48" t="n">
        <f aca="false">0</f>
        <v>0</v>
      </c>
      <c r="BG82" s="48" t="n">
        <f aca="false">0</f>
        <v>0</v>
      </c>
      <c r="BH82" s="48" t="n">
        <f aca="false">0</f>
        <v>0</v>
      </c>
      <c r="BI82" s="48" t="n">
        <f aca="false">0</f>
        <v>0</v>
      </c>
      <c r="BJ82" s="48" t="n">
        <f aca="false">0</f>
        <v>0</v>
      </c>
      <c r="BK82" s="48" t="n">
        <f aca="false">0</f>
        <v>0</v>
      </c>
      <c r="BL82" s="48" t="n">
        <f aca="false">0</f>
        <v>0</v>
      </c>
      <c r="BM82" s="48" t="n">
        <f aca="false">0</f>
        <v>0</v>
      </c>
      <c r="BN82" s="48" t="n">
        <f aca="false">0</f>
        <v>0</v>
      </c>
      <c r="BO82" s="48" t="n">
        <f aca="false">0</f>
        <v>0</v>
      </c>
      <c r="BP82" s="48" t="n">
        <f aca="false">0</f>
        <v>0</v>
      </c>
      <c r="BQ82" s="48" t="n">
        <f aca="false">0</f>
        <v>0</v>
      </c>
      <c r="BR82" s="48" t="n">
        <f aca="false">0</f>
        <v>0</v>
      </c>
      <c r="BS82" s="48" t="n">
        <f aca="false">0</f>
        <v>0</v>
      </c>
      <c r="BT82" s="48" t="n">
        <f aca="false">0</f>
        <v>0</v>
      </c>
      <c r="BU82" s="48" t="n">
        <f aca="false">0</f>
        <v>0</v>
      </c>
      <c r="BV82" s="48" t="n">
        <f aca="false">0</f>
        <v>0</v>
      </c>
      <c r="BW82" s="48" t="n">
        <f aca="false">0</f>
        <v>0</v>
      </c>
      <c r="BX82" s="48" t="n">
        <f aca="false">0</f>
        <v>0</v>
      </c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</row>
    <row r="84" customFormat="false" ht="15" hidden="false" customHeight="false" outlineLevel="0" collapsed="false">
      <c r="A84" s="1"/>
      <c r="B84" s="13" t="s">
        <v>347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</row>
    <row r="85" customFormat="false" ht="15" hidden="false" customHeight="false" outlineLevel="0" collapsed="false">
      <c r="A85" s="1"/>
      <c r="B85" s="8" t="s">
        <v>348</v>
      </c>
      <c r="C85" s="8" t="s">
        <v>126</v>
      </c>
      <c r="D85" s="44" t="n">
        <f aca="false">SUM(G85:BX85)</f>
        <v>2515</v>
      </c>
      <c r="E85" s="1"/>
      <c r="F85" s="1"/>
      <c r="G85" s="48" t="n">
        <f aca="false">IF(AND(G43=1,G44&lt;=ROUNDUP(1/Input!$H$142,0)),MIN($D$53*Input!$H$76*Input!$H$142,MAX($D$53*Input!$H$76-$D$53*Input!$H$76*Input!$H$142*(G44-1),0)),0)</f>
        <v>0</v>
      </c>
      <c r="H85" s="48" t="n">
        <f aca="false">IF(AND(H43=1,H44&lt;=ROUNDUP(1/Input!$H$142,0)),MIN($D$53*Input!$H$76*Input!$H$142,MAX($D$53*Input!$H$76-$D$53*Input!$H$76*Input!$H$142*(H44-1),0)),0)</f>
        <v>0</v>
      </c>
      <c r="I85" s="48" t="n">
        <f aca="false">IF(AND(I43=1,I44&lt;=ROUNDUP(1/Input!$H$142,0)),MIN($D$53*Input!$H$76*Input!$H$142,MAX($D$53*Input!$H$76-$D$53*Input!$H$76*Input!$H$142*(I44-1),0)),0)</f>
        <v>0</v>
      </c>
      <c r="J85" s="48" t="n">
        <f aca="false">IF(AND(J43=1,J44&lt;=ROUNDUP(1/Input!$H$142,0)),MIN($D$53*Input!$H$76*Input!$H$142,MAX($D$53*Input!$H$76-$D$53*Input!$H$76*Input!$H$142*(J44-1),0)),0)</f>
        <v>0</v>
      </c>
      <c r="K85" s="48" t="n">
        <f aca="false">IF(AND(K43=1,K44&lt;=ROUNDUP(1/Input!$H$142,0)),MIN($D$53*Input!$H$76*Input!$H$142,MAX($D$53*Input!$H$76-$D$53*Input!$H$76*Input!$H$142*(K44-1),0)),0)</f>
        <v>0</v>
      </c>
      <c r="L85" s="48" t="n">
        <f aca="false">IF(AND(L43=1,L44&lt;=ROUNDUP(1/Input!$H$142,0)),MIN($D$53*Input!$H$76*Input!$H$142,MAX($D$53*Input!$H$76-$D$53*Input!$H$76*Input!$H$142*(L44-1),0)),0)</f>
        <v>0</v>
      </c>
      <c r="M85" s="48" t="n">
        <f aca="false">IF(AND(M43=1,M44&lt;=ROUNDUP(1/Input!$H$142,0)),MIN($D$53*Input!$H$76*Input!$H$142,MAX($D$53*Input!$H$76-$D$53*Input!$H$76*Input!$H$142*(M44-1),0)),0)</f>
        <v>0</v>
      </c>
      <c r="N85" s="48" t="n">
        <f aca="false">IF(AND(N43=1,N44&lt;=ROUNDUP(1/Input!$H$142,0)),MIN($D$53*Input!$H$76*Input!$H$142,MAX($D$53*Input!$H$76-$D$53*Input!$H$76*Input!$H$142*(N44-1),0)),0)</f>
        <v>0</v>
      </c>
      <c r="O85" s="48" t="n">
        <f aca="false">IF(AND(O43=1,O44&lt;=ROUNDUP(1/Input!$H$142,0)),MIN($D$53*Input!$H$76*Input!$H$142,MAX($D$53*Input!$H$76-$D$53*Input!$H$76*Input!$H$142*(O44-1),0)),0)</f>
        <v>62.875</v>
      </c>
      <c r="P85" s="48" t="n">
        <f aca="false">IF(AND(P43=1,P44&lt;=ROUNDUP(1/Input!$H$142,0)),MIN($D$53*Input!$H$76*Input!$H$142,MAX($D$53*Input!$H$76-$D$53*Input!$H$76*Input!$H$142*(P44-1),0)),0)</f>
        <v>62.875</v>
      </c>
      <c r="Q85" s="48" t="n">
        <f aca="false">IF(AND(Q43=1,Q44&lt;=ROUNDUP(1/Input!$H$142,0)),MIN($D$53*Input!$H$76*Input!$H$142,MAX($D$53*Input!$H$76-$D$53*Input!$H$76*Input!$H$142*(Q44-1),0)),0)</f>
        <v>62.875</v>
      </c>
      <c r="R85" s="48" t="n">
        <f aca="false">IF(AND(R43=1,R44&lt;=ROUNDUP(1/Input!$H$142,0)),MIN($D$53*Input!$H$76*Input!$H$142,MAX($D$53*Input!$H$76-$D$53*Input!$H$76*Input!$H$142*(R44-1),0)),0)</f>
        <v>62.875</v>
      </c>
      <c r="S85" s="48" t="n">
        <f aca="false">IF(AND(S43=1,S44&lt;=ROUNDUP(1/Input!$H$142,0)),MIN($D$53*Input!$H$76*Input!$H$142,MAX($D$53*Input!$H$76-$D$53*Input!$H$76*Input!$H$142*(S44-1),0)),0)</f>
        <v>62.875</v>
      </c>
      <c r="T85" s="48" t="n">
        <f aca="false">IF(AND(T43=1,T44&lt;=ROUNDUP(1/Input!$H$142,0)),MIN($D$53*Input!$H$76*Input!$H$142,MAX($D$53*Input!$H$76-$D$53*Input!$H$76*Input!$H$142*(T44-1),0)),0)</f>
        <v>62.875</v>
      </c>
      <c r="U85" s="48" t="n">
        <f aca="false">IF(AND(U43=1,U44&lt;=ROUNDUP(1/Input!$H$142,0)),MIN($D$53*Input!$H$76*Input!$H$142,MAX($D$53*Input!$H$76-$D$53*Input!$H$76*Input!$H$142*(U44-1),0)),0)</f>
        <v>62.875</v>
      </c>
      <c r="V85" s="48" t="n">
        <f aca="false">IF(AND(V43=1,V44&lt;=ROUNDUP(1/Input!$H$142,0)),MIN($D$53*Input!$H$76*Input!$H$142,MAX($D$53*Input!$H$76-$D$53*Input!$H$76*Input!$H$142*(V44-1),0)),0)</f>
        <v>62.875</v>
      </c>
      <c r="W85" s="48" t="n">
        <f aca="false">IF(AND(W43=1,W44&lt;=ROUNDUP(1/Input!$H$142,0)),MIN($D$53*Input!$H$76*Input!$H$142,MAX($D$53*Input!$H$76-$D$53*Input!$H$76*Input!$H$142*(W44-1),0)),0)</f>
        <v>62.875</v>
      </c>
      <c r="X85" s="48" t="n">
        <f aca="false">IF(AND(X43=1,X44&lt;=ROUNDUP(1/Input!$H$142,0)),MIN($D$53*Input!$H$76*Input!$H$142,MAX($D$53*Input!$H$76-$D$53*Input!$H$76*Input!$H$142*(X44-1),0)),0)</f>
        <v>62.875</v>
      </c>
      <c r="Y85" s="48" t="n">
        <f aca="false">IF(AND(Y43=1,Y44&lt;=ROUNDUP(1/Input!$H$142,0)),MIN($D$53*Input!$H$76*Input!$H$142,MAX($D$53*Input!$H$76-$D$53*Input!$H$76*Input!$H$142*(Y44-1),0)),0)</f>
        <v>62.875</v>
      </c>
      <c r="Z85" s="48" t="n">
        <f aca="false">IF(AND(Z43=1,Z44&lt;=ROUNDUP(1/Input!$H$142,0)),MIN($D$53*Input!$H$76*Input!$H$142,MAX($D$53*Input!$H$76-$D$53*Input!$H$76*Input!$H$142*(Z44-1),0)),0)</f>
        <v>62.875</v>
      </c>
      <c r="AA85" s="48" t="n">
        <f aca="false">IF(AND(AA43=1,AA44&lt;=ROUNDUP(1/Input!$H$142,0)),MIN($D$53*Input!$H$76*Input!$H$142,MAX($D$53*Input!$H$76-$D$53*Input!$H$76*Input!$H$142*(AA44-1),0)),0)</f>
        <v>62.875</v>
      </c>
      <c r="AB85" s="48" t="n">
        <f aca="false">IF(AND(AB43=1,AB44&lt;=ROUNDUP(1/Input!$H$142,0)),MIN($D$53*Input!$H$76*Input!$H$142,MAX($D$53*Input!$H$76-$D$53*Input!$H$76*Input!$H$142*(AB44-1),0)),0)</f>
        <v>62.875</v>
      </c>
      <c r="AC85" s="48" t="n">
        <f aca="false">IF(AND(AC43=1,AC44&lt;=ROUNDUP(1/Input!$H$142,0)),MIN($D$53*Input!$H$76*Input!$H$142,MAX($D$53*Input!$H$76-$D$53*Input!$H$76*Input!$H$142*(AC44-1),0)),0)</f>
        <v>62.875</v>
      </c>
      <c r="AD85" s="48" t="n">
        <f aca="false">IF(AND(AD43=1,AD44&lt;=ROUNDUP(1/Input!$H$142,0)),MIN($D$53*Input!$H$76*Input!$H$142,MAX($D$53*Input!$H$76-$D$53*Input!$H$76*Input!$H$142*(AD44-1),0)),0)</f>
        <v>62.875</v>
      </c>
      <c r="AE85" s="48" t="n">
        <f aca="false">IF(AND(AE43=1,AE44&lt;=ROUNDUP(1/Input!$H$142,0)),MIN($D$53*Input!$H$76*Input!$H$142,MAX($D$53*Input!$H$76-$D$53*Input!$H$76*Input!$H$142*(AE44-1),0)),0)</f>
        <v>62.875</v>
      </c>
      <c r="AF85" s="48" t="n">
        <f aca="false">IF(AND(AF43=1,AF44&lt;=ROUNDUP(1/Input!$H$142,0)),MIN($D$53*Input!$H$76*Input!$H$142,MAX($D$53*Input!$H$76-$D$53*Input!$H$76*Input!$H$142*(AF44-1),0)),0)</f>
        <v>62.875</v>
      </c>
      <c r="AG85" s="48" t="n">
        <f aca="false">IF(AND(AG43=1,AG44&lt;=ROUNDUP(1/Input!$H$142,0)),MIN($D$53*Input!$H$76*Input!$H$142,MAX($D$53*Input!$H$76-$D$53*Input!$H$76*Input!$H$142*(AG44-1),0)),0)</f>
        <v>62.875</v>
      </c>
      <c r="AH85" s="48" t="n">
        <f aca="false">IF(AND(AH43=1,AH44&lt;=ROUNDUP(1/Input!$H$142,0)),MIN($D$53*Input!$H$76*Input!$H$142,MAX($D$53*Input!$H$76-$D$53*Input!$H$76*Input!$H$142*(AH44-1),0)),0)</f>
        <v>62.875</v>
      </c>
      <c r="AI85" s="48" t="n">
        <f aca="false">IF(AND(AI43=1,AI44&lt;=ROUNDUP(1/Input!$H$142,0)),MIN($D$53*Input!$H$76*Input!$H$142,MAX($D$53*Input!$H$76-$D$53*Input!$H$76*Input!$H$142*(AI44-1),0)),0)</f>
        <v>62.875</v>
      </c>
      <c r="AJ85" s="48" t="n">
        <f aca="false">IF(AND(AJ43=1,AJ44&lt;=ROUNDUP(1/Input!$H$142,0)),MIN($D$53*Input!$H$76*Input!$H$142,MAX($D$53*Input!$H$76-$D$53*Input!$H$76*Input!$H$142*(AJ44-1),0)),0)</f>
        <v>62.875</v>
      </c>
      <c r="AK85" s="48" t="n">
        <f aca="false">IF(AND(AK43=1,AK44&lt;=ROUNDUP(1/Input!$H$142,0)),MIN($D$53*Input!$H$76*Input!$H$142,MAX($D$53*Input!$H$76-$D$53*Input!$H$76*Input!$H$142*(AK44-1),0)),0)</f>
        <v>62.875</v>
      </c>
      <c r="AL85" s="48" t="n">
        <f aca="false">IF(AND(AL43=1,AL44&lt;=ROUNDUP(1/Input!$H$142,0)),MIN($D$53*Input!$H$76*Input!$H$142,MAX($D$53*Input!$H$76-$D$53*Input!$H$76*Input!$H$142*(AL44-1),0)),0)</f>
        <v>62.875</v>
      </c>
      <c r="AM85" s="48" t="n">
        <f aca="false">IF(AND(AM43=1,AM44&lt;=ROUNDUP(1/Input!$H$142,0)),MIN($D$53*Input!$H$76*Input!$H$142,MAX($D$53*Input!$H$76-$D$53*Input!$H$76*Input!$H$142*(AM44-1),0)),0)</f>
        <v>62.875</v>
      </c>
      <c r="AN85" s="48" t="n">
        <f aca="false">IF(AND(AN43=1,AN44&lt;=ROUNDUP(1/Input!$H$142,0)),MIN($D$53*Input!$H$76*Input!$H$142,MAX($D$53*Input!$H$76-$D$53*Input!$H$76*Input!$H$142*(AN44-1),0)),0)</f>
        <v>62.875</v>
      </c>
      <c r="AO85" s="48" t="n">
        <f aca="false">IF(AND(AO43=1,AO44&lt;=ROUNDUP(1/Input!$H$142,0)),MIN($D$53*Input!$H$76*Input!$H$142,MAX($D$53*Input!$H$76-$D$53*Input!$H$76*Input!$H$142*(AO44-1),0)),0)</f>
        <v>62.875</v>
      </c>
      <c r="AP85" s="48" t="n">
        <f aca="false">IF(AND(AP43=1,AP44&lt;=ROUNDUP(1/Input!$H$142,0)),MIN($D$53*Input!$H$76*Input!$H$142,MAX($D$53*Input!$H$76-$D$53*Input!$H$76*Input!$H$142*(AP44-1),0)),0)</f>
        <v>62.875</v>
      </c>
      <c r="AQ85" s="48" t="n">
        <f aca="false">IF(AND(AQ43=1,AQ44&lt;=ROUNDUP(1/Input!$H$142,0)),MIN($D$53*Input!$H$76*Input!$H$142,MAX($D$53*Input!$H$76-$D$53*Input!$H$76*Input!$H$142*(AQ44-1),0)),0)</f>
        <v>62.875</v>
      </c>
      <c r="AR85" s="48" t="n">
        <f aca="false">IF(AND(AR43=1,AR44&lt;=ROUNDUP(1/Input!$H$142,0)),MIN($D$53*Input!$H$76*Input!$H$142,MAX($D$53*Input!$H$76-$D$53*Input!$H$76*Input!$H$142*(AR44-1),0)),0)</f>
        <v>62.875</v>
      </c>
      <c r="AS85" s="48" t="n">
        <f aca="false">IF(AND(AS43=1,AS44&lt;=ROUNDUP(1/Input!$H$142,0)),MIN($D$53*Input!$H$76*Input!$H$142,MAX($D$53*Input!$H$76-$D$53*Input!$H$76*Input!$H$142*(AS44-1),0)),0)</f>
        <v>62.875</v>
      </c>
      <c r="AT85" s="48" t="n">
        <f aca="false">IF(AND(AT43=1,AT44&lt;=ROUNDUP(1/Input!$H$142,0)),MIN($D$53*Input!$H$76*Input!$H$142,MAX($D$53*Input!$H$76-$D$53*Input!$H$76*Input!$H$142*(AT44-1),0)),0)</f>
        <v>62.875</v>
      </c>
      <c r="AU85" s="48" t="n">
        <f aca="false">IF(AND(AU43=1,AU44&lt;=ROUNDUP(1/Input!$H$142,0)),MIN($D$53*Input!$H$76*Input!$H$142,MAX($D$53*Input!$H$76-$D$53*Input!$H$76*Input!$H$142*(AU44-1),0)),0)</f>
        <v>62.875</v>
      </c>
      <c r="AV85" s="48" t="n">
        <f aca="false">IF(AND(AV43=1,AV44&lt;=ROUNDUP(1/Input!$H$142,0)),MIN($D$53*Input!$H$76*Input!$H$142,MAX($D$53*Input!$H$76-$D$53*Input!$H$76*Input!$H$142*(AV44-1),0)),0)</f>
        <v>62.875</v>
      </c>
      <c r="AW85" s="48" t="n">
        <f aca="false">IF(AND(AW43=1,AW44&lt;=ROUNDUP(1/Input!$H$142,0)),MIN($D$53*Input!$H$76*Input!$H$142,MAX($D$53*Input!$H$76-$D$53*Input!$H$76*Input!$H$142*(AW44-1),0)),0)</f>
        <v>62.875</v>
      </c>
      <c r="AX85" s="48" t="n">
        <f aca="false">IF(AND(AX43=1,AX44&lt;=ROUNDUP(1/Input!$H$142,0)),MIN($D$53*Input!$H$76*Input!$H$142,MAX($D$53*Input!$H$76-$D$53*Input!$H$76*Input!$H$142*(AX44-1),0)),0)</f>
        <v>62.875</v>
      </c>
      <c r="AY85" s="48" t="n">
        <f aca="false">IF(AND(AY43=1,AY44&lt;=ROUNDUP(1/Input!$H$142,0)),MIN($D$53*Input!$H$76*Input!$H$142,MAX($D$53*Input!$H$76-$D$53*Input!$H$76*Input!$H$142*(AY44-1),0)),0)</f>
        <v>62.875</v>
      </c>
      <c r="AZ85" s="48" t="n">
        <f aca="false">IF(AND(AZ43=1,AZ44&lt;=ROUNDUP(1/Input!$H$142,0)),MIN($D$53*Input!$H$76*Input!$H$142,MAX($D$53*Input!$H$76-$D$53*Input!$H$76*Input!$H$142*(AZ44-1),0)),0)</f>
        <v>62.875</v>
      </c>
      <c r="BA85" s="48" t="n">
        <f aca="false">IF(AND(BA43=1,BA44&lt;=ROUNDUP(1/Input!$H$142,0)),MIN($D$53*Input!$H$76*Input!$H$142,MAX($D$53*Input!$H$76-$D$53*Input!$H$76*Input!$H$142*(BA44-1),0)),0)</f>
        <v>62.875</v>
      </c>
      <c r="BB85" s="48" t="n">
        <f aca="false">IF(AND(BB43=1,BB44&lt;=ROUNDUP(1/Input!$H$142,0)),MIN($D$53*Input!$H$76*Input!$H$142,MAX($D$53*Input!$H$76-$D$53*Input!$H$76*Input!$H$142*(BB44-1),0)),0)</f>
        <v>62.875</v>
      </c>
      <c r="BC85" s="48" t="n">
        <f aca="false">IF(AND(BC43=1,BC44&lt;=ROUNDUP(1/Input!$H$142,0)),MIN($D$53*Input!$H$76*Input!$H$142,MAX($D$53*Input!$H$76-$D$53*Input!$H$76*Input!$H$142*(BC44-1),0)),0)</f>
        <v>0</v>
      </c>
      <c r="BD85" s="48" t="n">
        <f aca="false">IF(AND(BD43=1,BD44&lt;=ROUNDUP(1/Input!$H$142,0)),MIN($D$53*Input!$H$76*Input!$H$142,MAX($D$53*Input!$H$76-$D$53*Input!$H$76*Input!$H$142*(BD44-1),0)),0)</f>
        <v>0</v>
      </c>
      <c r="BE85" s="48" t="n">
        <f aca="false">IF(AND(BE43=1,BE44&lt;=ROUNDUP(1/Input!$H$142,0)),MIN($D$53*Input!$H$76*Input!$H$142,MAX($D$53*Input!$H$76-$D$53*Input!$H$76*Input!$H$142*(BE44-1),0)),0)</f>
        <v>0</v>
      </c>
      <c r="BF85" s="48" t="n">
        <f aca="false">IF(AND(BF43=1,BF44&lt;=ROUNDUP(1/Input!$H$142,0)),MIN($D$53*Input!$H$76*Input!$H$142,MAX($D$53*Input!$H$76-$D$53*Input!$H$76*Input!$H$142*(BF44-1),0)),0)</f>
        <v>0</v>
      </c>
      <c r="BG85" s="48" t="n">
        <f aca="false">IF(AND(BG43=1,BG44&lt;=ROUNDUP(1/Input!$H$142,0)),MIN($D$53*Input!$H$76*Input!$H$142,MAX($D$53*Input!$H$76-$D$53*Input!$H$76*Input!$H$142*(BG44-1),0)),0)</f>
        <v>0</v>
      </c>
      <c r="BH85" s="48" t="n">
        <f aca="false">IF(AND(BH43=1,BH44&lt;=ROUNDUP(1/Input!$H$142,0)),MIN($D$53*Input!$H$76*Input!$H$142,MAX($D$53*Input!$H$76-$D$53*Input!$H$76*Input!$H$142*(BH44-1),0)),0)</f>
        <v>0</v>
      </c>
      <c r="BI85" s="48" t="n">
        <f aca="false">IF(AND(BI43=1,BI44&lt;=ROUNDUP(1/Input!$H$142,0)),MIN($D$53*Input!$H$76*Input!$H$142,MAX($D$53*Input!$H$76-$D$53*Input!$H$76*Input!$H$142*(BI44-1),0)),0)</f>
        <v>0</v>
      </c>
      <c r="BJ85" s="48" t="n">
        <f aca="false">IF(AND(BJ43=1,BJ44&lt;=ROUNDUP(1/Input!$H$142,0)),MIN($D$53*Input!$H$76*Input!$H$142,MAX($D$53*Input!$H$76-$D$53*Input!$H$76*Input!$H$142*(BJ44-1),0)),0)</f>
        <v>0</v>
      </c>
      <c r="BK85" s="48" t="n">
        <f aca="false">IF(AND(BK43=1,BK44&lt;=ROUNDUP(1/Input!$H$142,0)),MIN($D$53*Input!$H$76*Input!$H$142,MAX($D$53*Input!$H$76-$D$53*Input!$H$76*Input!$H$142*(BK44-1),0)),0)</f>
        <v>0</v>
      </c>
      <c r="BL85" s="48" t="n">
        <f aca="false">IF(AND(BL43=1,BL44&lt;=ROUNDUP(1/Input!$H$142,0)),MIN($D$53*Input!$H$76*Input!$H$142,MAX($D$53*Input!$H$76-$D$53*Input!$H$76*Input!$H$142*(BL44-1),0)),0)</f>
        <v>0</v>
      </c>
      <c r="BM85" s="48" t="n">
        <f aca="false">IF(AND(BM43=1,BM44&lt;=ROUNDUP(1/Input!$H$142,0)),MIN($D$53*Input!$H$76*Input!$H$142,MAX($D$53*Input!$H$76-$D$53*Input!$H$76*Input!$H$142*(BM44-1),0)),0)</f>
        <v>0</v>
      </c>
      <c r="BN85" s="48" t="n">
        <f aca="false">IF(AND(BN43=1,BN44&lt;=ROUNDUP(1/Input!$H$142,0)),MIN($D$53*Input!$H$76*Input!$H$142,MAX($D$53*Input!$H$76-$D$53*Input!$H$76*Input!$H$142*(BN44-1),0)),0)</f>
        <v>0</v>
      </c>
      <c r="BO85" s="48" t="n">
        <f aca="false">IF(AND(BO43=1,BO44&lt;=ROUNDUP(1/Input!$H$142,0)),MIN($D$53*Input!$H$76*Input!$H$142,MAX($D$53*Input!$H$76-$D$53*Input!$H$76*Input!$H$142*(BO44-1),0)),0)</f>
        <v>0</v>
      </c>
      <c r="BP85" s="48" t="n">
        <f aca="false">IF(AND(BP43=1,BP44&lt;=ROUNDUP(1/Input!$H$142,0)),MIN($D$53*Input!$H$76*Input!$H$142,MAX($D$53*Input!$H$76-$D$53*Input!$H$76*Input!$H$142*(BP44-1),0)),0)</f>
        <v>0</v>
      </c>
      <c r="BQ85" s="48" t="n">
        <f aca="false">IF(AND(BQ43=1,BQ44&lt;=ROUNDUP(1/Input!$H$142,0)),MIN($D$53*Input!$H$76*Input!$H$142,MAX($D$53*Input!$H$76-$D$53*Input!$H$76*Input!$H$142*(BQ44-1),0)),0)</f>
        <v>0</v>
      </c>
      <c r="BR85" s="48" t="n">
        <f aca="false">IF(AND(BR43=1,BR44&lt;=ROUNDUP(1/Input!$H$142,0)),MIN($D$53*Input!$H$76*Input!$H$142,MAX($D$53*Input!$H$76-$D$53*Input!$H$76*Input!$H$142*(BR44-1),0)),0)</f>
        <v>0</v>
      </c>
      <c r="BS85" s="48" t="n">
        <f aca="false">IF(AND(BS43=1,BS44&lt;=ROUNDUP(1/Input!$H$142,0)),MIN($D$53*Input!$H$76*Input!$H$142,MAX($D$53*Input!$H$76-$D$53*Input!$H$76*Input!$H$142*(BS44-1),0)),0)</f>
        <v>0</v>
      </c>
      <c r="BT85" s="48" t="n">
        <f aca="false">IF(AND(BT43=1,BT44&lt;=ROUNDUP(1/Input!$H$142,0)),MIN($D$53*Input!$H$76*Input!$H$142,MAX($D$53*Input!$H$76-$D$53*Input!$H$76*Input!$H$142*(BT44-1),0)),0)</f>
        <v>0</v>
      </c>
      <c r="BU85" s="48" t="n">
        <f aca="false">IF(AND(BU43=1,BU44&lt;=ROUNDUP(1/Input!$H$142,0)),MIN($D$53*Input!$H$76*Input!$H$142,MAX($D$53*Input!$H$76-$D$53*Input!$H$76*Input!$H$142*(BU44-1),0)),0)</f>
        <v>0</v>
      </c>
      <c r="BV85" s="48" t="n">
        <f aca="false">IF(AND(BV43=1,BV44&lt;=ROUNDUP(1/Input!$H$142,0)),MIN($D$53*Input!$H$76*Input!$H$142,MAX($D$53*Input!$H$76-$D$53*Input!$H$76*Input!$H$142*(BV44-1),0)),0)</f>
        <v>0</v>
      </c>
      <c r="BW85" s="48" t="n">
        <f aca="false">IF(AND(BW43=1,BW44&lt;=ROUNDUP(1/Input!$H$142,0)),MIN($D$53*Input!$H$76*Input!$H$142,MAX($D$53*Input!$H$76-$D$53*Input!$H$76*Input!$H$142*(BW44-1),0)),0)</f>
        <v>0</v>
      </c>
      <c r="BX85" s="48" t="n">
        <f aca="false">IF(AND(BX43=1,BX44&lt;=ROUNDUP(1/Input!$H$142,0)),MIN($D$53*Input!$H$76*Input!$H$142,MAX($D$53*Input!$H$76-$D$53*Input!$H$76*Input!$H$142*(BX44-1),0)),0)</f>
        <v>0</v>
      </c>
    </row>
    <row r="86" customFormat="false" ht="15" hidden="false" customHeight="false" outlineLevel="0" collapsed="false">
      <c r="A86" s="1"/>
      <c r="B86" s="8" t="s">
        <v>349</v>
      </c>
      <c r="C86" s="8" t="s">
        <v>126</v>
      </c>
      <c r="D86" s="44" t="n">
        <f aca="false">SUM(G86:BX86)</f>
        <v>1886.25</v>
      </c>
      <c r="E86" s="1"/>
      <c r="F86" s="1"/>
      <c r="G86" s="48" t="n">
        <f aca="false">IF(AND(G43=1,G44&lt;=ROUNDUP(1/Input!$H$143,0)),MIN($D$53*Input!$H$77*Input!$H$143,MAX($D$53*Input!$H$77-$D$53*Input!$H$77*Input!$H$143*(G44-1),0)),0)</f>
        <v>0</v>
      </c>
      <c r="H86" s="48" t="n">
        <f aca="false">IF(AND(H43=1,H44&lt;=ROUNDUP(1/Input!$H$143,0)),MIN($D$53*Input!$H$77*Input!$H$143,MAX($D$53*Input!$H$77-$D$53*Input!$H$77*Input!$H$143*(H44-1),0)),0)</f>
        <v>0</v>
      </c>
      <c r="I86" s="48" t="n">
        <f aca="false">IF(AND(I43=1,I44&lt;=ROUNDUP(1/Input!$H$143,0)),MIN($D$53*Input!$H$77*Input!$H$143,MAX($D$53*Input!$H$77-$D$53*Input!$H$77*Input!$H$143*(I44-1),0)),0)</f>
        <v>0</v>
      </c>
      <c r="J86" s="48" t="n">
        <f aca="false">IF(AND(J43=1,J44&lt;=ROUNDUP(1/Input!$H$143,0)),MIN($D$53*Input!$H$77*Input!$H$143,MAX($D$53*Input!$H$77-$D$53*Input!$H$77*Input!$H$143*(J44-1),0)),0)</f>
        <v>0</v>
      </c>
      <c r="K86" s="48" t="n">
        <f aca="false">IF(AND(K43=1,K44&lt;=ROUNDUP(1/Input!$H$143,0)),MIN($D$53*Input!$H$77*Input!$H$143,MAX($D$53*Input!$H$77-$D$53*Input!$H$77*Input!$H$143*(K44-1),0)),0)</f>
        <v>0</v>
      </c>
      <c r="L86" s="48" t="n">
        <f aca="false">IF(AND(L43=1,L44&lt;=ROUNDUP(1/Input!$H$143,0)),MIN($D$53*Input!$H$77*Input!$H$143,MAX($D$53*Input!$H$77-$D$53*Input!$H$77*Input!$H$143*(L44-1),0)),0)</f>
        <v>0</v>
      </c>
      <c r="M86" s="48" t="n">
        <f aca="false">IF(AND(M43=1,M44&lt;=ROUNDUP(1/Input!$H$143,0)),MIN($D$53*Input!$H$77*Input!$H$143,MAX($D$53*Input!$H$77-$D$53*Input!$H$77*Input!$H$143*(M44-1),0)),0)</f>
        <v>0</v>
      </c>
      <c r="N86" s="48" t="n">
        <f aca="false">IF(AND(N43=1,N44&lt;=ROUNDUP(1/Input!$H$143,0)),MIN($D$53*Input!$H$77*Input!$H$143,MAX($D$53*Input!$H$77-$D$53*Input!$H$77*Input!$H$143*(N44-1),0)),0)</f>
        <v>0</v>
      </c>
      <c r="O86" s="48" t="n">
        <f aca="false">IF(AND(O43=1,O44&lt;=ROUNDUP(1/Input!$H$143,0)),MIN($D$53*Input!$H$77*Input!$H$143,MAX($D$53*Input!$H$77-$D$53*Input!$H$77*Input!$H$143*(O44-1),0)),0)</f>
        <v>84.88125</v>
      </c>
      <c r="P86" s="48" t="n">
        <f aca="false">IF(AND(P43=1,P44&lt;=ROUNDUP(1/Input!$H$143,0)),MIN($D$53*Input!$H$77*Input!$H$143,MAX($D$53*Input!$H$77-$D$53*Input!$H$77*Input!$H$143*(P44-1),0)),0)</f>
        <v>84.88125</v>
      </c>
      <c r="Q86" s="48" t="n">
        <f aca="false">IF(AND(Q43=1,Q44&lt;=ROUNDUP(1/Input!$H$143,0)),MIN($D$53*Input!$H$77*Input!$H$143,MAX($D$53*Input!$H$77-$D$53*Input!$H$77*Input!$H$143*(Q44-1),0)),0)</f>
        <v>84.88125</v>
      </c>
      <c r="R86" s="48" t="n">
        <f aca="false">IF(AND(R43=1,R44&lt;=ROUNDUP(1/Input!$H$143,0)),MIN($D$53*Input!$H$77*Input!$H$143,MAX($D$53*Input!$H$77-$D$53*Input!$H$77*Input!$H$143*(R44-1),0)),0)</f>
        <v>84.88125</v>
      </c>
      <c r="S86" s="48" t="n">
        <f aca="false">IF(AND(S43=1,S44&lt;=ROUNDUP(1/Input!$H$143,0)),MIN($D$53*Input!$H$77*Input!$H$143,MAX($D$53*Input!$H$77-$D$53*Input!$H$77*Input!$H$143*(S44-1),0)),0)</f>
        <v>84.88125</v>
      </c>
      <c r="T86" s="48" t="n">
        <f aca="false">IF(AND(T43=1,T44&lt;=ROUNDUP(1/Input!$H$143,0)),MIN($D$53*Input!$H$77*Input!$H$143,MAX($D$53*Input!$H$77-$D$53*Input!$H$77*Input!$H$143*(T44-1),0)),0)</f>
        <v>84.88125</v>
      </c>
      <c r="U86" s="48" t="n">
        <f aca="false">IF(AND(U43=1,U44&lt;=ROUNDUP(1/Input!$H$143,0)),MIN($D$53*Input!$H$77*Input!$H$143,MAX($D$53*Input!$H$77-$D$53*Input!$H$77*Input!$H$143*(U44-1),0)),0)</f>
        <v>84.88125</v>
      </c>
      <c r="V86" s="48" t="n">
        <f aca="false">IF(AND(V43=1,V44&lt;=ROUNDUP(1/Input!$H$143,0)),MIN($D$53*Input!$H$77*Input!$H$143,MAX($D$53*Input!$H$77-$D$53*Input!$H$77*Input!$H$143*(V44-1),0)),0)</f>
        <v>84.88125</v>
      </c>
      <c r="W86" s="48" t="n">
        <f aca="false">IF(AND(W43=1,W44&lt;=ROUNDUP(1/Input!$H$143,0)),MIN($D$53*Input!$H$77*Input!$H$143,MAX($D$53*Input!$H$77-$D$53*Input!$H$77*Input!$H$143*(W44-1),0)),0)</f>
        <v>84.88125</v>
      </c>
      <c r="X86" s="48" t="n">
        <f aca="false">IF(AND(X43=1,X44&lt;=ROUNDUP(1/Input!$H$143,0)),MIN($D$53*Input!$H$77*Input!$H$143,MAX($D$53*Input!$H$77-$D$53*Input!$H$77*Input!$H$143*(X44-1),0)),0)</f>
        <v>84.88125</v>
      </c>
      <c r="Y86" s="48" t="n">
        <f aca="false">IF(AND(Y43=1,Y44&lt;=ROUNDUP(1/Input!$H$143,0)),MIN($D$53*Input!$H$77*Input!$H$143,MAX($D$53*Input!$H$77-$D$53*Input!$H$77*Input!$H$143*(Y44-1),0)),0)</f>
        <v>84.88125</v>
      </c>
      <c r="Z86" s="48" t="n">
        <f aca="false">IF(AND(Z43=1,Z44&lt;=ROUNDUP(1/Input!$H$143,0)),MIN($D$53*Input!$H$77*Input!$H$143,MAX($D$53*Input!$H$77-$D$53*Input!$H$77*Input!$H$143*(Z44-1),0)),0)</f>
        <v>84.88125</v>
      </c>
      <c r="AA86" s="48" t="n">
        <f aca="false">IF(AND(AA43=1,AA44&lt;=ROUNDUP(1/Input!$H$143,0)),MIN($D$53*Input!$H$77*Input!$H$143,MAX($D$53*Input!$H$77-$D$53*Input!$H$77*Input!$H$143*(AA44-1),0)),0)</f>
        <v>84.88125</v>
      </c>
      <c r="AB86" s="48" t="n">
        <f aca="false">IF(AND(AB43=1,AB44&lt;=ROUNDUP(1/Input!$H$143,0)),MIN($D$53*Input!$H$77*Input!$H$143,MAX($D$53*Input!$H$77-$D$53*Input!$H$77*Input!$H$143*(AB44-1),0)),0)</f>
        <v>84.88125</v>
      </c>
      <c r="AC86" s="48" t="n">
        <f aca="false">IF(AND(AC43=1,AC44&lt;=ROUNDUP(1/Input!$H$143,0)),MIN($D$53*Input!$H$77*Input!$H$143,MAX($D$53*Input!$H$77-$D$53*Input!$H$77*Input!$H$143*(AC44-1),0)),0)</f>
        <v>84.88125</v>
      </c>
      <c r="AD86" s="48" t="n">
        <f aca="false">IF(AND(AD43=1,AD44&lt;=ROUNDUP(1/Input!$H$143,0)),MIN($D$53*Input!$H$77*Input!$H$143,MAX($D$53*Input!$H$77-$D$53*Input!$H$77*Input!$H$143*(AD44-1),0)),0)</f>
        <v>84.88125</v>
      </c>
      <c r="AE86" s="48" t="n">
        <f aca="false">IF(AND(AE43=1,AE44&lt;=ROUNDUP(1/Input!$H$143,0)),MIN($D$53*Input!$H$77*Input!$H$143,MAX($D$53*Input!$H$77-$D$53*Input!$H$77*Input!$H$143*(AE44-1),0)),0)</f>
        <v>84.88125</v>
      </c>
      <c r="AF86" s="48" t="n">
        <f aca="false">IF(AND(AF43=1,AF44&lt;=ROUNDUP(1/Input!$H$143,0)),MIN($D$53*Input!$H$77*Input!$H$143,MAX($D$53*Input!$H$77-$D$53*Input!$H$77*Input!$H$143*(AF44-1),0)),0)</f>
        <v>84.88125</v>
      </c>
      <c r="AG86" s="48" t="n">
        <f aca="false">IF(AND(AG43=1,AG44&lt;=ROUNDUP(1/Input!$H$143,0)),MIN($D$53*Input!$H$77*Input!$H$143,MAX($D$53*Input!$H$77-$D$53*Input!$H$77*Input!$H$143*(AG44-1),0)),0)</f>
        <v>84.88125</v>
      </c>
      <c r="AH86" s="48" t="n">
        <f aca="false">IF(AND(AH43=1,AH44&lt;=ROUNDUP(1/Input!$H$143,0)),MIN($D$53*Input!$H$77*Input!$H$143,MAX($D$53*Input!$H$77-$D$53*Input!$H$77*Input!$H$143*(AH44-1),0)),0)</f>
        <v>84.88125</v>
      </c>
      <c r="AI86" s="48" t="n">
        <f aca="false">IF(AND(AI43=1,AI44&lt;=ROUNDUP(1/Input!$H$143,0)),MIN($D$53*Input!$H$77*Input!$H$143,MAX($D$53*Input!$H$77-$D$53*Input!$H$77*Input!$H$143*(AI44-1),0)),0)</f>
        <v>84.88125</v>
      </c>
      <c r="AJ86" s="48" t="n">
        <f aca="false">IF(AND(AJ43=1,AJ44&lt;=ROUNDUP(1/Input!$H$143,0)),MIN($D$53*Input!$H$77*Input!$H$143,MAX($D$53*Input!$H$77-$D$53*Input!$H$77*Input!$H$143*(AJ44-1),0)),0)</f>
        <v>84.88125</v>
      </c>
      <c r="AK86" s="48" t="n">
        <f aca="false">IF(AND(AK43=1,AK44&lt;=ROUNDUP(1/Input!$H$143,0)),MIN($D$53*Input!$H$77*Input!$H$143,MAX($D$53*Input!$H$77-$D$53*Input!$H$77*Input!$H$143*(AK44-1),0)),0)</f>
        <v>18.8625000000002</v>
      </c>
      <c r="AL86" s="48" t="n">
        <f aca="false">IF(AND(AL43=1,AL44&lt;=ROUNDUP(1/Input!$H$143,0)),MIN($D$53*Input!$H$77*Input!$H$143,MAX($D$53*Input!$H$77-$D$53*Input!$H$77*Input!$H$143*(AL44-1),0)),0)</f>
        <v>0</v>
      </c>
      <c r="AM86" s="48" t="n">
        <f aca="false">IF(AND(AM43=1,AM44&lt;=ROUNDUP(1/Input!$H$143,0)),MIN($D$53*Input!$H$77*Input!$H$143,MAX($D$53*Input!$H$77-$D$53*Input!$H$77*Input!$H$143*(AM44-1),0)),0)</f>
        <v>0</v>
      </c>
      <c r="AN86" s="48" t="n">
        <f aca="false">IF(AND(AN43=1,AN44&lt;=ROUNDUP(1/Input!$H$143,0)),MIN($D$53*Input!$H$77*Input!$H$143,MAX($D$53*Input!$H$77-$D$53*Input!$H$77*Input!$H$143*(AN44-1),0)),0)</f>
        <v>0</v>
      </c>
      <c r="AO86" s="48" t="n">
        <f aca="false">IF(AND(AO43=1,AO44&lt;=ROUNDUP(1/Input!$H$143,0)),MIN($D$53*Input!$H$77*Input!$H$143,MAX($D$53*Input!$H$77-$D$53*Input!$H$77*Input!$H$143*(AO44-1),0)),0)</f>
        <v>0</v>
      </c>
      <c r="AP86" s="48" t="n">
        <f aca="false">IF(AND(AP43=1,AP44&lt;=ROUNDUP(1/Input!$H$143,0)),MIN($D$53*Input!$H$77*Input!$H$143,MAX($D$53*Input!$H$77-$D$53*Input!$H$77*Input!$H$143*(AP44-1),0)),0)</f>
        <v>0</v>
      </c>
      <c r="AQ86" s="48" t="n">
        <f aca="false">IF(AND(AQ43=1,AQ44&lt;=ROUNDUP(1/Input!$H$143,0)),MIN($D$53*Input!$H$77*Input!$H$143,MAX($D$53*Input!$H$77-$D$53*Input!$H$77*Input!$H$143*(AQ44-1),0)),0)</f>
        <v>0</v>
      </c>
      <c r="AR86" s="48" t="n">
        <f aca="false">IF(AND(AR43=1,AR44&lt;=ROUNDUP(1/Input!$H$143,0)),MIN($D$53*Input!$H$77*Input!$H$143,MAX($D$53*Input!$H$77-$D$53*Input!$H$77*Input!$H$143*(AR44-1),0)),0)</f>
        <v>0</v>
      </c>
      <c r="AS86" s="48" t="n">
        <f aca="false">IF(AND(AS43=1,AS44&lt;=ROUNDUP(1/Input!$H$143,0)),MIN($D$53*Input!$H$77*Input!$H$143,MAX($D$53*Input!$H$77-$D$53*Input!$H$77*Input!$H$143*(AS44-1),0)),0)</f>
        <v>0</v>
      </c>
      <c r="AT86" s="48" t="n">
        <f aca="false">IF(AND(AT43=1,AT44&lt;=ROUNDUP(1/Input!$H$143,0)),MIN($D$53*Input!$H$77*Input!$H$143,MAX($D$53*Input!$H$77-$D$53*Input!$H$77*Input!$H$143*(AT44-1),0)),0)</f>
        <v>0</v>
      </c>
      <c r="AU86" s="48" t="n">
        <f aca="false">IF(AND(AU43=1,AU44&lt;=ROUNDUP(1/Input!$H$143,0)),MIN($D$53*Input!$H$77*Input!$H$143,MAX($D$53*Input!$H$77-$D$53*Input!$H$77*Input!$H$143*(AU44-1),0)),0)</f>
        <v>0</v>
      </c>
      <c r="AV86" s="48" t="n">
        <f aca="false">IF(AND(AV43=1,AV44&lt;=ROUNDUP(1/Input!$H$143,0)),MIN($D$53*Input!$H$77*Input!$H$143,MAX($D$53*Input!$H$77-$D$53*Input!$H$77*Input!$H$143*(AV44-1),0)),0)</f>
        <v>0</v>
      </c>
      <c r="AW86" s="48" t="n">
        <f aca="false">IF(AND(AW43=1,AW44&lt;=ROUNDUP(1/Input!$H$143,0)),MIN($D$53*Input!$H$77*Input!$H$143,MAX($D$53*Input!$H$77-$D$53*Input!$H$77*Input!$H$143*(AW44-1),0)),0)</f>
        <v>0</v>
      </c>
      <c r="AX86" s="48" t="n">
        <f aca="false">IF(AND(AX43=1,AX44&lt;=ROUNDUP(1/Input!$H$143,0)),MIN($D$53*Input!$H$77*Input!$H$143,MAX($D$53*Input!$H$77-$D$53*Input!$H$77*Input!$H$143*(AX44-1),0)),0)</f>
        <v>0</v>
      </c>
      <c r="AY86" s="48" t="n">
        <f aca="false">IF(AND(AY43=1,AY44&lt;=ROUNDUP(1/Input!$H$143,0)),MIN($D$53*Input!$H$77*Input!$H$143,MAX($D$53*Input!$H$77-$D$53*Input!$H$77*Input!$H$143*(AY44-1),0)),0)</f>
        <v>0</v>
      </c>
      <c r="AZ86" s="48" t="n">
        <f aca="false">IF(AND(AZ43=1,AZ44&lt;=ROUNDUP(1/Input!$H$143,0)),MIN($D$53*Input!$H$77*Input!$H$143,MAX($D$53*Input!$H$77-$D$53*Input!$H$77*Input!$H$143*(AZ44-1),0)),0)</f>
        <v>0</v>
      </c>
      <c r="BA86" s="48" t="n">
        <f aca="false">IF(AND(BA43=1,BA44&lt;=ROUNDUP(1/Input!$H$143,0)),MIN($D$53*Input!$H$77*Input!$H$143,MAX($D$53*Input!$H$77-$D$53*Input!$H$77*Input!$H$143*(BA44-1),0)),0)</f>
        <v>0</v>
      </c>
      <c r="BB86" s="48" t="n">
        <f aca="false">IF(AND(BB43=1,BB44&lt;=ROUNDUP(1/Input!$H$143,0)),MIN($D$53*Input!$H$77*Input!$H$143,MAX($D$53*Input!$H$77-$D$53*Input!$H$77*Input!$H$143*(BB44-1),0)),0)</f>
        <v>0</v>
      </c>
      <c r="BC86" s="48" t="n">
        <f aca="false">IF(AND(BC43=1,BC44&lt;=ROUNDUP(1/Input!$H$143,0)),MIN($D$53*Input!$H$77*Input!$H$143,MAX($D$53*Input!$H$77-$D$53*Input!$H$77*Input!$H$143*(BC44-1),0)),0)</f>
        <v>0</v>
      </c>
      <c r="BD86" s="48" t="n">
        <f aca="false">IF(AND(BD43=1,BD44&lt;=ROUNDUP(1/Input!$H$143,0)),MIN($D$53*Input!$H$77*Input!$H$143,MAX($D$53*Input!$H$77-$D$53*Input!$H$77*Input!$H$143*(BD44-1),0)),0)</f>
        <v>0</v>
      </c>
      <c r="BE86" s="48" t="n">
        <f aca="false">IF(AND(BE43=1,BE44&lt;=ROUNDUP(1/Input!$H$143,0)),MIN($D$53*Input!$H$77*Input!$H$143,MAX($D$53*Input!$H$77-$D$53*Input!$H$77*Input!$H$143*(BE44-1),0)),0)</f>
        <v>0</v>
      </c>
      <c r="BF86" s="48" t="n">
        <f aca="false">IF(AND(BF43=1,BF44&lt;=ROUNDUP(1/Input!$H$143,0)),MIN($D$53*Input!$H$77*Input!$H$143,MAX($D$53*Input!$H$77-$D$53*Input!$H$77*Input!$H$143*(BF44-1),0)),0)</f>
        <v>0</v>
      </c>
      <c r="BG86" s="48" t="n">
        <f aca="false">IF(AND(BG43=1,BG44&lt;=ROUNDUP(1/Input!$H$143,0)),MIN($D$53*Input!$H$77*Input!$H$143,MAX($D$53*Input!$H$77-$D$53*Input!$H$77*Input!$H$143*(BG44-1),0)),0)</f>
        <v>0</v>
      </c>
      <c r="BH86" s="48" t="n">
        <f aca="false">IF(AND(BH43=1,BH44&lt;=ROUNDUP(1/Input!$H$143,0)),MIN($D$53*Input!$H$77*Input!$H$143,MAX($D$53*Input!$H$77-$D$53*Input!$H$77*Input!$H$143*(BH44-1),0)),0)</f>
        <v>0</v>
      </c>
      <c r="BI86" s="48" t="n">
        <f aca="false">IF(AND(BI43=1,BI44&lt;=ROUNDUP(1/Input!$H$143,0)),MIN($D$53*Input!$H$77*Input!$H$143,MAX($D$53*Input!$H$77-$D$53*Input!$H$77*Input!$H$143*(BI44-1),0)),0)</f>
        <v>0</v>
      </c>
      <c r="BJ86" s="48" t="n">
        <f aca="false">IF(AND(BJ43=1,BJ44&lt;=ROUNDUP(1/Input!$H$143,0)),MIN($D$53*Input!$H$77*Input!$H$143,MAX($D$53*Input!$H$77-$D$53*Input!$H$77*Input!$H$143*(BJ44-1),0)),0)</f>
        <v>0</v>
      </c>
      <c r="BK86" s="48" t="n">
        <f aca="false">IF(AND(BK43=1,BK44&lt;=ROUNDUP(1/Input!$H$143,0)),MIN($D$53*Input!$H$77*Input!$H$143,MAX($D$53*Input!$H$77-$D$53*Input!$H$77*Input!$H$143*(BK44-1),0)),0)</f>
        <v>0</v>
      </c>
      <c r="BL86" s="48" t="n">
        <f aca="false">IF(AND(BL43=1,BL44&lt;=ROUNDUP(1/Input!$H$143,0)),MIN($D$53*Input!$H$77*Input!$H$143,MAX($D$53*Input!$H$77-$D$53*Input!$H$77*Input!$H$143*(BL44-1),0)),0)</f>
        <v>0</v>
      </c>
      <c r="BM86" s="48" t="n">
        <f aca="false">IF(AND(BM43=1,BM44&lt;=ROUNDUP(1/Input!$H$143,0)),MIN($D$53*Input!$H$77*Input!$H$143,MAX($D$53*Input!$H$77-$D$53*Input!$H$77*Input!$H$143*(BM44-1),0)),0)</f>
        <v>0</v>
      </c>
      <c r="BN86" s="48" t="n">
        <f aca="false">IF(AND(BN43=1,BN44&lt;=ROUNDUP(1/Input!$H$143,0)),MIN($D$53*Input!$H$77*Input!$H$143,MAX($D$53*Input!$H$77-$D$53*Input!$H$77*Input!$H$143*(BN44-1),0)),0)</f>
        <v>0</v>
      </c>
      <c r="BO86" s="48" t="n">
        <f aca="false">IF(AND(BO43=1,BO44&lt;=ROUNDUP(1/Input!$H$143,0)),MIN($D$53*Input!$H$77*Input!$H$143,MAX($D$53*Input!$H$77-$D$53*Input!$H$77*Input!$H$143*(BO44-1),0)),0)</f>
        <v>0</v>
      </c>
      <c r="BP86" s="48" t="n">
        <f aca="false">IF(AND(BP43=1,BP44&lt;=ROUNDUP(1/Input!$H$143,0)),MIN($D$53*Input!$H$77*Input!$H$143,MAX($D$53*Input!$H$77-$D$53*Input!$H$77*Input!$H$143*(BP44-1),0)),0)</f>
        <v>0</v>
      </c>
      <c r="BQ86" s="48" t="n">
        <f aca="false">IF(AND(BQ43=1,BQ44&lt;=ROUNDUP(1/Input!$H$143,0)),MIN($D$53*Input!$H$77*Input!$H$143,MAX($D$53*Input!$H$77-$D$53*Input!$H$77*Input!$H$143*(BQ44-1),0)),0)</f>
        <v>0</v>
      </c>
      <c r="BR86" s="48" t="n">
        <f aca="false">IF(AND(BR43=1,BR44&lt;=ROUNDUP(1/Input!$H$143,0)),MIN($D$53*Input!$H$77*Input!$H$143,MAX($D$53*Input!$H$77-$D$53*Input!$H$77*Input!$H$143*(BR44-1),0)),0)</f>
        <v>0</v>
      </c>
      <c r="BS86" s="48" t="n">
        <f aca="false">IF(AND(BS43=1,BS44&lt;=ROUNDUP(1/Input!$H$143,0)),MIN($D$53*Input!$H$77*Input!$H$143,MAX($D$53*Input!$H$77-$D$53*Input!$H$77*Input!$H$143*(BS44-1),0)),0)</f>
        <v>0</v>
      </c>
      <c r="BT86" s="48" t="n">
        <f aca="false">IF(AND(BT43=1,BT44&lt;=ROUNDUP(1/Input!$H$143,0)),MIN($D$53*Input!$H$77*Input!$H$143,MAX($D$53*Input!$H$77-$D$53*Input!$H$77*Input!$H$143*(BT44-1),0)),0)</f>
        <v>0</v>
      </c>
      <c r="BU86" s="48" t="n">
        <f aca="false">IF(AND(BU43=1,BU44&lt;=ROUNDUP(1/Input!$H$143,0)),MIN($D$53*Input!$H$77*Input!$H$143,MAX($D$53*Input!$H$77-$D$53*Input!$H$77*Input!$H$143*(BU44-1),0)),0)</f>
        <v>0</v>
      </c>
      <c r="BV86" s="48" t="n">
        <f aca="false">IF(AND(BV43=1,BV44&lt;=ROUNDUP(1/Input!$H$143,0)),MIN($D$53*Input!$H$77*Input!$H$143,MAX($D$53*Input!$H$77-$D$53*Input!$H$77*Input!$H$143*(BV44-1),0)),0)</f>
        <v>0</v>
      </c>
      <c r="BW86" s="48" t="n">
        <f aca="false">IF(AND(BW43=1,BW44&lt;=ROUNDUP(1/Input!$H$143,0)),MIN($D$53*Input!$H$77*Input!$H$143,MAX($D$53*Input!$H$77-$D$53*Input!$H$77*Input!$H$143*(BW44-1),0)),0)</f>
        <v>0</v>
      </c>
      <c r="BX86" s="48" t="n">
        <f aca="false">IF(AND(BX43=1,BX44&lt;=ROUNDUP(1/Input!$H$143,0)),MIN($D$53*Input!$H$77*Input!$H$143,MAX($D$53*Input!$H$77-$D$53*Input!$H$77*Input!$H$143*(BX44-1),0)),0)</f>
        <v>0</v>
      </c>
    </row>
    <row r="87" customFormat="false" ht="15" hidden="false" customHeight="false" outlineLevel="0" collapsed="false">
      <c r="A87" s="1"/>
      <c r="B87" s="8" t="s">
        <v>350</v>
      </c>
      <c r="C87" s="8" t="s">
        <v>126</v>
      </c>
      <c r="D87" s="44" t="n">
        <f aca="false">SUM(G87:BX87)</f>
        <v>3143.75</v>
      </c>
      <c r="E87" s="1"/>
      <c r="F87" s="1"/>
      <c r="G87" s="48" t="n">
        <f aca="false">IF(AND(G43=1,G44&lt;=ROUNDUP(1/Input!$H$144,0)),MIN($D$53*Input!$H$78*Input!$H$144,MAX($D$53*Input!$H$78-$D$53*Input!$H$78*Input!$H$144*(G44-1),0)),0)</f>
        <v>0</v>
      </c>
      <c r="H87" s="48" t="n">
        <f aca="false">IF(AND(H43=1,H44&lt;=ROUNDUP(1/Input!$H$144,0)),MIN($D$53*Input!$H$78*Input!$H$144,MAX($D$53*Input!$H$78-$D$53*Input!$H$78*Input!$H$144*(H44-1),0)),0)</f>
        <v>0</v>
      </c>
      <c r="I87" s="48" t="n">
        <f aca="false">IF(AND(I43=1,I44&lt;=ROUNDUP(1/Input!$H$144,0)),MIN($D$53*Input!$H$78*Input!$H$144,MAX($D$53*Input!$H$78-$D$53*Input!$H$78*Input!$H$144*(I44-1),0)),0)</f>
        <v>0</v>
      </c>
      <c r="J87" s="48" t="n">
        <f aca="false">IF(AND(J43=1,J44&lt;=ROUNDUP(1/Input!$H$144,0)),MIN($D$53*Input!$H$78*Input!$H$144,MAX($D$53*Input!$H$78-$D$53*Input!$H$78*Input!$H$144*(J44-1),0)),0)</f>
        <v>0</v>
      </c>
      <c r="K87" s="48" t="n">
        <f aca="false">IF(AND(K43=1,K44&lt;=ROUNDUP(1/Input!$H$144,0)),MIN($D$53*Input!$H$78*Input!$H$144,MAX($D$53*Input!$H$78-$D$53*Input!$H$78*Input!$H$144*(K44-1),0)),0)</f>
        <v>0</v>
      </c>
      <c r="L87" s="48" t="n">
        <f aca="false">IF(AND(L43=1,L44&lt;=ROUNDUP(1/Input!$H$144,0)),MIN($D$53*Input!$H$78*Input!$H$144,MAX($D$53*Input!$H$78-$D$53*Input!$H$78*Input!$H$144*(L44-1),0)),0)</f>
        <v>0</v>
      </c>
      <c r="M87" s="48" t="n">
        <f aca="false">IF(AND(M43=1,M44&lt;=ROUNDUP(1/Input!$H$144,0)),MIN($D$53*Input!$H$78*Input!$H$144,MAX($D$53*Input!$H$78-$D$53*Input!$H$78*Input!$H$144*(M44-1),0)),0)</f>
        <v>0</v>
      </c>
      <c r="N87" s="48" t="n">
        <f aca="false">IF(AND(N43=1,N44&lt;=ROUNDUP(1/Input!$H$144,0)),MIN($D$53*Input!$H$78*Input!$H$144,MAX($D$53*Input!$H$78-$D$53*Input!$H$78*Input!$H$144*(N44-1),0)),0)</f>
        <v>0</v>
      </c>
      <c r="O87" s="48" t="n">
        <f aca="false">IF(AND(O43=1,O44&lt;=ROUNDUP(1/Input!$H$144,0)),MIN($D$53*Input!$H$78*Input!$H$144,MAX($D$53*Input!$H$78-$D$53*Input!$H$78*Input!$H$144*(O44-1),0)),0)</f>
        <v>440.125</v>
      </c>
      <c r="P87" s="48" t="n">
        <f aca="false">IF(AND(P43=1,P44&lt;=ROUNDUP(1/Input!$H$144,0)),MIN($D$53*Input!$H$78*Input!$H$144,MAX($D$53*Input!$H$78-$D$53*Input!$H$78*Input!$H$144*(P44-1),0)),0)</f>
        <v>440.125</v>
      </c>
      <c r="Q87" s="48" t="n">
        <f aca="false">IF(AND(Q43=1,Q44&lt;=ROUNDUP(1/Input!$H$144,0)),MIN($D$53*Input!$H$78*Input!$H$144,MAX($D$53*Input!$H$78-$D$53*Input!$H$78*Input!$H$144*(Q44-1),0)),0)</f>
        <v>440.125</v>
      </c>
      <c r="R87" s="48" t="n">
        <f aca="false">IF(AND(R43=1,R44&lt;=ROUNDUP(1/Input!$H$144,0)),MIN($D$53*Input!$H$78*Input!$H$144,MAX($D$53*Input!$H$78-$D$53*Input!$H$78*Input!$H$144*(R44-1),0)),0)</f>
        <v>440.125</v>
      </c>
      <c r="S87" s="48" t="n">
        <f aca="false">IF(AND(S43=1,S44&lt;=ROUNDUP(1/Input!$H$144,0)),MIN($D$53*Input!$H$78*Input!$H$144,MAX($D$53*Input!$H$78-$D$53*Input!$H$78*Input!$H$144*(S44-1),0)),0)</f>
        <v>440.125</v>
      </c>
      <c r="T87" s="48" t="n">
        <f aca="false">IF(AND(T43=1,T44&lt;=ROUNDUP(1/Input!$H$144,0)),MIN($D$53*Input!$H$78*Input!$H$144,MAX($D$53*Input!$H$78-$D$53*Input!$H$78*Input!$H$144*(T44-1),0)),0)</f>
        <v>440.125</v>
      </c>
      <c r="U87" s="48" t="n">
        <f aca="false">IF(AND(U43=1,U44&lt;=ROUNDUP(1/Input!$H$144,0)),MIN($D$53*Input!$H$78*Input!$H$144,MAX($D$53*Input!$H$78-$D$53*Input!$H$78*Input!$H$144*(U44-1),0)),0)</f>
        <v>440.125</v>
      </c>
      <c r="V87" s="48" t="n">
        <f aca="false">IF(AND(V43=1,V44&lt;=ROUNDUP(1/Input!$H$144,0)),MIN($D$53*Input!$H$78*Input!$H$144,MAX($D$53*Input!$H$78-$D$53*Input!$H$78*Input!$H$144*(V44-1),0)),0)</f>
        <v>62.8749999999995</v>
      </c>
      <c r="W87" s="48" t="n">
        <f aca="false">IF(AND(W43=1,W44&lt;=ROUNDUP(1/Input!$H$144,0)),MIN($D$53*Input!$H$78*Input!$H$144,MAX($D$53*Input!$H$78-$D$53*Input!$H$78*Input!$H$144*(W44-1),0)),0)</f>
        <v>0</v>
      </c>
      <c r="X87" s="48" t="n">
        <f aca="false">IF(AND(X43=1,X44&lt;=ROUNDUP(1/Input!$H$144,0)),MIN($D$53*Input!$H$78*Input!$H$144,MAX($D$53*Input!$H$78-$D$53*Input!$H$78*Input!$H$144*(X44-1),0)),0)</f>
        <v>0</v>
      </c>
      <c r="Y87" s="48" t="n">
        <f aca="false">IF(AND(Y43=1,Y44&lt;=ROUNDUP(1/Input!$H$144,0)),MIN($D$53*Input!$H$78*Input!$H$144,MAX($D$53*Input!$H$78-$D$53*Input!$H$78*Input!$H$144*(Y44-1),0)),0)</f>
        <v>0</v>
      </c>
      <c r="Z87" s="48" t="n">
        <f aca="false">IF(AND(Z43=1,Z44&lt;=ROUNDUP(1/Input!$H$144,0)),MIN($D$53*Input!$H$78*Input!$H$144,MAX($D$53*Input!$H$78-$D$53*Input!$H$78*Input!$H$144*(Z44-1),0)),0)</f>
        <v>0</v>
      </c>
      <c r="AA87" s="48" t="n">
        <f aca="false">IF(AND(AA43=1,AA44&lt;=ROUNDUP(1/Input!$H$144,0)),MIN($D$53*Input!$H$78*Input!$H$144,MAX($D$53*Input!$H$78-$D$53*Input!$H$78*Input!$H$144*(AA44-1),0)),0)</f>
        <v>0</v>
      </c>
      <c r="AB87" s="48" t="n">
        <f aca="false">IF(AND(AB43=1,AB44&lt;=ROUNDUP(1/Input!$H$144,0)),MIN($D$53*Input!$H$78*Input!$H$144,MAX($D$53*Input!$H$78-$D$53*Input!$H$78*Input!$H$144*(AB44-1),0)),0)</f>
        <v>0</v>
      </c>
      <c r="AC87" s="48" t="n">
        <f aca="false">IF(AND(AC43=1,AC44&lt;=ROUNDUP(1/Input!$H$144,0)),MIN($D$53*Input!$H$78*Input!$H$144,MAX($D$53*Input!$H$78-$D$53*Input!$H$78*Input!$H$144*(AC44-1),0)),0)</f>
        <v>0</v>
      </c>
      <c r="AD87" s="48" t="n">
        <f aca="false">IF(AND(AD43=1,AD44&lt;=ROUNDUP(1/Input!$H$144,0)),MIN($D$53*Input!$H$78*Input!$H$144,MAX($D$53*Input!$H$78-$D$53*Input!$H$78*Input!$H$144*(AD44-1),0)),0)</f>
        <v>0</v>
      </c>
      <c r="AE87" s="48" t="n">
        <f aca="false">IF(AND(AE43=1,AE44&lt;=ROUNDUP(1/Input!$H$144,0)),MIN($D$53*Input!$H$78*Input!$H$144,MAX($D$53*Input!$H$78-$D$53*Input!$H$78*Input!$H$144*(AE44-1),0)),0)</f>
        <v>0</v>
      </c>
      <c r="AF87" s="48" t="n">
        <f aca="false">IF(AND(AF43=1,AF44&lt;=ROUNDUP(1/Input!$H$144,0)),MIN($D$53*Input!$H$78*Input!$H$144,MAX($D$53*Input!$H$78-$D$53*Input!$H$78*Input!$H$144*(AF44-1),0)),0)</f>
        <v>0</v>
      </c>
      <c r="AG87" s="48" t="n">
        <f aca="false">IF(AND(AG43=1,AG44&lt;=ROUNDUP(1/Input!$H$144,0)),MIN($D$53*Input!$H$78*Input!$H$144,MAX($D$53*Input!$H$78-$D$53*Input!$H$78*Input!$H$144*(AG44-1),0)),0)</f>
        <v>0</v>
      </c>
      <c r="AH87" s="48" t="n">
        <f aca="false">IF(AND(AH43=1,AH44&lt;=ROUNDUP(1/Input!$H$144,0)),MIN($D$53*Input!$H$78*Input!$H$144,MAX($D$53*Input!$H$78-$D$53*Input!$H$78*Input!$H$144*(AH44-1),0)),0)</f>
        <v>0</v>
      </c>
      <c r="AI87" s="48" t="n">
        <f aca="false">IF(AND(AI43=1,AI44&lt;=ROUNDUP(1/Input!$H$144,0)),MIN($D$53*Input!$H$78*Input!$H$144,MAX($D$53*Input!$H$78-$D$53*Input!$H$78*Input!$H$144*(AI44-1),0)),0)</f>
        <v>0</v>
      </c>
      <c r="AJ87" s="48" t="n">
        <f aca="false">IF(AND(AJ43=1,AJ44&lt;=ROUNDUP(1/Input!$H$144,0)),MIN($D$53*Input!$H$78*Input!$H$144,MAX($D$53*Input!$H$78-$D$53*Input!$H$78*Input!$H$144*(AJ44-1),0)),0)</f>
        <v>0</v>
      </c>
      <c r="AK87" s="48" t="n">
        <f aca="false">IF(AND(AK43=1,AK44&lt;=ROUNDUP(1/Input!$H$144,0)),MIN($D$53*Input!$H$78*Input!$H$144,MAX($D$53*Input!$H$78-$D$53*Input!$H$78*Input!$H$144*(AK44-1),0)),0)</f>
        <v>0</v>
      </c>
      <c r="AL87" s="48" t="n">
        <f aca="false">IF(AND(AL43=1,AL44&lt;=ROUNDUP(1/Input!$H$144,0)),MIN($D$53*Input!$H$78*Input!$H$144,MAX($D$53*Input!$H$78-$D$53*Input!$H$78*Input!$H$144*(AL44-1),0)),0)</f>
        <v>0</v>
      </c>
      <c r="AM87" s="48" t="n">
        <f aca="false">IF(AND(AM43=1,AM44&lt;=ROUNDUP(1/Input!$H$144,0)),MIN($D$53*Input!$H$78*Input!$H$144,MAX($D$53*Input!$H$78-$D$53*Input!$H$78*Input!$H$144*(AM44-1),0)),0)</f>
        <v>0</v>
      </c>
      <c r="AN87" s="48" t="n">
        <f aca="false">IF(AND(AN43=1,AN44&lt;=ROUNDUP(1/Input!$H$144,0)),MIN($D$53*Input!$H$78*Input!$H$144,MAX($D$53*Input!$H$78-$D$53*Input!$H$78*Input!$H$144*(AN44-1),0)),0)</f>
        <v>0</v>
      </c>
      <c r="AO87" s="48" t="n">
        <f aca="false">IF(AND(AO43=1,AO44&lt;=ROUNDUP(1/Input!$H$144,0)),MIN($D$53*Input!$H$78*Input!$H$144,MAX($D$53*Input!$H$78-$D$53*Input!$H$78*Input!$H$144*(AO44-1),0)),0)</f>
        <v>0</v>
      </c>
      <c r="AP87" s="48" t="n">
        <f aca="false">IF(AND(AP43=1,AP44&lt;=ROUNDUP(1/Input!$H$144,0)),MIN($D$53*Input!$H$78*Input!$H$144,MAX($D$53*Input!$H$78-$D$53*Input!$H$78*Input!$H$144*(AP44-1),0)),0)</f>
        <v>0</v>
      </c>
      <c r="AQ87" s="48" t="n">
        <f aca="false">IF(AND(AQ43=1,AQ44&lt;=ROUNDUP(1/Input!$H$144,0)),MIN($D$53*Input!$H$78*Input!$H$144,MAX($D$53*Input!$H$78-$D$53*Input!$H$78*Input!$H$144*(AQ44-1),0)),0)</f>
        <v>0</v>
      </c>
      <c r="AR87" s="48" t="n">
        <f aca="false">IF(AND(AR43=1,AR44&lt;=ROUNDUP(1/Input!$H$144,0)),MIN($D$53*Input!$H$78*Input!$H$144,MAX($D$53*Input!$H$78-$D$53*Input!$H$78*Input!$H$144*(AR44-1),0)),0)</f>
        <v>0</v>
      </c>
      <c r="AS87" s="48" t="n">
        <f aca="false">IF(AND(AS43=1,AS44&lt;=ROUNDUP(1/Input!$H$144,0)),MIN($D$53*Input!$H$78*Input!$H$144,MAX($D$53*Input!$H$78-$D$53*Input!$H$78*Input!$H$144*(AS44-1),0)),0)</f>
        <v>0</v>
      </c>
      <c r="AT87" s="48" t="n">
        <f aca="false">IF(AND(AT43=1,AT44&lt;=ROUNDUP(1/Input!$H$144,0)),MIN($D$53*Input!$H$78*Input!$H$144,MAX($D$53*Input!$H$78-$D$53*Input!$H$78*Input!$H$144*(AT44-1),0)),0)</f>
        <v>0</v>
      </c>
      <c r="AU87" s="48" t="n">
        <f aca="false">IF(AND(AU43=1,AU44&lt;=ROUNDUP(1/Input!$H$144,0)),MIN($D$53*Input!$H$78*Input!$H$144,MAX($D$53*Input!$H$78-$D$53*Input!$H$78*Input!$H$144*(AU44-1),0)),0)</f>
        <v>0</v>
      </c>
      <c r="AV87" s="48" t="n">
        <f aca="false">IF(AND(AV43=1,AV44&lt;=ROUNDUP(1/Input!$H$144,0)),MIN($D$53*Input!$H$78*Input!$H$144,MAX($D$53*Input!$H$78-$D$53*Input!$H$78*Input!$H$144*(AV44-1),0)),0)</f>
        <v>0</v>
      </c>
      <c r="AW87" s="48" t="n">
        <f aca="false">IF(AND(AW43=1,AW44&lt;=ROUNDUP(1/Input!$H$144,0)),MIN($D$53*Input!$H$78*Input!$H$144,MAX($D$53*Input!$H$78-$D$53*Input!$H$78*Input!$H$144*(AW44-1),0)),0)</f>
        <v>0</v>
      </c>
      <c r="AX87" s="48" t="n">
        <f aca="false">IF(AND(AX43=1,AX44&lt;=ROUNDUP(1/Input!$H$144,0)),MIN($D$53*Input!$H$78*Input!$H$144,MAX($D$53*Input!$H$78-$D$53*Input!$H$78*Input!$H$144*(AX44-1),0)),0)</f>
        <v>0</v>
      </c>
      <c r="AY87" s="48" t="n">
        <f aca="false">IF(AND(AY43=1,AY44&lt;=ROUNDUP(1/Input!$H$144,0)),MIN($D$53*Input!$H$78*Input!$H$144,MAX($D$53*Input!$H$78-$D$53*Input!$H$78*Input!$H$144*(AY44-1),0)),0)</f>
        <v>0</v>
      </c>
      <c r="AZ87" s="48" t="n">
        <f aca="false">IF(AND(AZ43=1,AZ44&lt;=ROUNDUP(1/Input!$H$144,0)),MIN($D$53*Input!$H$78*Input!$H$144,MAX($D$53*Input!$H$78-$D$53*Input!$H$78*Input!$H$144*(AZ44-1),0)),0)</f>
        <v>0</v>
      </c>
      <c r="BA87" s="48" t="n">
        <f aca="false">IF(AND(BA43=1,BA44&lt;=ROUNDUP(1/Input!$H$144,0)),MIN($D$53*Input!$H$78*Input!$H$144,MAX($D$53*Input!$H$78-$D$53*Input!$H$78*Input!$H$144*(BA44-1),0)),0)</f>
        <v>0</v>
      </c>
      <c r="BB87" s="48" t="n">
        <f aca="false">IF(AND(BB43=1,BB44&lt;=ROUNDUP(1/Input!$H$144,0)),MIN($D$53*Input!$H$78*Input!$H$144,MAX($D$53*Input!$H$78-$D$53*Input!$H$78*Input!$H$144*(BB44-1),0)),0)</f>
        <v>0</v>
      </c>
      <c r="BC87" s="48" t="n">
        <f aca="false">IF(AND(BC43=1,BC44&lt;=ROUNDUP(1/Input!$H$144,0)),MIN($D$53*Input!$H$78*Input!$H$144,MAX($D$53*Input!$H$78-$D$53*Input!$H$78*Input!$H$144*(BC44-1),0)),0)</f>
        <v>0</v>
      </c>
      <c r="BD87" s="48" t="n">
        <f aca="false">IF(AND(BD43=1,BD44&lt;=ROUNDUP(1/Input!$H$144,0)),MIN($D$53*Input!$H$78*Input!$H$144,MAX($D$53*Input!$H$78-$D$53*Input!$H$78*Input!$H$144*(BD44-1),0)),0)</f>
        <v>0</v>
      </c>
      <c r="BE87" s="48" t="n">
        <f aca="false">IF(AND(BE43=1,BE44&lt;=ROUNDUP(1/Input!$H$144,0)),MIN($D$53*Input!$H$78*Input!$H$144,MAX($D$53*Input!$H$78-$D$53*Input!$H$78*Input!$H$144*(BE44-1),0)),0)</f>
        <v>0</v>
      </c>
      <c r="BF87" s="48" t="n">
        <f aca="false">IF(AND(BF43=1,BF44&lt;=ROUNDUP(1/Input!$H$144,0)),MIN($D$53*Input!$H$78*Input!$H$144,MAX($D$53*Input!$H$78-$D$53*Input!$H$78*Input!$H$144*(BF44-1),0)),0)</f>
        <v>0</v>
      </c>
      <c r="BG87" s="48" t="n">
        <f aca="false">IF(AND(BG43=1,BG44&lt;=ROUNDUP(1/Input!$H$144,0)),MIN($D$53*Input!$H$78*Input!$H$144,MAX($D$53*Input!$H$78-$D$53*Input!$H$78*Input!$H$144*(BG44-1),0)),0)</f>
        <v>0</v>
      </c>
      <c r="BH87" s="48" t="n">
        <f aca="false">IF(AND(BH43=1,BH44&lt;=ROUNDUP(1/Input!$H$144,0)),MIN($D$53*Input!$H$78*Input!$H$144,MAX($D$53*Input!$H$78-$D$53*Input!$H$78*Input!$H$144*(BH44-1),0)),0)</f>
        <v>0</v>
      </c>
      <c r="BI87" s="48" t="n">
        <f aca="false">IF(AND(BI43=1,BI44&lt;=ROUNDUP(1/Input!$H$144,0)),MIN($D$53*Input!$H$78*Input!$H$144,MAX($D$53*Input!$H$78-$D$53*Input!$H$78*Input!$H$144*(BI44-1),0)),0)</f>
        <v>0</v>
      </c>
      <c r="BJ87" s="48" t="n">
        <f aca="false">IF(AND(BJ43=1,BJ44&lt;=ROUNDUP(1/Input!$H$144,0)),MIN($D$53*Input!$H$78*Input!$H$144,MAX($D$53*Input!$H$78-$D$53*Input!$H$78*Input!$H$144*(BJ44-1),0)),0)</f>
        <v>0</v>
      </c>
      <c r="BK87" s="48" t="n">
        <f aca="false">IF(AND(BK43=1,BK44&lt;=ROUNDUP(1/Input!$H$144,0)),MIN($D$53*Input!$H$78*Input!$H$144,MAX($D$53*Input!$H$78-$D$53*Input!$H$78*Input!$H$144*(BK44-1),0)),0)</f>
        <v>0</v>
      </c>
      <c r="BL87" s="48" t="n">
        <f aca="false">IF(AND(BL43=1,BL44&lt;=ROUNDUP(1/Input!$H$144,0)),MIN($D$53*Input!$H$78*Input!$H$144,MAX($D$53*Input!$H$78-$D$53*Input!$H$78*Input!$H$144*(BL44-1),0)),0)</f>
        <v>0</v>
      </c>
      <c r="BM87" s="48" t="n">
        <f aca="false">IF(AND(BM43=1,BM44&lt;=ROUNDUP(1/Input!$H$144,0)),MIN($D$53*Input!$H$78*Input!$H$144,MAX($D$53*Input!$H$78-$D$53*Input!$H$78*Input!$H$144*(BM44-1),0)),0)</f>
        <v>0</v>
      </c>
      <c r="BN87" s="48" t="n">
        <f aca="false">IF(AND(BN43=1,BN44&lt;=ROUNDUP(1/Input!$H$144,0)),MIN($D$53*Input!$H$78*Input!$H$144,MAX($D$53*Input!$H$78-$D$53*Input!$H$78*Input!$H$144*(BN44-1),0)),0)</f>
        <v>0</v>
      </c>
      <c r="BO87" s="48" t="n">
        <f aca="false">IF(AND(BO43=1,BO44&lt;=ROUNDUP(1/Input!$H$144,0)),MIN($D$53*Input!$H$78*Input!$H$144,MAX($D$53*Input!$H$78-$D$53*Input!$H$78*Input!$H$144*(BO44-1),0)),0)</f>
        <v>0</v>
      </c>
      <c r="BP87" s="48" t="n">
        <f aca="false">IF(AND(BP43=1,BP44&lt;=ROUNDUP(1/Input!$H$144,0)),MIN($D$53*Input!$H$78*Input!$H$144,MAX($D$53*Input!$H$78-$D$53*Input!$H$78*Input!$H$144*(BP44-1),0)),0)</f>
        <v>0</v>
      </c>
      <c r="BQ87" s="48" t="n">
        <f aca="false">IF(AND(BQ43=1,BQ44&lt;=ROUNDUP(1/Input!$H$144,0)),MIN($D$53*Input!$H$78*Input!$H$144,MAX($D$53*Input!$H$78-$D$53*Input!$H$78*Input!$H$144*(BQ44-1),0)),0)</f>
        <v>0</v>
      </c>
      <c r="BR87" s="48" t="n">
        <f aca="false">IF(AND(BR43=1,BR44&lt;=ROUNDUP(1/Input!$H$144,0)),MIN($D$53*Input!$H$78*Input!$H$144,MAX($D$53*Input!$H$78-$D$53*Input!$H$78*Input!$H$144*(BR44-1),0)),0)</f>
        <v>0</v>
      </c>
      <c r="BS87" s="48" t="n">
        <f aca="false">IF(AND(BS43=1,BS44&lt;=ROUNDUP(1/Input!$H$144,0)),MIN($D$53*Input!$H$78*Input!$H$144,MAX($D$53*Input!$H$78-$D$53*Input!$H$78*Input!$H$144*(BS44-1),0)),0)</f>
        <v>0</v>
      </c>
      <c r="BT87" s="48" t="n">
        <f aca="false">IF(AND(BT43=1,BT44&lt;=ROUNDUP(1/Input!$H$144,0)),MIN($D$53*Input!$H$78*Input!$H$144,MAX($D$53*Input!$H$78-$D$53*Input!$H$78*Input!$H$144*(BT44-1),0)),0)</f>
        <v>0</v>
      </c>
      <c r="BU87" s="48" t="n">
        <f aca="false">IF(AND(BU43=1,BU44&lt;=ROUNDUP(1/Input!$H$144,0)),MIN($D$53*Input!$H$78*Input!$H$144,MAX($D$53*Input!$H$78-$D$53*Input!$H$78*Input!$H$144*(BU44-1),0)),0)</f>
        <v>0</v>
      </c>
      <c r="BV87" s="48" t="n">
        <f aca="false">IF(AND(BV43=1,BV44&lt;=ROUNDUP(1/Input!$H$144,0)),MIN($D$53*Input!$H$78*Input!$H$144,MAX($D$53*Input!$H$78-$D$53*Input!$H$78*Input!$H$144*(BV44-1),0)),0)</f>
        <v>0</v>
      </c>
      <c r="BW87" s="48" t="n">
        <f aca="false">IF(AND(BW43=1,BW44&lt;=ROUNDUP(1/Input!$H$144,0)),MIN($D$53*Input!$H$78*Input!$H$144,MAX($D$53*Input!$H$78-$D$53*Input!$H$78*Input!$H$144*(BW44-1),0)),0)</f>
        <v>0</v>
      </c>
      <c r="BX87" s="48" t="n">
        <f aca="false">IF(AND(BX43=1,BX44&lt;=ROUNDUP(1/Input!$H$144,0)),MIN($D$53*Input!$H$78*Input!$H$144,MAX($D$53*Input!$H$78-$D$53*Input!$H$78*Input!$H$144*(BX44-1),0)),0)</f>
        <v>0</v>
      </c>
    </row>
    <row r="88" customFormat="false" ht="15" hidden="false" customHeight="false" outlineLevel="0" collapsed="false">
      <c r="A88" s="1"/>
      <c r="B88" s="8" t="s">
        <v>351</v>
      </c>
      <c r="C88" s="8" t="s">
        <v>126</v>
      </c>
      <c r="D88" s="44" t="n">
        <f aca="false">SUM(G88:BX88)</f>
        <v>3772.5</v>
      </c>
      <c r="E88" s="1"/>
      <c r="F88" s="1"/>
      <c r="G88" s="48" t="n">
        <f aca="false">IF(AND(G43=1,G44&lt;=ROUNDUP(1/Input!$H$145,0)),MIN($D$53*Input!$H$79*Input!$H$145,MAX($D$53*Input!$H$79-$D$53*Input!$H$79*Input!$H$145*(G44-1),0)),0)</f>
        <v>0</v>
      </c>
      <c r="H88" s="48" t="n">
        <f aca="false">IF(AND(H43=1,H44&lt;=ROUNDUP(1/Input!$H$145,0)),MIN($D$53*Input!$H$79*Input!$H$145,MAX($D$53*Input!$H$79-$D$53*Input!$H$79*Input!$H$145*(H44-1),0)),0)</f>
        <v>0</v>
      </c>
      <c r="I88" s="48" t="n">
        <f aca="false">IF(AND(I43=1,I44&lt;=ROUNDUP(1/Input!$H$145,0)),MIN($D$53*Input!$H$79*Input!$H$145,MAX($D$53*Input!$H$79-$D$53*Input!$H$79*Input!$H$145*(I44-1),0)),0)</f>
        <v>0</v>
      </c>
      <c r="J88" s="48" t="n">
        <f aca="false">IF(AND(J43=1,J44&lt;=ROUNDUP(1/Input!$H$145,0)),MIN($D$53*Input!$H$79*Input!$H$145,MAX($D$53*Input!$H$79-$D$53*Input!$H$79*Input!$H$145*(J44-1),0)),0)</f>
        <v>0</v>
      </c>
      <c r="K88" s="48" t="n">
        <f aca="false">IF(AND(K43=1,K44&lt;=ROUNDUP(1/Input!$H$145,0)),MIN($D$53*Input!$H$79*Input!$H$145,MAX($D$53*Input!$H$79-$D$53*Input!$H$79*Input!$H$145*(K44-1),0)),0)</f>
        <v>0</v>
      </c>
      <c r="L88" s="48" t="n">
        <f aca="false">IF(AND(L43=1,L44&lt;=ROUNDUP(1/Input!$H$145,0)),MIN($D$53*Input!$H$79*Input!$H$145,MAX($D$53*Input!$H$79-$D$53*Input!$H$79*Input!$H$145*(L44-1),0)),0)</f>
        <v>0</v>
      </c>
      <c r="M88" s="48" t="n">
        <f aca="false">IF(AND(M43=1,M44&lt;=ROUNDUP(1/Input!$H$145,0)),MIN($D$53*Input!$H$79*Input!$H$145,MAX($D$53*Input!$H$79-$D$53*Input!$H$79*Input!$H$145*(M44-1),0)),0)</f>
        <v>0</v>
      </c>
      <c r="N88" s="48" t="n">
        <f aca="false">IF(AND(N43=1,N44&lt;=ROUNDUP(1/Input!$H$145,0)),MIN($D$53*Input!$H$79*Input!$H$145,MAX($D$53*Input!$H$79-$D$53*Input!$H$79*Input!$H$145*(N44-1),0)),0)</f>
        <v>0</v>
      </c>
      <c r="O88" s="48" t="n">
        <f aca="false">IF(AND(O43=1,O44&lt;=ROUNDUP(1/Input!$H$145,0)),MIN($D$53*Input!$H$79*Input!$H$145,MAX($D$53*Input!$H$79-$D$53*Input!$H$79*Input!$H$145*(O44-1),0)),0)</f>
        <v>264.075</v>
      </c>
      <c r="P88" s="48" t="n">
        <f aca="false">IF(AND(P43=1,P44&lt;=ROUNDUP(1/Input!$H$145,0)),MIN($D$53*Input!$H$79*Input!$H$145,MAX($D$53*Input!$H$79-$D$53*Input!$H$79*Input!$H$145*(P44-1),0)),0)</f>
        <v>264.075</v>
      </c>
      <c r="Q88" s="48" t="n">
        <f aca="false">IF(AND(Q43=1,Q44&lt;=ROUNDUP(1/Input!$H$145,0)),MIN($D$53*Input!$H$79*Input!$H$145,MAX($D$53*Input!$H$79-$D$53*Input!$H$79*Input!$H$145*(Q44-1),0)),0)</f>
        <v>264.075</v>
      </c>
      <c r="R88" s="48" t="n">
        <f aca="false">IF(AND(R43=1,R44&lt;=ROUNDUP(1/Input!$H$145,0)),MIN($D$53*Input!$H$79*Input!$H$145,MAX($D$53*Input!$H$79-$D$53*Input!$H$79*Input!$H$145*(R44-1),0)),0)</f>
        <v>264.075</v>
      </c>
      <c r="S88" s="48" t="n">
        <f aca="false">IF(AND(S43=1,S44&lt;=ROUNDUP(1/Input!$H$145,0)),MIN($D$53*Input!$H$79*Input!$H$145,MAX($D$53*Input!$H$79-$D$53*Input!$H$79*Input!$H$145*(S44-1),0)),0)</f>
        <v>264.075</v>
      </c>
      <c r="T88" s="48" t="n">
        <f aca="false">IF(AND(T43=1,T44&lt;=ROUNDUP(1/Input!$H$145,0)),MIN($D$53*Input!$H$79*Input!$H$145,MAX($D$53*Input!$H$79-$D$53*Input!$H$79*Input!$H$145*(T44-1),0)),0)</f>
        <v>264.075</v>
      </c>
      <c r="U88" s="48" t="n">
        <f aca="false">IF(AND(U43=1,U44&lt;=ROUNDUP(1/Input!$H$145,0)),MIN($D$53*Input!$H$79*Input!$H$145,MAX($D$53*Input!$H$79-$D$53*Input!$H$79*Input!$H$145*(U44-1),0)),0)</f>
        <v>264.075</v>
      </c>
      <c r="V88" s="48" t="n">
        <f aca="false">IF(AND(V43=1,V44&lt;=ROUNDUP(1/Input!$H$145,0)),MIN($D$53*Input!$H$79*Input!$H$145,MAX($D$53*Input!$H$79-$D$53*Input!$H$79*Input!$H$145*(V44-1),0)),0)</f>
        <v>264.075</v>
      </c>
      <c r="W88" s="48" t="n">
        <f aca="false">IF(AND(W43=1,W44&lt;=ROUNDUP(1/Input!$H$145,0)),MIN($D$53*Input!$H$79*Input!$H$145,MAX($D$53*Input!$H$79-$D$53*Input!$H$79*Input!$H$145*(W44-1),0)),0)</f>
        <v>264.075</v>
      </c>
      <c r="X88" s="48" t="n">
        <f aca="false">IF(AND(X43=1,X44&lt;=ROUNDUP(1/Input!$H$145,0)),MIN($D$53*Input!$H$79*Input!$H$145,MAX($D$53*Input!$H$79-$D$53*Input!$H$79*Input!$H$145*(X44-1),0)),0)</f>
        <v>264.075</v>
      </c>
      <c r="Y88" s="48" t="n">
        <f aca="false">IF(AND(Y43=1,Y44&lt;=ROUNDUP(1/Input!$H$145,0)),MIN($D$53*Input!$H$79*Input!$H$145,MAX($D$53*Input!$H$79-$D$53*Input!$H$79*Input!$H$145*(Y44-1),0)),0)</f>
        <v>264.075</v>
      </c>
      <c r="Z88" s="48" t="n">
        <f aca="false">IF(AND(Z43=1,Z44&lt;=ROUNDUP(1/Input!$H$145,0)),MIN($D$53*Input!$H$79*Input!$H$145,MAX($D$53*Input!$H$79-$D$53*Input!$H$79*Input!$H$145*(Z44-1),0)),0)</f>
        <v>264.075</v>
      </c>
      <c r="AA88" s="48" t="n">
        <f aca="false">IF(AND(AA43=1,AA44&lt;=ROUNDUP(1/Input!$H$145,0)),MIN($D$53*Input!$H$79*Input!$H$145,MAX($D$53*Input!$H$79-$D$53*Input!$H$79*Input!$H$145*(AA44-1),0)),0)</f>
        <v>264.075</v>
      </c>
      <c r="AB88" s="48" t="n">
        <f aca="false">IF(AND(AB43=1,AB44&lt;=ROUNDUP(1/Input!$H$145,0)),MIN($D$53*Input!$H$79*Input!$H$145,MAX($D$53*Input!$H$79-$D$53*Input!$H$79*Input!$H$145*(AB44-1),0)),0)</f>
        <v>264.075</v>
      </c>
      <c r="AC88" s="48" t="n">
        <f aca="false">IF(AND(AC43=1,AC44&lt;=ROUNDUP(1/Input!$H$145,0)),MIN($D$53*Input!$H$79*Input!$H$145,MAX($D$53*Input!$H$79-$D$53*Input!$H$79*Input!$H$145*(AC44-1),0)),0)</f>
        <v>75.4499999999994</v>
      </c>
      <c r="AD88" s="48" t="n">
        <f aca="false">IF(AND(AD43=1,AD44&lt;=ROUNDUP(1/Input!$H$145,0)),MIN($D$53*Input!$H$79*Input!$H$145,MAX($D$53*Input!$H$79-$D$53*Input!$H$79*Input!$H$145*(AD44-1),0)),0)</f>
        <v>0</v>
      </c>
      <c r="AE88" s="48" t="n">
        <f aca="false">IF(AND(AE43=1,AE44&lt;=ROUNDUP(1/Input!$H$145,0)),MIN($D$53*Input!$H$79*Input!$H$145,MAX($D$53*Input!$H$79-$D$53*Input!$H$79*Input!$H$145*(AE44-1),0)),0)</f>
        <v>0</v>
      </c>
      <c r="AF88" s="48" t="n">
        <f aca="false">IF(AND(AF43=1,AF44&lt;=ROUNDUP(1/Input!$H$145,0)),MIN($D$53*Input!$H$79*Input!$H$145,MAX($D$53*Input!$H$79-$D$53*Input!$H$79*Input!$H$145*(AF44-1),0)),0)</f>
        <v>0</v>
      </c>
      <c r="AG88" s="48" t="n">
        <f aca="false">IF(AND(AG43=1,AG44&lt;=ROUNDUP(1/Input!$H$145,0)),MIN($D$53*Input!$H$79*Input!$H$145,MAX($D$53*Input!$H$79-$D$53*Input!$H$79*Input!$H$145*(AG44-1),0)),0)</f>
        <v>0</v>
      </c>
      <c r="AH88" s="48" t="n">
        <f aca="false">IF(AND(AH43=1,AH44&lt;=ROUNDUP(1/Input!$H$145,0)),MIN($D$53*Input!$H$79*Input!$H$145,MAX($D$53*Input!$H$79-$D$53*Input!$H$79*Input!$H$145*(AH44-1),0)),0)</f>
        <v>0</v>
      </c>
      <c r="AI88" s="48" t="n">
        <f aca="false">IF(AND(AI43=1,AI44&lt;=ROUNDUP(1/Input!$H$145,0)),MIN($D$53*Input!$H$79*Input!$H$145,MAX($D$53*Input!$H$79-$D$53*Input!$H$79*Input!$H$145*(AI44-1),0)),0)</f>
        <v>0</v>
      </c>
      <c r="AJ88" s="48" t="n">
        <f aca="false">IF(AND(AJ43=1,AJ44&lt;=ROUNDUP(1/Input!$H$145,0)),MIN($D$53*Input!$H$79*Input!$H$145,MAX($D$53*Input!$H$79-$D$53*Input!$H$79*Input!$H$145*(AJ44-1),0)),0)</f>
        <v>0</v>
      </c>
      <c r="AK88" s="48" t="n">
        <f aca="false">IF(AND(AK43=1,AK44&lt;=ROUNDUP(1/Input!$H$145,0)),MIN($D$53*Input!$H$79*Input!$H$145,MAX($D$53*Input!$H$79-$D$53*Input!$H$79*Input!$H$145*(AK44-1),0)),0)</f>
        <v>0</v>
      </c>
      <c r="AL88" s="48" t="n">
        <f aca="false">IF(AND(AL43=1,AL44&lt;=ROUNDUP(1/Input!$H$145,0)),MIN($D$53*Input!$H$79*Input!$H$145,MAX($D$53*Input!$H$79-$D$53*Input!$H$79*Input!$H$145*(AL44-1),0)),0)</f>
        <v>0</v>
      </c>
      <c r="AM88" s="48" t="n">
        <f aca="false">IF(AND(AM43=1,AM44&lt;=ROUNDUP(1/Input!$H$145,0)),MIN($D$53*Input!$H$79*Input!$H$145,MAX($D$53*Input!$H$79-$D$53*Input!$H$79*Input!$H$145*(AM44-1),0)),0)</f>
        <v>0</v>
      </c>
      <c r="AN88" s="48" t="n">
        <f aca="false">IF(AND(AN43=1,AN44&lt;=ROUNDUP(1/Input!$H$145,0)),MIN($D$53*Input!$H$79*Input!$H$145,MAX($D$53*Input!$H$79-$D$53*Input!$H$79*Input!$H$145*(AN44-1),0)),0)</f>
        <v>0</v>
      </c>
      <c r="AO88" s="48" t="n">
        <f aca="false">IF(AND(AO43=1,AO44&lt;=ROUNDUP(1/Input!$H$145,0)),MIN($D$53*Input!$H$79*Input!$H$145,MAX($D$53*Input!$H$79-$D$53*Input!$H$79*Input!$H$145*(AO44-1),0)),0)</f>
        <v>0</v>
      </c>
      <c r="AP88" s="48" t="n">
        <f aca="false">IF(AND(AP43=1,AP44&lt;=ROUNDUP(1/Input!$H$145,0)),MIN($D$53*Input!$H$79*Input!$H$145,MAX($D$53*Input!$H$79-$D$53*Input!$H$79*Input!$H$145*(AP44-1),0)),0)</f>
        <v>0</v>
      </c>
      <c r="AQ88" s="48" t="n">
        <f aca="false">IF(AND(AQ43=1,AQ44&lt;=ROUNDUP(1/Input!$H$145,0)),MIN($D$53*Input!$H$79*Input!$H$145,MAX($D$53*Input!$H$79-$D$53*Input!$H$79*Input!$H$145*(AQ44-1),0)),0)</f>
        <v>0</v>
      </c>
      <c r="AR88" s="48" t="n">
        <f aca="false">IF(AND(AR43=1,AR44&lt;=ROUNDUP(1/Input!$H$145,0)),MIN($D$53*Input!$H$79*Input!$H$145,MAX($D$53*Input!$H$79-$D$53*Input!$H$79*Input!$H$145*(AR44-1),0)),0)</f>
        <v>0</v>
      </c>
      <c r="AS88" s="48" t="n">
        <f aca="false">IF(AND(AS43=1,AS44&lt;=ROUNDUP(1/Input!$H$145,0)),MIN($D$53*Input!$H$79*Input!$H$145,MAX($D$53*Input!$H$79-$D$53*Input!$H$79*Input!$H$145*(AS44-1),0)),0)</f>
        <v>0</v>
      </c>
      <c r="AT88" s="48" t="n">
        <f aca="false">IF(AND(AT43=1,AT44&lt;=ROUNDUP(1/Input!$H$145,0)),MIN($D$53*Input!$H$79*Input!$H$145,MAX($D$53*Input!$H$79-$D$53*Input!$H$79*Input!$H$145*(AT44-1),0)),0)</f>
        <v>0</v>
      </c>
      <c r="AU88" s="48" t="n">
        <f aca="false">IF(AND(AU43=1,AU44&lt;=ROUNDUP(1/Input!$H$145,0)),MIN($D$53*Input!$H$79*Input!$H$145,MAX($D$53*Input!$H$79-$D$53*Input!$H$79*Input!$H$145*(AU44-1),0)),0)</f>
        <v>0</v>
      </c>
      <c r="AV88" s="48" t="n">
        <f aca="false">IF(AND(AV43=1,AV44&lt;=ROUNDUP(1/Input!$H$145,0)),MIN($D$53*Input!$H$79*Input!$H$145,MAX($D$53*Input!$H$79-$D$53*Input!$H$79*Input!$H$145*(AV44-1),0)),0)</f>
        <v>0</v>
      </c>
      <c r="AW88" s="48" t="n">
        <f aca="false">IF(AND(AW43=1,AW44&lt;=ROUNDUP(1/Input!$H$145,0)),MIN($D$53*Input!$H$79*Input!$H$145,MAX($D$53*Input!$H$79-$D$53*Input!$H$79*Input!$H$145*(AW44-1),0)),0)</f>
        <v>0</v>
      </c>
      <c r="AX88" s="48" t="n">
        <f aca="false">IF(AND(AX43=1,AX44&lt;=ROUNDUP(1/Input!$H$145,0)),MIN($D$53*Input!$H$79*Input!$H$145,MAX($D$53*Input!$H$79-$D$53*Input!$H$79*Input!$H$145*(AX44-1),0)),0)</f>
        <v>0</v>
      </c>
      <c r="AY88" s="48" t="n">
        <f aca="false">IF(AND(AY43=1,AY44&lt;=ROUNDUP(1/Input!$H$145,0)),MIN($D$53*Input!$H$79*Input!$H$145,MAX($D$53*Input!$H$79-$D$53*Input!$H$79*Input!$H$145*(AY44-1),0)),0)</f>
        <v>0</v>
      </c>
      <c r="AZ88" s="48" t="n">
        <f aca="false">IF(AND(AZ43=1,AZ44&lt;=ROUNDUP(1/Input!$H$145,0)),MIN($D$53*Input!$H$79*Input!$H$145,MAX($D$53*Input!$H$79-$D$53*Input!$H$79*Input!$H$145*(AZ44-1),0)),0)</f>
        <v>0</v>
      </c>
      <c r="BA88" s="48" t="n">
        <f aca="false">IF(AND(BA43=1,BA44&lt;=ROUNDUP(1/Input!$H$145,0)),MIN($D$53*Input!$H$79*Input!$H$145,MAX($D$53*Input!$H$79-$D$53*Input!$H$79*Input!$H$145*(BA44-1),0)),0)</f>
        <v>0</v>
      </c>
      <c r="BB88" s="48" t="n">
        <f aca="false">IF(AND(BB43=1,BB44&lt;=ROUNDUP(1/Input!$H$145,0)),MIN($D$53*Input!$H$79*Input!$H$145,MAX($D$53*Input!$H$79-$D$53*Input!$H$79*Input!$H$145*(BB44-1),0)),0)</f>
        <v>0</v>
      </c>
      <c r="BC88" s="48" t="n">
        <f aca="false">IF(AND(BC43=1,BC44&lt;=ROUNDUP(1/Input!$H$145,0)),MIN($D$53*Input!$H$79*Input!$H$145,MAX($D$53*Input!$H$79-$D$53*Input!$H$79*Input!$H$145*(BC44-1),0)),0)</f>
        <v>0</v>
      </c>
      <c r="BD88" s="48" t="n">
        <f aca="false">IF(AND(BD43=1,BD44&lt;=ROUNDUP(1/Input!$H$145,0)),MIN($D$53*Input!$H$79*Input!$H$145,MAX($D$53*Input!$H$79-$D$53*Input!$H$79*Input!$H$145*(BD44-1),0)),0)</f>
        <v>0</v>
      </c>
      <c r="BE88" s="48" t="n">
        <f aca="false">IF(AND(BE43=1,BE44&lt;=ROUNDUP(1/Input!$H$145,0)),MIN($D$53*Input!$H$79*Input!$H$145,MAX($D$53*Input!$H$79-$D$53*Input!$H$79*Input!$H$145*(BE44-1),0)),0)</f>
        <v>0</v>
      </c>
      <c r="BF88" s="48" t="n">
        <f aca="false">IF(AND(BF43=1,BF44&lt;=ROUNDUP(1/Input!$H$145,0)),MIN($D$53*Input!$H$79*Input!$H$145,MAX($D$53*Input!$H$79-$D$53*Input!$H$79*Input!$H$145*(BF44-1),0)),0)</f>
        <v>0</v>
      </c>
      <c r="BG88" s="48" t="n">
        <f aca="false">IF(AND(BG43=1,BG44&lt;=ROUNDUP(1/Input!$H$145,0)),MIN($D$53*Input!$H$79*Input!$H$145,MAX($D$53*Input!$H$79-$D$53*Input!$H$79*Input!$H$145*(BG44-1),0)),0)</f>
        <v>0</v>
      </c>
      <c r="BH88" s="48" t="n">
        <f aca="false">IF(AND(BH43=1,BH44&lt;=ROUNDUP(1/Input!$H$145,0)),MIN($D$53*Input!$H$79*Input!$H$145,MAX($D$53*Input!$H$79-$D$53*Input!$H$79*Input!$H$145*(BH44-1),0)),0)</f>
        <v>0</v>
      </c>
      <c r="BI88" s="48" t="n">
        <f aca="false">IF(AND(BI43=1,BI44&lt;=ROUNDUP(1/Input!$H$145,0)),MIN($D$53*Input!$H$79*Input!$H$145,MAX($D$53*Input!$H$79-$D$53*Input!$H$79*Input!$H$145*(BI44-1),0)),0)</f>
        <v>0</v>
      </c>
      <c r="BJ88" s="48" t="n">
        <f aca="false">IF(AND(BJ43=1,BJ44&lt;=ROUNDUP(1/Input!$H$145,0)),MIN($D$53*Input!$H$79*Input!$H$145,MAX($D$53*Input!$H$79-$D$53*Input!$H$79*Input!$H$145*(BJ44-1),0)),0)</f>
        <v>0</v>
      </c>
      <c r="BK88" s="48" t="n">
        <f aca="false">IF(AND(BK43=1,BK44&lt;=ROUNDUP(1/Input!$H$145,0)),MIN($D$53*Input!$H$79*Input!$H$145,MAX($D$53*Input!$H$79-$D$53*Input!$H$79*Input!$H$145*(BK44-1),0)),0)</f>
        <v>0</v>
      </c>
      <c r="BL88" s="48" t="n">
        <f aca="false">IF(AND(BL43=1,BL44&lt;=ROUNDUP(1/Input!$H$145,0)),MIN($D$53*Input!$H$79*Input!$H$145,MAX($D$53*Input!$H$79-$D$53*Input!$H$79*Input!$H$145*(BL44-1),0)),0)</f>
        <v>0</v>
      </c>
      <c r="BM88" s="48" t="n">
        <f aca="false">IF(AND(BM43=1,BM44&lt;=ROUNDUP(1/Input!$H$145,0)),MIN($D$53*Input!$H$79*Input!$H$145,MAX($D$53*Input!$H$79-$D$53*Input!$H$79*Input!$H$145*(BM44-1),0)),0)</f>
        <v>0</v>
      </c>
      <c r="BN88" s="48" t="n">
        <f aca="false">IF(AND(BN43=1,BN44&lt;=ROUNDUP(1/Input!$H$145,0)),MIN($D$53*Input!$H$79*Input!$H$145,MAX($D$53*Input!$H$79-$D$53*Input!$H$79*Input!$H$145*(BN44-1),0)),0)</f>
        <v>0</v>
      </c>
      <c r="BO88" s="48" t="n">
        <f aca="false">IF(AND(BO43=1,BO44&lt;=ROUNDUP(1/Input!$H$145,0)),MIN($D$53*Input!$H$79*Input!$H$145,MAX($D$53*Input!$H$79-$D$53*Input!$H$79*Input!$H$145*(BO44-1),0)),0)</f>
        <v>0</v>
      </c>
      <c r="BP88" s="48" t="n">
        <f aca="false">IF(AND(BP43=1,BP44&lt;=ROUNDUP(1/Input!$H$145,0)),MIN($D$53*Input!$H$79*Input!$H$145,MAX($D$53*Input!$H$79-$D$53*Input!$H$79*Input!$H$145*(BP44-1),0)),0)</f>
        <v>0</v>
      </c>
      <c r="BQ88" s="48" t="n">
        <f aca="false">IF(AND(BQ43=1,BQ44&lt;=ROUNDUP(1/Input!$H$145,0)),MIN($D$53*Input!$H$79*Input!$H$145,MAX($D$53*Input!$H$79-$D$53*Input!$H$79*Input!$H$145*(BQ44-1),0)),0)</f>
        <v>0</v>
      </c>
      <c r="BR88" s="48" t="n">
        <f aca="false">IF(AND(BR43=1,BR44&lt;=ROUNDUP(1/Input!$H$145,0)),MIN($D$53*Input!$H$79*Input!$H$145,MAX($D$53*Input!$H$79-$D$53*Input!$H$79*Input!$H$145*(BR44-1),0)),0)</f>
        <v>0</v>
      </c>
      <c r="BS88" s="48" t="n">
        <f aca="false">IF(AND(BS43=1,BS44&lt;=ROUNDUP(1/Input!$H$145,0)),MIN($D$53*Input!$H$79*Input!$H$145,MAX($D$53*Input!$H$79-$D$53*Input!$H$79*Input!$H$145*(BS44-1),0)),0)</f>
        <v>0</v>
      </c>
      <c r="BT88" s="48" t="n">
        <f aca="false">IF(AND(BT43=1,BT44&lt;=ROUNDUP(1/Input!$H$145,0)),MIN($D$53*Input!$H$79*Input!$H$145,MAX($D$53*Input!$H$79-$D$53*Input!$H$79*Input!$H$145*(BT44-1),0)),0)</f>
        <v>0</v>
      </c>
      <c r="BU88" s="48" t="n">
        <f aca="false">IF(AND(BU43=1,BU44&lt;=ROUNDUP(1/Input!$H$145,0)),MIN($D$53*Input!$H$79*Input!$H$145,MAX($D$53*Input!$H$79-$D$53*Input!$H$79*Input!$H$145*(BU44-1),0)),0)</f>
        <v>0</v>
      </c>
      <c r="BV88" s="48" t="n">
        <f aca="false">IF(AND(BV43=1,BV44&lt;=ROUNDUP(1/Input!$H$145,0)),MIN($D$53*Input!$H$79*Input!$H$145,MAX($D$53*Input!$H$79-$D$53*Input!$H$79*Input!$H$145*(BV44-1),0)),0)</f>
        <v>0</v>
      </c>
      <c r="BW88" s="48" t="n">
        <f aca="false">IF(AND(BW43=1,BW44&lt;=ROUNDUP(1/Input!$H$145,0)),MIN($D$53*Input!$H$79*Input!$H$145,MAX($D$53*Input!$H$79-$D$53*Input!$H$79*Input!$H$145*(BW44-1),0)),0)</f>
        <v>0</v>
      </c>
      <c r="BX88" s="48" t="n">
        <f aca="false">IF(AND(BX43=1,BX44&lt;=ROUNDUP(1/Input!$H$145,0)),MIN($D$53*Input!$H$79*Input!$H$145,MAX($D$53*Input!$H$79-$D$53*Input!$H$79*Input!$H$145*(BX44-1),0)),0)</f>
        <v>0</v>
      </c>
    </row>
    <row r="89" customFormat="false" ht="15" hidden="false" customHeight="false" outlineLevel="0" collapsed="false">
      <c r="A89" s="1"/>
      <c r="B89" s="8" t="s">
        <v>352</v>
      </c>
      <c r="C89" s="8" t="s">
        <v>126</v>
      </c>
      <c r="D89" s="44" t="n">
        <f aca="false">SUM(G89:BX89)</f>
        <v>1257.5</v>
      </c>
      <c r="E89" s="1"/>
      <c r="F89" s="1"/>
      <c r="G89" s="48" t="n">
        <f aca="false">IF(AND(G43=1,G44&lt;=ROUNDUP(1/Input!$H$146,0)),MIN($D$53*Input!$H$80*Input!$H$146,MAX($D$53*Input!$H$80-$D$53*Input!$H$80*Input!$H$146*(G44-1),0)),0)</f>
        <v>0</v>
      </c>
      <c r="H89" s="48" t="n">
        <f aca="false">IF(AND(H43=1,H44&lt;=ROUNDUP(1/Input!$H$146,0)),MIN($D$53*Input!$H$80*Input!$H$146,MAX($D$53*Input!$H$80-$D$53*Input!$H$80*Input!$H$146*(H44-1),0)),0)</f>
        <v>0</v>
      </c>
      <c r="I89" s="48" t="n">
        <f aca="false">IF(AND(I43=1,I44&lt;=ROUNDUP(1/Input!$H$146,0)),MIN($D$53*Input!$H$80*Input!$H$146,MAX($D$53*Input!$H$80-$D$53*Input!$H$80*Input!$H$146*(I44-1),0)),0)</f>
        <v>0</v>
      </c>
      <c r="J89" s="48" t="n">
        <f aca="false">IF(AND(J43=1,J44&lt;=ROUNDUP(1/Input!$H$146,0)),MIN($D$53*Input!$H$80*Input!$H$146,MAX($D$53*Input!$H$80-$D$53*Input!$H$80*Input!$H$146*(J44-1),0)),0)</f>
        <v>0</v>
      </c>
      <c r="K89" s="48" t="n">
        <f aca="false">IF(AND(K43=1,K44&lt;=ROUNDUP(1/Input!$H$146,0)),MIN($D$53*Input!$H$80*Input!$H$146,MAX($D$53*Input!$H$80-$D$53*Input!$H$80*Input!$H$146*(K44-1),0)),0)</f>
        <v>0</v>
      </c>
      <c r="L89" s="48" t="n">
        <f aca="false">IF(AND(L43=1,L44&lt;=ROUNDUP(1/Input!$H$146,0)),MIN($D$53*Input!$H$80*Input!$H$146,MAX($D$53*Input!$H$80-$D$53*Input!$H$80*Input!$H$146*(L44-1),0)),0)</f>
        <v>0</v>
      </c>
      <c r="M89" s="48" t="n">
        <f aca="false">IF(AND(M43=1,M44&lt;=ROUNDUP(1/Input!$H$146,0)),MIN($D$53*Input!$H$80*Input!$H$146,MAX($D$53*Input!$H$80-$D$53*Input!$H$80*Input!$H$146*(M44-1),0)),0)</f>
        <v>0</v>
      </c>
      <c r="N89" s="48" t="n">
        <f aca="false">IF(AND(N43=1,N44&lt;=ROUNDUP(1/Input!$H$146,0)),MIN($D$53*Input!$H$80*Input!$H$146,MAX($D$53*Input!$H$80-$D$53*Input!$H$80*Input!$H$146*(N44-1),0)),0)</f>
        <v>0</v>
      </c>
      <c r="O89" s="48" t="n">
        <f aca="false">IF(AND(O43=1,O44&lt;=ROUNDUP(1/Input!$H$146,0)),MIN($D$53*Input!$H$80*Input!$H$146,MAX($D$53*Input!$H$80-$D$53*Input!$H$80*Input!$H$146*(O44-1),0)),0)</f>
        <v>125.75</v>
      </c>
      <c r="P89" s="48" t="n">
        <f aca="false">IF(AND(P43=1,P44&lt;=ROUNDUP(1/Input!$H$146,0)),MIN($D$53*Input!$H$80*Input!$H$146,MAX($D$53*Input!$H$80-$D$53*Input!$H$80*Input!$H$146*(P44-1),0)),0)</f>
        <v>125.75</v>
      </c>
      <c r="Q89" s="48" t="n">
        <f aca="false">IF(AND(Q43=1,Q44&lt;=ROUNDUP(1/Input!$H$146,0)),MIN($D$53*Input!$H$80*Input!$H$146,MAX($D$53*Input!$H$80-$D$53*Input!$H$80*Input!$H$146*(Q44-1),0)),0)</f>
        <v>125.75</v>
      </c>
      <c r="R89" s="48" t="n">
        <f aca="false">IF(AND(R43=1,R44&lt;=ROUNDUP(1/Input!$H$146,0)),MIN($D$53*Input!$H$80*Input!$H$146,MAX($D$53*Input!$H$80-$D$53*Input!$H$80*Input!$H$146*(R44-1),0)),0)</f>
        <v>125.75</v>
      </c>
      <c r="S89" s="48" t="n">
        <f aca="false">IF(AND(S43=1,S44&lt;=ROUNDUP(1/Input!$H$146,0)),MIN($D$53*Input!$H$80*Input!$H$146,MAX($D$53*Input!$H$80-$D$53*Input!$H$80*Input!$H$146*(S44-1),0)),0)</f>
        <v>125.75</v>
      </c>
      <c r="T89" s="48" t="n">
        <f aca="false">IF(AND(T43=1,T44&lt;=ROUNDUP(1/Input!$H$146,0)),MIN($D$53*Input!$H$80*Input!$H$146,MAX($D$53*Input!$H$80-$D$53*Input!$H$80*Input!$H$146*(T44-1),0)),0)</f>
        <v>125.75</v>
      </c>
      <c r="U89" s="48" t="n">
        <f aca="false">IF(AND(U43=1,U44&lt;=ROUNDUP(1/Input!$H$146,0)),MIN($D$53*Input!$H$80*Input!$H$146,MAX($D$53*Input!$H$80-$D$53*Input!$H$80*Input!$H$146*(U44-1),0)),0)</f>
        <v>125.75</v>
      </c>
      <c r="V89" s="48" t="n">
        <f aca="false">IF(AND(V43=1,V44&lt;=ROUNDUP(1/Input!$H$146,0)),MIN($D$53*Input!$H$80*Input!$H$146,MAX($D$53*Input!$H$80-$D$53*Input!$H$80*Input!$H$146*(V44-1),0)),0)</f>
        <v>125.75</v>
      </c>
      <c r="W89" s="48" t="n">
        <f aca="false">IF(AND(W43=1,W44&lt;=ROUNDUP(1/Input!$H$146,0)),MIN($D$53*Input!$H$80*Input!$H$146,MAX($D$53*Input!$H$80-$D$53*Input!$H$80*Input!$H$146*(W44-1),0)),0)</f>
        <v>125.75</v>
      </c>
      <c r="X89" s="48" t="n">
        <f aca="false">IF(AND(X43=1,X44&lt;=ROUNDUP(1/Input!$H$146,0)),MIN($D$53*Input!$H$80*Input!$H$146,MAX($D$53*Input!$H$80-$D$53*Input!$H$80*Input!$H$146*(X44-1),0)),0)</f>
        <v>125.75</v>
      </c>
      <c r="Y89" s="48" t="n">
        <f aca="false">IF(AND(Y43=1,Y44&lt;=ROUNDUP(1/Input!$H$146,0)),MIN($D$53*Input!$H$80*Input!$H$146,MAX($D$53*Input!$H$80-$D$53*Input!$H$80*Input!$H$146*(Y44-1),0)),0)</f>
        <v>0</v>
      </c>
      <c r="Z89" s="48" t="n">
        <f aca="false">IF(AND(Z43=1,Z44&lt;=ROUNDUP(1/Input!$H$146,0)),MIN($D$53*Input!$H$80*Input!$H$146,MAX($D$53*Input!$H$80-$D$53*Input!$H$80*Input!$H$146*(Z44-1),0)),0)</f>
        <v>0</v>
      </c>
      <c r="AA89" s="48" t="n">
        <f aca="false">IF(AND(AA43=1,AA44&lt;=ROUNDUP(1/Input!$H$146,0)),MIN($D$53*Input!$H$80*Input!$H$146,MAX($D$53*Input!$H$80-$D$53*Input!$H$80*Input!$H$146*(AA44-1),0)),0)</f>
        <v>0</v>
      </c>
      <c r="AB89" s="48" t="n">
        <f aca="false">IF(AND(AB43=1,AB44&lt;=ROUNDUP(1/Input!$H$146,0)),MIN($D$53*Input!$H$80*Input!$H$146,MAX($D$53*Input!$H$80-$D$53*Input!$H$80*Input!$H$146*(AB44-1),0)),0)</f>
        <v>0</v>
      </c>
      <c r="AC89" s="48" t="n">
        <f aca="false">IF(AND(AC43=1,AC44&lt;=ROUNDUP(1/Input!$H$146,0)),MIN($D$53*Input!$H$80*Input!$H$146,MAX($D$53*Input!$H$80-$D$53*Input!$H$80*Input!$H$146*(AC44-1),0)),0)</f>
        <v>0</v>
      </c>
      <c r="AD89" s="48" t="n">
        <f aca="false">IF(AND(AD43=1,AD44&lt;=ROUNDUP(1/Input!$H$146,0)),MIN($D$53*Input!$H$80*Input!$H$146,MAX($D$53*Input!$H$80-$D$53*Input!$H$80*Input!$H$146*(AD44-1),0)),0)</f>
        <v>0</v>
      </c>
      <c r="AE89" s="48" t="n">
        <f aca="false">IF(AND(AE43=1,AE44&lt;=ROUNDUP(1/Input!$H$146,0)),MIN($D$53*Input!$H$80*Input!$H$146,MAX($D$53*Input!$H$80-$D$53*Input!$H$80*Input!$H$146*(AE44-1),0)),0)</f>
        <v>0</v>
      </c>
      <c r="AF89" s="48" t="n">
        <f aca="false">IF(AND(AF43=1,AF44&lt;=ROUNDUP(1/Input!$H$146,0)),MIN($D$53*Input!$H$80*Input!$H$146,MAX($D$53*Input!$H$80-$D$53*Input!$H$80*Input!$H$146*(AF44-1),0)),0)</f>
        <v>0</v>
      </c>
      <c r="AG89" s="48" t="n">
        <f aca="false">IF(AND(AG43=1,AG44&lt;=ROUNDUP(1/Input!$H$146,0)),MIN($D$53*Input!$H$80*Input!$H$146,MAX($D$53*Input!$H$80-$D$53*Input!$H$80*Input!$H$146*(AG44-1),0)),0)</f>
        <v>0</v>
      </c>
      <c r="AH89" s="48" t="n">
        <f aca="false">IF(AND(AH43=1,AH44&lt;=ROUNDUP(1/Input!$H$146,0)),MIN($D$53*Input!$H$80*Input!$H$146,MAX($D$53*Input!$H$80-$D$53*Input!$H$80*Input!$H$146*(AH44-1),0)),0)</f>
        <v>0</v>
      </c>
      <c r="AI89" s="48" t="n">
        <f aca="false">IF(AND(AI43=1,AI44&lt;=ROUNDUP(1/Input!$H$146,0)),MIN($D$53*Input!$H$80*Input!$H$146,MAX($D$53*Input!$H$80-$D$53*Input!$H$80*Input!$H$146*(AI44-1),0)),0)</f>
        <v>0</v>
      </c>
      <c r="AJ89" s="48" t="n">
        <f aca="false">IF(AND(AJ43=1,AJ44&lt;=ROUNDUP(1/Input!$H$146,0)),MIN($D$53*Input!$H$80*Input!$H$146,MAX($D$53*Input!$H$80-$D$53*Input!$H$80*Input!$H$146*(AJ44-1),0)),0)</f>
        <v>0</v>
      </c>
      <c r="AK89" s="48" t="n">
        <f aca="false">IF(AND(AK43=1,AK44&lt;=ROUNDUP(1/Input!$H$146,0)),MIN($D$53*Input!$H$80*Input!$H$146,MAX($D$53*Input!$H$80-$D$53*Input!$H$80*Input!$H$146*(AK44-1),0)),0)</f>
        <v>0</v>
      </c>
      <c r="AL89" s="48" t="n">
        <f aca="false">IF(AND(AL43=1,AL44&lt;=ROUNDUP(1/Input!$H$146,0)),MIN($D$53*Input!$H$80*Input!$H$146,MAX($D$53*Input!$H$80-$D$53*Input!$H$80*Input!$H$146*(AL44-1),0)),0)</f>
        <v>0</v>
      </c>
      <c r="AM89" s="48" t="n">
        <f aca="false">IF(AND(AM43=1,AM44&lt;=ROUNDUP(1/Input!$H$146,0)),MIN($D$53*Input!$H$80*Input!$H$146,MAX($D$53*Input!$H$80-$D$53*Input!$H$80*Input!$H$146*(AM44-1),0)),0)</f>
        <v>0</v>
      </c>
      <c r="AN89" s="48" t="n">
        <f aca="false">IF(AND(AN43=1,AN44&lt;=ROUNDUP(1/Input!$H$146,0)),MIN($D$53*Input!$H$80*Input!$H$146,MAX($D$53*Input!$H$80-$D$53*Input!$H$80*Input!$H$146*(AN44-1),0)),0)</f>
        <v>0</v>
      </c>
      <c r="AO89" s="48" t="n">
        <f aca="false">IF(AND(AO43=1,AO44&lt;=ROUNDUP(1/Input!$H$146,0)),MIN($D$53*Input!$H$80*Input!$H$146,MAX($D$53*Input!$H$80-$D$53*Input!$H$80*Input!$H$146*(AO44-1),0)),0)</f>
        <v>0</v>
      </c>
      <c r="AP89" s="48" t="n">
        <f aca="false">IF(AND(AP43=1,AP44&lt;=ROUNDUP(1/Input!$H$146,0)),MIN($D$53*Input!$H$80*Input!$H$146,MAX($D$53*Input!$H$80-$D$53*Input!$H$80*Input!$H$146*(AP44-1),0)),0)</f>
        <v>0</v>
      </c>
      <c r="AQ89" s="48" t="n">
        <f aca="false">IF(AND(AQ43=1,AQ44&lt;=ROUNDUP(1/Input!$H$146,0)),MIN($D$53*Input!$H$80*Input!$H$146,MAX($D$53*Input!$H$80-$D$53*Input!$H$80*Input!$H$146*(AQ44-1),0)),0)</f>
        <v>0</v>
      </c>
      <c r="AR89" s="48" t="n">
        <f aca="false">IF(AND(AR43=1,AR44&lt;=ROUNDUP(1/Input!$H$146,0)),MIN($D$53*Input!$H$80*Input!$H$146,MAX($D$53*Input!$H$80-$D$53*Input!$H$80*Input!$H$146*(AR44-1),0)),0)</f>
        <v>0</v>
      </c>
      <c r="AS89" s="48" t="n">
        <f aca="false">IF(AND(AS43=1,AS44&lt;=ROUNDUP(1/Input!$H$146,0)),MIN($D$53*Input!$H$80*Input!$H$146,MAX($D$53*Input!$H$80-$D$53*Input!$H$80*Input!$H$146*(AS44-1),0)),0)</f>
        <v>0</v>
      </c>
      <c r="AT89" s="48" t="n">
        <f aca="false">IF(AND(AT43=1,AT44&lt;=ROUNDUP(1/Input!$H$146,0)),MIN($D$53*Input!$H$80*Input!$H$146,MAX($D$53*Input!$H$80-$D$53*Input!$H$80*Input!$H$146*(AT44-1),0)),0)</f>
        <v>0</v>
      </c>
      <c r="AU89" s="48" t="n">
        <f aca="false">IF(AND(AU43=1,AU44&lt;=ROUNDUP(1/Input!$H$146,0)),MIN($D$53*Input!$H$80*Input!$H$146,MAX($D$53*Input!$H$80-$D$53*Input!$H$80*Input!$H$146*(AU44-1),0)),0)</f>
        <v>0</v>
      </c>
      <c r="AV89" s="48" t="n">
        <f aca="false">IF(AND(AV43=1,AV44&lt;=ROUNDUP(1/Input!$H$146,0)),MIN($D$53*Input!$H$80*Input!$H$146,MAX($D$53*Input!$H$80-$D$53*Input!$H$80*Input!$H$146*(AV44-1),0)),0)</f>
        <v>0</v>
      </c>
      <c r="AW89" s="48" t="n">
        <f aca="false">IF(AND(AW43=1,AW44&lt;=ROUNDUP(1/Input!$H$146,0)),MIN($D$53*Input!$H$80*Input!$H$146,MAX($D$53*Input!$H$80-$D$53*Input!$H$80*Input!$H$146*(AW44-1),0)),0)</f>
        <v>0</v>
      </c>
      <c r="AX89" s="48" t="n">
        <f aca="false">IF(AND(AX43=1,AX44&lt;=ROUNDUP(1/Input!$H$146,0)),MIN($D$53*Input!$H$80*Input!$H$146,MAX($D$53*Input!$H$80-$D$53*Input!$H$80*Input!$H$146*(AX44-1),0)),0)</f>
        <v>0</v>
      </c>
      <c r="AY89" s="48" t="n">
        <f aca="false">IF(AND(AY43=1,AY44&lt;=ROUNDUP(1/Input!$H$146,0)),MIN($D$53*Input!$H$80*Input!$H$146,MAX($D$53*Input!$H$80-$D$53*Input!$H$80*Input!$H$146*(AY44-1),0)),0)</f>
        <v>0</v>
      </c>
      <c r="AZ89" s="48" t="n">
        <f aca="false">IF(AND(AZ43=1,AZ44&lt;=ROUNDUP(1/Input!$H$146,0)),MIN($D$53*Input!$H$80*Input!$H$146,MAX($D$53*Input!$H$80-$D$53*Input!$H$80*Input!$H$146*(AZ44-1),0)),0)</f>
        <v>0</v>
      </c>
      <c r="BA89" s="48" t="n">
        <f aca="false">IF(AND(BA43=1,BA44&lt;=ROUNDUP(1/Input!$H$146,0)),MIN($D$53*Input!$H$80*Input!$H$146,MAX($D$53*Input!$H$80-$D$53*Input!$H$80*Input!$H$146*(BA44-1),0)),0)</f>
        <v>0</v>
      </c>
      <c r="BB89" s="48" t="n">
        <f aca="false">IF(AND(BB43=1,BB44&lt;=ROUNDUP(1/Input!$H$146,0)),MIN($D$53*Input!$H$80*Input!$H$146,MAX($D$53*Input!$H$80-$D$53*Input!$H$80*Input!$H$146*(BB44-1),0)),0)</f>
        <v>0</v>
      </c>
      <c r="BC89" s="48" t="n">
        <f aca="false">IF(AND(BC43=1,BC44&lt;=ROUNDUP(1/Input!$H$146,0)),MIN($D$53*Input!$H$80*Input!$H$146,MAX($D$53*Input!$H$80-$D$53*Input!$H$80*Input!$H$146*(BC44-1),0)),0)</f>
        <v>0</v>
      </c>
      <c r="BD89" s="48" t="n">
        <f aca="false">IF(AND(BD43=1,BD44&lt;=ROUNDUP(1/Input!$H$146,0)),MIN($D$53*Input!$H$80*Input!$H$146,MAX($D$53*Input!$H$80-$D$53*Input!$H$80*Input!$H$146*(BD44-1),0)),0)</f>
        <v>0</v>
      </c>
      <c r="BE89" s="48" t="n">
        <f aca="false">IF(AND(BE43=1,BE44&lt;=ROUNDUP(1/Input!$H$146,0)),MIN($D$53*Input!$H$80*Input!$H$146,MAX($D$53*Input!$H$80-$D$53*Input!$H$80*Input!$H$146*(BE44-1),0)),0)</f>
        <v>0</v>
      </c>
      <c r="BF89" s="48" t="n">
        <f aca="false">IF(AND(BF43=1,BF44&lt;=ROUNDUP(1/Input!$H$146,0)),MIN($D$53*Input!$H$80*Input!$H$146,MAX($D$53*Input!$H$80-$D$53*Input!$H$80*Input!$H$146*(BF44-1),0)),0)</f>
        <v>0</v>
      </c>
      <c r="BG89" s="48" t="n">
        <f aca="false">IF(AND(BG43=1,BG44&lt;=ROUNDUP(1/Input!$H$146,0)),MIN($D$53*Input!$H$80*Input!$H$146,MAX($D$53*Input!$H$80-$D$53*Input!$H$80*Input!$H$146*(BG44-1),0)),0)</f>
        <v>0</v>
      </c>
      <c r="BH89" s="48" t="n">
        <f aca="false">IF(AND(BH43=1,BH44&lt;=ROUNDUP(1/Input!$H$146,0)),MIN($D$53*Input!$H$80*Input!$H$146,MAX($D$53*Input!$H$80-$D$53*Input!$H$80*Input!$H$146*(BH44-1),0)),0)</f>
        <v>0</v>
      </c>
      <c r="BI89" s="48" t="n">
        <f aca="false">IF(AND(BI43=1,BI44&lt;=ROUNDUP(1/Input!$H$146,0)),MIN($D$53*Input!$H$80*Input!$H$146,MAX($D$53*Input!$H$80-$D$53*Input!$H$80*Input!$H$146*(BI44-1),0)),0)</f>
        <v>0</v>
      </c>
      <c r="BJ89" s="48" t="n">
        <f aca="false">IF(AND(BJ43=1,BJ44&lt;=ROUNDUP(1/Input!$H$146,0)),MIN($D$53*Input!$H$80*Input!$H$146,MAX($D$53*Input!$H$80-$D$53*Input!$H$80*Input!$H$146*(BJ44-1),0)),0)</f>
        <v>0</v>
      </c>
      <c r="BK89" s="48" t="n">
        <f aca="false">IF(AND(BK43=1,BK44&lt;=ROUNDUP(1/Input!$H$146,0)),MIN($D$53*Input!$H$80*Input!$H$146,MAX($D$53*Input!$H$80-$D$53*Input!$H$80*Input!$H$146*(BK44-1),0)),0)</f>
        <v>0</v>
      </c>
      <c r="BL89" s="48" t="n">
        <f aca="false">IF(AND(BL43=1,BL44&lt;=ROUNDUP(1/Input!$H$146,0)),MIN($D$53*Input!$H$80*Input!$H$146,MAX($D$53*Input!$H$80-$D$53*Input!$H$80*Input!$H$146*(BL44-1),0)),0)</f>
        <v>0</v>
      </c>
      <c r="BM89" s="48" t="n">
        <f aca="false">IF(AND(BM43=1,BM44&lt;=ROUNDUP(1/Input!$H$146,0)),MIN($D$53*Input!$H$80*Input!$H$146,MAX($D$53*Input!$H$80-$D$53*Input!$H$80*Input!$H$146*(BM44-1),0)),0)</f>
        <v>0</v>
      </c>
      <c r="BN89" s="48" t="n">
        <f aca="false">IF(AND(BN43=1,BN44&lt;=ROUNDUP(1/Input!$H$146,0)),MIN($D$53*Input!$H$80*Input!$H$146,MAX($D$53*Input!$H$80-$D$53*Input!$H$80*Input!$H$146*(BN44-1),0)),0)</f>
        <v>0</v>
      </c>
      <c r="BO89" s="48" t="n">
        <f aca="false">IF(AND(BO43=1,BO44&lt;=ROUNDUP(1/Input!$H$146,0)),MIN($D$53*Input!$H$80*Input!$H$146,MAX($D$53*Input!$H$80-$D$53*Input!$H$80*Input!$H$146*(BO44-1),0)),0)</f>
        <v>0</v>
      </c>
      <c r="BP89" s="48" t="n">
        <f aca="false">IF(AND(BP43=1,BP44&lt;=ROUNDUP(1/Input!$H$146,0)),MIN($D$53*Input!$H$80*Input!$H$146,MAX($D$53*Input!$H$80-$D$53*Input!$H$80*Input!$H$146*(BP44-1),0)),0)</f>
        <v>0</v>
      </c>
      <c r="BQ89" s="48" t="n">
        <f aca="false">IF(AND(BQ43=1,BQ44&lt;=ROUNDUP(1/Input!$H$146,0)),MIN($D$53*Input!$H$80*Input!$H$146,MAX($D$53*Input!$H$80-$D$53*Input!$H$80*Input!$H$146*(BQ44-1),0)),0)</f>
        <v>0</v>
      </c>
      <c r="BR89" s="48" t="n">
        <f aca="false">IF(AND(BR43=1,BR44&lt;=ROUNDUP(1/Input!$H$146,0)),MIN($D$53*Input!$H$80*Input!$H$146,MAX($D$53*Input!$H$80-$D$53*Input!$H$80*Input!$H$146*(BR44-1),0)),0)</f>
        <v>0</v>
      </c>
      <c r="BS89" s="48" t="n">
        <f aca="false">IF(AND(BS43=1,BS44&lt;=ROUNDUP(1/Input!$H$146,0)),MIN($D$53*Input!$H$80*Input!$H$146,MAX($D$53*Input!$H$80-$D$53*Input!$H$80*Input!$H$146*(BS44-1),0)),0)</f>
        <v>0</v>
      </c>
      <c r="BT89" s="48" t="n">
        <f aca="false">IF(AND(BT43=1,BT44&lt;=ROUNDUP(1/Input!$H$146,0)),MIN($D$53*Input!$H$80*Input!$H$146,MAX($D$53*Input!$H$80-$D$53*Input!$H$80*Input!$H$146*(BT44-1),0)),0)</f>
        <v>0</v>
      </c>
      <c r="BU89" s="48" t="n">
        <f aca="false">IF(AND(BU43=1,BU44&lt;=ROUNDUP(1/Input!$H$146,0)),MIN($D$53*Input!$H$80*Input!$H$146,MAX($D$53*Input!$H$80-$D$53*Input!$H$80*Input!$H$146*(BU44-1),0)),0)</f>
        <v>0</v>
      </c>
      <c r="BV89" s="48" t="n">
        <f aca="false">IF(AND(BV43=1,BV44&lt;=ROUNDUP(1/Input!$H$146,0)),MIN($D$53*Input!$H$80*Input!$H$146,MAX($D$53*Input!$H$80-$D$53*Input!$H$80*Input!$H$146*(BV44-1),0)),0)</f>
        <v>0</v>
      </c>
      <c r="BW89" s="48" t="n">
        <f aca="false">IF(AND(BW43=1,BW44&lt;=ROUNDUP(1/Input!$H$146,0)),MIN($D$53*Input!$H$80*Input!$H$146,MAX($D$53*Input!$H$80-$D$53*Input!$H$80*Input!$H$146*(BW44-1),0)),0)</f>
        <v>0</v>
      </c>
      <c r="BX89" s="48" t="n">
        <f aca="false">IF(AND(BX43=1,BX44&lt;=ROUNDUP(1/Input!$H$146,0)),MIN($D$53*Input!$H$80*Input!$H$146,MAX($D$53*Input!$H$80-$D$53*Input!$H$80*Input!$H$146*(BX44-1),0)),0)</f>
        <v>0</v>
      </c>
    </row>
    <row r="90" customFormat="false" ht="15" hidden="false" customHeight="false" outlineLevel="0" collapsed="false">
      <c r="A90" s="1"/>
      <c r="B90" s="4" t="s">
        <v>353</v>
      </c>
      <c r="C90" s="8" t="s">
        <v>126</v>
      </c>
      <c r="D90" s="44" t="n">
        <f aca="false">SUM(G90:BX90)</f>
        <v>12575</v>
      </c>
      <c r="E90" s="1"/>
      <c r="F90" s="1"/>
      <c r="G90" s="44" t="n">
        <f aca="false">G85+G86+G87+G88+G89</f>
        <v>0</v>
      </c>
      <c r="H90" s="44" t="n">
        <f aca="false">H85+H86+H87+H88+H89</f>
        <v>0</v>
      </c>
      <c r="I90" s="44" t="n">
        <f aca="false">I85+I86+I87+I88+I89</f>
        <v>0</v>
      </c>
      <c r="J90" s="44" t="n">
        <f aca="false">J85+J86+J87+J88+J89</f>
        <v>0</v>
      </c>
      <c r="K90" s="44" t="n">
        <f aca="false">K85+K86+K87+K88+K89</f>
        <v>0</v>
      </c>
      <c r="L90" s="44" t="n">
        <f aca="false">L85+L86+L87+L88+L89</f>
        <v>0</v>
      </c>
      <c r="M90" s="44" t="n">
        <f aca="false">M85+M86+M87+M88+M89</f>
        <v>0</v>
      </c>
      <c r="N90" s="44" t="n">
        <f aca="false">N85+N86+N87+N88+N89</f>
        <v>0</v>
      </c>
      <c r="O90" s="44" t="n">
        <f aca="false">O85+O86+O87+O88+O89</f>
        <v>977.70625</v>
      </c>
      <c r="P90" s="44" t="n">
        <f aca="false">P85+P86+P87+P88+P89</f>
        <v>977.70625</v>
      </c>
      <c r="Q90" s="44" t="n">
        <f aca="false">Q85+Q86+Q87+Q88+Q89</f>
        <v>977.70625</v>
      </c>
      <c r="R90" s="44" t="n">
        <f aca="false">R85+R86+R87+R88+R89</f>
        <v>977.70625</v>
      </c>
      <c r="S90" s="44" t="n">
        <f aca="false">S85+S86+S87+S88+S89</f>
        <v>977.70625</v>
      </c>
      <c r="T90" s="44" t="n">
        <f aca="false">T85+T86+T87+T88+T89</f>
        <v>977.70625</v>
      </c>
      <c r="U90" s="44" t="n">
        <f aca="false">U85+U86+U87+U88+U89</f>
        <v>977.70625</v>
      </c>
      <c r="V90" s="44" t="n">
        <f aca="false">V85+V86+V87+V88+V89</f>
        <v>600.45625</v>
      </c>
      <c r="W90" s="44" t="n">
        <f aca="false">W85+W86+W87+W88+W89</f>
        <v>537.58125</v>
      </c>
      <c r="X90" s="44" t="n">
        <f aca="false">X85+X86+X87+X88+X89</f>
        <v>537.58125</v>
      </c>
      <c r="Y90" s="44" t="n">
        <f aca="false">Y85+Y86+Y87+Y88+Y89</f>
        <v>411.83125</v>
      </c>
      <c r="Z90" s="44" t="n">
        <f aca="false">Z85+Z86+Z87+Z88+Z89</f>
        <v>411.83125</v>
      </c>
      <c r="AA90" s="44" t="n">
        <f aca="false">AA85+AA86+AA87+AA88+AA89</f>
        <v>411.83125</v>
      </c>
      <c r="AB90" s="44" t="n">
        <f aca="false">AB85+AB86+AB87+AB88+AB89</f>
        <v>411.83125</v>
      </c>
      <c r="AC90" s="44" t="n">
        <f aca="false">AC85+AC86+AC87+AC88+AC89</f>
        <v>223.206249999999</v>
      </c>
      <c r="AD90" s="44" t="n">
        <f aca="false">AD85+AD86+AD87+AD88+AD89</f>
        <v>147.75625</v>
      </c>
      <c r="AE90" s="44" t="n">
        <f aca="false">AE85+AE86+AE87+AE88+AE89</f>
        <v>147.75625</v>
      </c>
      <c r="AF90" s="44" t="n">
        <f aca="false">AF85+AF86+AF87+AF88+AF89</f>
        <v>147.75625</v>
      </c>
      <c r="AG90" s="44" t="n">
        <f aca="false">AG85+AG86+AG87+AG88+AG89</f>
        <v>147.75625</v>
      </c>
      <c r="AH90" s="44" t="n">
        <f aca="false">AH85+AH86+AH87+AH88+AH89</f>
        <v>147.75625</v>
      </c>
      <c r="AI90" s="44" t="n">
        <f aca="false">AI85+AI86+AI87+AI88+AI89</f>
        <v>147.75625</v>
      </c>
      <c r="AJ90" s="44" t="n">
        <f aca="false">AJ85+AJ86+AJ87+AJ88+AJ89</f>
        <v>147.75625</v>
      </c>
      <c r="AK90" s="44" t="n">
        <f aca="false">AK85+AK86+AK87+AK88+AK89</f>
        <v>81.7375000000002</v>
      </c>
      <c r="AL90" s="44" t="n">
        <f aca="false">AL85+AL86+AL87+AL88+AL89</f>
        <v>62.875</v>
      </c>
      <c r="AM90" s="44" t="n">
        <f aca="false">AM85+AM86+AM87+AM88+AM89</f>
        <v>62.875</v>
      </c>
      <c r="AN90" s="44" t="n">
        <f aca="false">AN85+AN86+AN87+AN88+AN89</f>
        <v>62.875</v>
      </c>
      <c r="AO90" s="44" t="n">
        <f aca="false">AO85+AO86+AO87+AO88+AO89</f>
        <v>62.875</v>
      </c>
      <c r="AP90" s="44" t="n">
        <f aca="false">AP85+AP86+AP87+AP88+AP89</f>
        <v>62.875</v>
      </c>
      <c r="AQ90" s="44" t="n">
        <f aca="false">AQ85+AQ86+AQ87+AQ88+AQ89</f>
        <v>62.875</v>
      </c>
      <c r="AR90" s="44" t="n">
        <f aca="false">AR85+AR86+AR87+AR88+AR89</f>
        <v>62.875</v>
      </c>
      <c r="AS90" s="44" t="n">
        <f aca="false">AS85+AS86+AS87+AS88+AS89</f>
        <v>62.875</v>
      </c>
      <c r="AT90" s="44" t="n">
        <f aca="false">AT85+AT86+AT87+AT88+AT89</f>
        <v>62.875</v>
      </c>
      <c r="AU90" s="44" t="n">
        <f aca="false">AU85+AU86+AU87+AU88+AU89</f>
        <v>62.875</v>
      </c>
      <c r="AV90" s="44" t="n">
        <f aca="false">AV85+AV86+AV87+AV88+AV89</f>
        <v>62.875</v>
      </c>
      <c r="AW90" s="44" t="n">
        <f aca="false">AW85+AW86+AW87+AW88+AW89</f>
        <v>62.875</v>
      </c>
      <c r="AX90" s="44" t="n">
        <f aca="false">AX85+AX86+AX87+AX88+AX89</f>
        <v>62.875</v>
      </c>
      <c r="AY90" s="44" t="n">
        <f aca="false">AY85+AY86+AY87+AY88+AY89</f>
        <v>62.875</v>
      </c>
      <c r="AZ90" s="44" t="n">
        <f aca="false">AZ85+AZ86+AZ87+AZ88+AZ89</f>
        <v>62.875</v>
      </c>
      <c r="BA90" s="44" t="n">
        <f aca="false">BA85+BA86+BA87+BA88+BA89</f>
        <v>62.875</v>
      </c>
      <c r="BB90" s="44" t="n">
        <f aca="false">BB85+BB86+BB87+BB88+BB89</f>
        <v>62.875</v>
      </c>
      <c r="BC90" s="44" t="n">
        <f aca="false">BC85+BC86+BC87+BC88+BC89</f>
        <v>0</v>
      </c>
      <c r="BD90" s="44" t="n">
        <f aca="false">BD85+BD86+BD87+BD88+BD89</f>
        <v>0</v>
      </c>
      <c r="BE90" s="44" t="n">
        <f aca="false">BE85+BE86+BE87+BE88+BE89</f>
        <v>0</v>
      </c>
      <c r="BF90" s="44" t="n">
        <f aca="false">BF85+BF86+BF87+BF88+BF89</f>
        <v>0</v>
      </c>
      <c r="BG90" s="44" t="n">
        <f aca="false">BG85+BG86+BG87+BG88+BG89</f>
        <v>0</v>
      </c>
      <c r="BH90" s="44" t="n">
        <f aca="false">BH85+BH86+BH87+BH88+BH89</f>
        <v>0</v>
      </c>
      <c r="BI90" s="44" t="n">
        <f aca="false">BI85+BI86+BI87+BI88+BI89</f>
        <v>0</v>
      </c>
      <c r="BJ90" s="44" t="n">
        <f aca="false">BJ85+BJ86+BJ87+BJ88+BJ89</f>
        <v>0</v>
      </c>
      <c r="BK90" s="44" t="n">
        <f aca="false">BK85+BK86+BK87+BK88+BK89</f>
        <v>0</v>
      </c>
      <c r="BL90" s="44" t="n">
        <f aca="false">BL85+BL86+BL87+BL88+BL89</f>
        <v>0</v>
      </c>
      <c r="BM90" s="44" t="n">
        <f aca="false">BM85+BM86+BM87+BM88+BM89</f>
        <v>0</v>
      </c>
      <c r="BN90" s="44" t="n">
        <f aca="false">BN85+BN86+BN87+BN88+BN89</f>
        <v>0</v>
      </c>
      <c r="BO90" s="44" t="n">
        <f aca="false">BO85+BO86+BO87+BO88+BO89</f>
        <v>0</v>
      </c>
      <c r="BP90" s="44" t="n">
        <f aca="false">BP85+BP86+BP87+BP88+BP89</f>
        <v>0</v>
      </c>
      <c r="BQ90" s="44" t="n">
        <f aca="false">BQ85+BQ86+BQ87+BQ88+BQ89</f>
        <v>0</v>
      </c>
      <c r="BR90" s="44" t="n">
        <f aca="false">BR85+BR86+BR87+BR88+BR89</f>
        <v>0</v>
      </c>
      <c r="BS90" s="44" t="n">
        <f aca="false">BS85+BS86+BS87+BS88+BS89</f>
        <v>0</v>
      </c>
      <c r="BT90" s="44" t="n">
        <f aca="false">BT85+BT86+BT87+BT88+BT89</f>
        <v>0</v>
      </c>
      <c r="BU90" s="44" t="n">
        <f aca="false">BU85+BU86+BU87+BU88+BU89</f>
        <v>0</v>
      </c>
      <c r="BV90" s="44" t="n">
        <f aca="false">BV85+BV86+BV87+BV88+BV89</f>
        <v>0</v>
      </c>
      <c r="BW90" s="44" t="n">
        <f aca="false">BW85+BW86+BW87+BW88+BW89</f>
        <v>0</v>
      </c>
      <c r="BX90" s="44" t="n">
        <f aca="false">BX85+BX86+BX87+BX88+BX89</f>
        <v>0</v>
      </c>
    </row>
    <row r="91" customFormat="false" ht="15" hidden="false" customHeight="false" outlineLevel="0" collapsed="false">
      <c r="A91" s="1"/>
      <c r="B91" s="8" t="s">
        <v>354</v>
      </c>
      <c r="C91" s="8" t="s">
        <v>126</v>
      </c>
      <c r="D91" s="44" t="n">
        <f aca="false">SUM(G91:BX91)</f>
        <v>32568.477803206</v>
      </c>
      <c r="E91" s="1"/>
      <c r="F91" s="1"/>
      <c r="G91" s="48" t="n">
        <f aca="false">G81-G90-G82</f>
        <v>0</v>
      </c>
      <c r="H91" s="48" t="n">
        <f aca="false">H81-H90-H82</f>
        <v>0</v>
      </c>
      <c r="I91" s="48" t="n">
        <f aca="false">I81-I90-I82</f>
        <v>0</v>
      </c>
      <c r="J91" s="48" t="n">
        <f aca="false">J81-J90-J82</f>
        <v>0</v>
      </c>
      <c r="K91" s="48" t="n">
        <f aca="false">K81-K90-K82</f>
        <v>0</v>
      </c>
      <c r="L91" s="48" t="n">
        <f aca="false">L81-L90-L82</f>
        <v>0</v>
      </c>
      <c r="M91" s="48" t="n">
        <f aca="false">M81-M90-M82</f>
        <v>0</v>
      </c>
      <c r="N91" s="48" t="n">
        <f aca="false">N81-N90-N82</f>
        <v>0</v>
      </c>
      <c r="O91" s="48" t="n">
        <f aca="false">O81-O90-O82</f>
        <v>-296.260665124</v>
      </c>
      <c r="P91" s="48" t="n">
        <f aca="false">P81-P90-P82</f>
        <v>-338.18568916</v>
      </c>
      <c r="Q91" s="48" t="n">
        <f aca="false">Q81-Q90-Q82</f>
        <v>-338.18568916</v>
      </c>
      <c r="R91" s="48" t="n">
        <f aca="false">R81-R90-R82</f>
        <v>-185.701869862</v>
      </c>
      <c r="S91" s="48" t="n">
        <f aca="false">S81-S90-S82</f>
        <v>-228.96492658</v>
      </c>
      <c r="T91" s="48" t="n">
        <f aca="false">T81-T90-T82</f>
        <v>-228.96492658</v>
      </c>
      <c r="U91" s="48" t="n">
        <f aca="false">U81-U90-U82</f>
        <v>-185.701869862</v>
      </c>
      <c r="V91" s="48" t="n">
        <f aca="false">V81-V90-V82</f>
        <v>148.285073420001</v>
      </c>
      <c r="W91" s="48" t="n">
        <f aca="false">W81-W90-W82</f>
        <v>211.16007342</v>
      </c>
      <c r="X91" s="48" t="n">
        <f aca="false">X81-X90-X82</f>
        <v>182.318035608</v>
      </c>
      <c r="Y91" s="48" t="n">
        <f aca="false">Y81-Y90-Y82</f>
        <v>336.91007342</v>
      </c>
      <c r="Z91" s="48" t="n">
        <f aca="false">Z81-Z90-Z82</f>
        <v>336.91007342</v>
      </c>
      <c r="AA91" s="48" t="n">
        <f aca="false">AA81-AA90-AA82</f>
        <v>380.173130138</v>
      </c>
      <c r="AB91" s="48" t="n">
        <f aca="false">AB81-AB90-AB82</f>
        <v>336.91007342</v>
      </c>
      <c r="AC91" s="48" t="n">
        <f aca="false">AC81-AC90-AC82</f>
        <v>525.535073420001</v>
      </c>
      <c r="AD91" s="48" t="n">
        <f aca="false">AD81-AD90-AD82</f>
        <v>644.248130138</v>
      </c>
      <c r="AE91" s="48" t="n">
        <f aca="false">AE81-AE90-AE82</f>
        <v>600.98507342</v>
      </c>
      <c r="AF91" s="48" t="n">
        <f aca="false">AF81-AF90-AF82</f>
        <v>600.98507342</v>
      </c>
      <c r="AG91" s="48" t="n">
        <f aca="false">AG81-AG90-AG82</f>
        <v>644.248130138</v>
      </c>
      <c r="AH91" s="48" t="n">
        <f aca="false">AH81-AH90-AH82</f>
        <v>557.722016702</v>
      </c>
      <c r="AI91" s="48" t="n">
        <f aca="false">AI81-AI90-AI82</f>
        <v>600.98507342</v>
      </c>
      <c r="AJ91" s="48" t="n">
        <f aca="false">AJ81-AJ90-AJ82</f>
        <v>644.248130138</v>
      </c>
      <c r="AK91" s="48" t="n">
        <f aca="false">AK81-AK90-AK82</f>
        <v>667.00382342</v>
      </c>
      <c r="AL91" s="48" t="n">
        <f aca="false">AL81-AL90-AL82</f>
        <v>685.86632342</v>
      </c>
      <c r="AM91" s="48" t="n">
        <f aca="false">AM81-AM90-AM82</f>
        <v>729.129380138</v>
      </c>
      <c r="AN91" s="48" t="n">
        <f aca="false">AN81-AN90-AN82</f>
        <v>685.86632342</v>
      </c>
      <c r="AO91" s="48" t="n">
        <f aca="false">AO81-AO90-AO82</f>
        <v>685.86632342</v>
      </c>
      <c r="AP91" s="48" t="n">
        <f aca="false">AP81-AP90-AP82</f>
        <v>729.129380138</v>
      </c>
      <c r="AQ91" s="48" t="n">
        <f aca="false">AQ81-AQ90-AQ82</f>
        <v>685.86632342</v>
      </c>
      <c r="AR91" s="48" t="n">
        <f aca="false">AR81-AR90-AR82</f>
        <v>642.603266702</v>
      </c>
      <c r="AS91" s="48" t="n">
        <f aca="false">AS81-AS90-AS82</f>
        <v>729.129380138</v>
      </c>
      <c r="AT91" s="48" t="n">
        <f aca="false">AT81-AT90-AT82</f>
        <v>685.86632342</v>
      </c>
      <c r="AU91" s="48" t="n">
        <f aca="false">AU81-AU90-AU82</f>
        <v>685.86632342</v>
      </c>
      <c r="AV91" s="48" t="n">
        <f aca="false">AV81-AV90-AV82</f>
        <v>729.129380138</v>
      </c>
      <c r="AW91" s="48" t="n">
        <f aca="false">AW81-AW90-AW82</f>
        <v>685.86632342</v>
      </c>
      <c r="AX91" s="48" t="n">
        <f aca="false">AX81-AX90-AX82</f>
        <v>685.86632342</v>
      </c>
      <c r="AY91" s="48" t="n">
        <f aca="false">AY81-AY90-AY82</f>
        <v>729.129380138</v>
      </c>
      <c r="AZ91" s="48" t="n">
        <f aca="false">AZ81-AZ90-AZ82</f>
        <v>685.86632342</v>
      </c>
      <c r="BA91" s="48" t="n">
        <f aca="false">BA81-BA90-BA82</f>
        <v>685.86632342</v>
      </c>
      <c r="BB91" s="48" t="n">
        <f aca="false">BB81-BB90-BB82</f>
        <v>657.024285608</v>
      </c>
      <c r="BC91" s="48" t="n">
        <f aca="false">BC81-BC90-BC82</f>
        <v>748.74132342</v>
      </c>
      <c r="BD91" s="48" t="n">
        <f aca="false">BD81-BD90-BD82</f>
        <v>748.74132342</v>
      </c>
      <c r="BE91" s="48" t="n">
        <f aca="false">BE81-BE90-BE82</f>
        <v>792.004380138</v>
      </c>
      <c r="BF91" s="48" t="n">
        <f aca="false">BF81-BF90-BF82</f>
        <v>748.74132342</v>
      </c>
      <c r="BG91" s="48" t="n">
        <f aca="false">BG81-BG90-BG82</f>
        <v>748.74132342</v>
      </c>
      <c r="BH91" s="48" t="n">
        <f aca="false">BH81-BH90-BH82</f>
        <v>792.004380138</v>
      </c>
      <c r="BI91" s="48" t="n">
        <f aca="false">BI81-BI90-BI82</f>
        <v>748.74132342</v>
      </c>
      <c r="BJ91" s="48" t="n">
        <f aca="false">BJ81-BJ90-BJ82</f>
        <v>748.74132342</v>
      </c>
      <c r="BK91" s="48" t="n">
        <f aca="false">BK81-BK90-BK82</f>
        <v>792.004380138</v>
      </c>
      <c r="BL91" s="48" t="n">
        <f aca="false">BL81-BL90-BL82</f>
        <v>705.478266702</v>
      </c>
      <c r="BM91" s="48" t="n">
        <f aca="false">BM81-BM90-BM82</f>
        <v>748.74132342</v>
      </c>
      <c r="BN91" s="48" t="n">
        <f aca="false">BN81-BN90-BN82</f>
        <v>792.004380138</v>
      </c>
      <c r="BO91" s="48" t="n">
        <f aca="false">BO81-BO90-BO82</f>
        <v>748.74132342</v>
      </c>
      <c r="BP91" s="48" t="n">
        <f aca="false">BP81-BP90-BP82</f>
        <v>748.74132342</v>
      </c>
      <c r="BQ91" s="48" t="n">
        <f aca="false">BQ81-BQ90-BQ82</f>
        <v>792.004380138</v>
      </c>
      <c r="BR91" s="48" t="n">
        <f aca="false">BR81-BR90-BR82</f>
        <v>748.74132342</v>
      </c>
      <c r="BS91" s="48" t="n">
        <f aca="false">BS81-BS90-BS82</f>
        <v>748.74132342</v>
      </c>
      <c r="BT91" s="48" t="n">
        <f aca="false">BT81-BT90-BT82</f>
        <v>792.004380138</v>
      </c>
      <c r="BU91" s="48" t="n">
        <f aca="false">BU81-BU90-BU82</f>
        <v>748.74132342</v>
      </c>
      <c r="BV91" s="48" t="n">
        <f aca="false">BV81-BV90-BV82</f>
        <v>705.478266702</v>
      </c>
      <c r="BW91" s="48" t="n">
        <f aca="false">BW81-BW90-BW82</f>
        <v>0</v>
      </c>
      <c r="BX91" s="48" t="n">
        <f aca="false">BX81-BX90-BX82</f>
        <v>0</v>
      </c>
    </row>
    <row r="92" customFormat="false" ht="15" hidden="false" customHeight="false" outlineLevel="0" collapsed="false">
      <c r="A92" s="1"/>
      <c r="B92" s="8" t="s">
        <v>355</v>
      </c>
      <c r="C92" s="8" t="s">
        <v>126</v>
      </c>
      <c r="D92" s="1"/>
      <c r="E92" s="1"/>
      <c r="F92" s="1"/>
      <c r="G92" s="48" t="n">
        <f aca="false">0</f>
        <v>0</v>
      </c>
      <c r="H92" s="48" t="n">
        <f aca="false">IF(H91&gt;0,MIN(G93,0.5*H91),0)</f>
        <v>0</v>
      </c>
      <c r="I92" s="48" t="n">
        <f aca="false">IF(I91&gt;0,MIN(H93,0.5*I91),0)</f>
        <v>0</v>
      </c>
      <c r="J92" s="48" t="n">
        <f aca="false">IF(J91&gt;0,MIN(I93,0.5*J91),0)</f>
        <v>0</v>
      </c>
      <c r="K92" s="48" t="n">
        <f aca="false">IF(K91&gt;0,MIN(J93,0.5*K91),0)</f>
        <v>0</v>
      </c>
      <c r="L92" s="48" t="n">
        <f aca="false">IF(L91&gt;0,MIN(K93,0.5*L91),0)</f>
        <v>0</v>
      </c>
      <c r="M92" s="48" t="n">
        <f aca="false">IF(M91&gt;0,MIN(L93,0.5*M91),0)</f>
        <v>0</v>
      </c>
      <c r="N92" s="48" t="n">
        <f aca="false">IF(N91&gt;0,MIN(M93,0.5*N91),0)</f>
        <v>0</v>
      </c>
      <c r="O92" s="48" t="n">
        <f aca="false">IF(O91&gt;0,MIN(N93,0.5*O91),0)</f>
        <v>0</v>
      </c>
      <c r="P92" s="48" t="n">
        <f aca="false">IF(P91&gt;0,MIN(O93,0.5*P91),0)</f>
        <v>0</v>
      </c>
      <c r="Q92" s="48" t="n">
        <f aca="false">IF(Q91&gt;0,MIN(P93,0.5*Q91),0)</f>
        <v>0</v>
      </c>
      <c r="R92" s="48" t="n">
        <f aca="false">IF(R91&gt;0,MIN(Q93,0.5*R91),0)</f>
        <v>0</v>
      </c>
      <c r="S92" s="48" t="n">
        <f aca="false">IF(S91&gt;0,MIN(R93,0.5*S91),0)</f>
        <v>0</v>
      </c>
      <c r="T92" s="48" t="n">
        <f aca="false">IF(T91&gt;0,MIN(S93,0.5*T91),0)</f>
        <v>0</v>
      </c>
      <c r="U92" s="48" t="n">
        <f aca="false">IF(U91&gt;0,MIN(T93,0.5*U91),0)</f>
        <v>0</v>
      </c>
      <c r="V92" s="48" t="n">
        <f aca="false">IF(V91&gt;0,MIN(U93,0.5*V91),0)</f>
        <v>74.1425367100003</v>
      </c>
      <c r="W92" s="48" t="n">
        <f aca="false">IF(W91&gt;0,MIN(V93,0.5*W91),0)</f>
        <v>105.58003671</v>
      </c>
      <c r="X92" s="48" t="n">
        <f aca="false">IF(X91&gt;0,MIN(W93,0.5*X91),0)</f>
        <v>91.1590178039999</v>
      </c>
      <c r="Y92" s="48" t="n">
        <f aca="false">IF(Y91&gt;0,MIN(X93,0.5*Y91),0)</f>
        <v>168.45503671</v>
      </c>
      <c r="Z92" s="48" t="n">
        <f aca="false">IF(Z91&gt;0,MIN(Y93,0.5*Z91),0)</f>
        <v>168.45503671</v>
      </c>
      <c r="AA92" s="48" t="n">
        <f aca="false">IF(AA91&gt;0,MIN(Z93,0.5*AA91),0)</f>
        <v>190.086565069</v>
      </c>
      <c r="AB92" s="48" t="n">
        <f aca="false">IF(AB91&gt;0,MIN(AA93,0.5*AB91),0)</f>
        <v>168.45503671</v>
      </c>
      <c r="AC92" s="48" t="n">
        <f aca="false">IF(AC91&gt;0,MIN(AB93,0.5*AC91),0)</f>
        <v>262.76753671</v>
      </c>
      <c r="AD92" s="48" t="n">
        <f aca="false">IF(AD91&gt;0,MIN(AC93,0.5*AD91),0)</f>
        <v>322.124065069</v>
      </c>
      <c r="AE92" s="48" t="n">
        <f aca="false">IF(AE91&gt;0,MIN(AD93,0.5*AE91),0)</f>
        <v>250.740768125999</v>
      </c>
      <c r="AF92" s="48" t="n">
        <f aca="false">IF(AF91&gt;0,MIN(AE93,0.5*AF91),0)</f>
        <v>0</v>
      </c>
      <c r="AG92" s="48" t="n">
        <f aca="false">IF(AG91&gt;0,MIN(AF93,0.5*AG91),0)</f>
        <v>0</v>
      </c>
      <c r="AH92" s="48" t="n">
        <f aca="false">IF(AH91&gt;0,MIN(AG93,0.5*AH91),0)</f>
        <v>0</v>
      </c>
      <c r="AI92" s="48" t="n">
        <f aca="false">IF(AI91&gt;0,MIN(AH93,0.5*AI91),0)</f>
        <v>0</v>
      </c>
      <c r="AJ92" s="48" t="n">
        <f aca="false">IF(AJ91&gt;0,MIN(AI93,0.5*AJ91),0)</f>
        <v>0</v>
      </c>
      <c r="AK92" s="48" t="n">
        <f aca="false">IF(AK91&gt;0,MIN(AJ93,0.5*AK91),0)</f>
        <v>0</v>
      </c>
      <c r="AL92" s="48" t="n">
        <f aca="false">IF(AL91&gt;0,MIN(AK93,0.5*AL91),0)</f>
        <v>0</v>
      </c>
      <c r="AM92" s="48" t="n">
        <f aca="false">IF(AM91&gt;0,MIN(AL93,0.5*AM91),0)</f>
        <v>0</v>
      </c>
      <c r="AN92" s="48" t="n">
        <f aca="false">IF(AN91&gt;0,MIN(AM93,0.5*AN91),0)</f>
        <v>0</v>
      </c>
      <c r="AO92" s="48" t="n">
        <f aca="false">IF(AO91&gt;0,MIN(AN93,0.5*AO91),0)</f>
        <v>0</v>
      </c>
      <c r="AP92" s="48" t="n">
        <f aca="false">IF(AP91&gt;0,MIN(AO93,0.5*AP91),0)</f>
        <v>0</v>
      </c>
      <c r="AQ92" s="48" t="n">
        <f aca="false">IF(AQ91&gt;0,MIN(AP93,0.5*AQ91),0)</f>
        <v>0</v>
      </c>
      <c r="AR92" s="48" t="n">
        <f aca="false">IF(AR91&gt;0,MIN(AQ93,0.5*AR91),0)</f>
        <v>0</v>
      </c>
      <c r="AS92" s="48" t="n">
        <f aca="false">IF(AS91&gt;0,MIN(AR93,0.5*AS91),0)</f>
        <v>0</v>
      </c>
      <c r="AT92" s="48" t="n">
        <f aca="false">IF(AT91&gt;0,MIN(AS93,0.5*AT91),0)</f>
        <v>0</v>
      </c>
      <c r="AU92" s="48" t="n">
        <f aca="false">IF(AU91&gt;0,MIN(AT93,0.5*AU91),0)</f>
        <v>0</v>
      </c>
      <c r="AV92" s="48" t="n">
        <f aca="false">IF(AV91&gt;0,MIN(AU93,0.5*AV91),0)</f>
        <v>0</v>
      </c>
      <c r="AW92" s="48" t="n">
        <f aca="false">IF(AW91&gt;0,MIN(AV93,0.5*AW91),0)</f>
        <v>0</v>
      </c>
      <c r="AX92" s="48" t="n">
        <f aca="false">IF(AX91&gt;0,MIN(AW93,0.5*AX91),0)</f>
        <v>0</v>
      </c>
      <c r="AY92" s="48" t="n">
        <f aca="false">IF(AY91&gt;0,MIN(AX93,0.5*AY91),0)</f>
        <v>0</v>
      </c>
      <c r="AZ92" s="48" t="n">
        <f aca="false">IF(AZ91&gt;0,MIN(AY93,0.5*AZ91),0)</f>
        <v>0</v>
      </c>
      <c r="BA92" s="48" t="n">
        <f aca="false">IF(BA91&gt;0,MIN(AZ93,0.5*BA91),0)</f>
        <v>0</v>
      </c>
      <c r="BB92" s="48" t="n">
        <f aca="false">IF(BB91&gt;0,MIN(BA93,0.5*BB91),0)</f>
        <v>0</v>
      </c>
      <c r="BC92" s="48" t="n">
        <f aca="false">IF(BC91&gt;0,MIN(BB93,0.5*BC91),0)</f>
        <v>0</v>
      </c>
      <c r="BD92" s="48" t="n">
        <f aca="false">IF(BD91&gt;0,MIN(BC93,0.5*BD91),0)</f>
        <v>0</v>
      </c>
      <c r="BE92" s="48" t="n">
        <f aca="false">IF(BE91&gt;0,MIN(BD93,0.5*BE91),0)</f>
        <v>0</v>
      </c>
      <c r="BF92" s="48" t="n">
        <f aca="false">IF(BF91&gt;0,MIN(BE93,0.5*BF91),0)</f>
        <v>0</v>
      </c>
      <c r="BG92" s="48" t="n">
        <f aca="false">IF(BG91&gt;0,MIN(BF93,0.5*BG91),0)</f>
        <v>0</v>
      </c>
      <c r="BH92" s="48" t="n">
        <f aca="false">IF(BH91&gt;0,MIN(BG93,0.5*BH91),0)</f>
        <v>0</v>
      </c>
      <c r="BI92" s="48" t="n">
        <f aca="false">IF(BI91&gt;0,MIN(BH93,0.5*BI91),0)</f>
        <v>0</v>
      </c>
      <c r="BJ92" s="48" t="n">
        <f aca="false">IF(BJ91&gt;0,MIN(BI93,0.5*BJ91),0)</f>
        <v>0</v>
      </c>
      <c r="BK92" s="48" t="n">
        <f aca="false">IF(BK91&gt;0,MIN(BJ93,0.5*BK91),0)</f>
        <v>0</v>
      </c>
      <c r="BL92" s="48" t="n">
        <f aca="false">IF(BL91&gt;0,MIN(BK93,0.5*BL91),0)</f>
        <v>0</v>
      </c>
      <c r="BM92" s="48" t="n">
        <f aca="false">IF(BM91&gt;0,MIN(BL93,0.5*BM91),0)</f>
        <v>0</v>
      </c>
      <c r="BN92" s="48" t="n">
        <f aca="false">IF(BN91&gt;0,MIN(BM93,0.5*BN91),0)</f>
        <v>0</v>
      </c>
      <c r="BO92" s="48" t="n">
        <f aca="false">IF(BO91&gt;0,MIN(BN93,0.5*BO91),0)</f>
        <v>0</v>
      </c>
      <c r="BP92" s="48" t="n">
        <f aca="false">IF(BP91&gt;0,MIN(BO93,0.5*BP91),0)</f>
        <v>0</v>
      </c>
      <c r="BQ92" s="48" t="n">
        <f aca="false">IF(BQ91&gt;0,MIN(BP93,0.5*BQ91),0)</f>
        <v>0</v>
      </c>
      <c r="BR92" s="48" t="n">
        <f aca="false">IF(BR91&gt;0,MIN(BQ93,0.5*BR91),0)</f>
        <v>0</v>
      </c>
      <c r="BS92" s="48" t="n">
        <f aca="false">IF(BS91&gt;0,MIN(BR93,0.5*BS91),0)</f>
        <v>0</v>
      </c>
      <c r="BT92" s="48" t="n">
        <f aca="false">IF(BT91&gt;0,MIN(BS93,0.5*BT91),0)</f>
        <v>0</v>
      </c>
      <c r="BU92" s="48" t="n">
        <f aca="false">IF(BU91&gt;0,MIN(BT93,0.5*BU91),0)</f>
        <v>0</v>
      </c>
      <c r="BV92" s="48" t="n">
        <f aca="false">IF(BV91&gt;0,MIN(BU93,0.5*BV91),0)</f>
        <v>0</v>
      </c>
      <c r="BW92" s="48" t="n">
        <f aca="false">IF(BW91&gt;0,MIN(BV93,0.5*BW91),0)</f>
        <v>0</v>
      </c>
      <c r="BX92" s="48" t="n">
        <f aca="false">IF(BX91&gt;0,MIN(BW93,0.5*BX91),0)</f>
        <v>0</v>
      </c>
    </row>
    <row r="93" customFormat="false" ht="15" hidden="false" customHeight="false" outlineLevel="0" collapsed="false">
      <c r="A93" s="1"/>
      <c r="B93" s="8" t="s">
        <v>356</v>
      </c>
      <c r="C93" s="8" t="s">
        <v>126</v>
      </c>
      <c r="D93" s="1"/>
      <c r="E93" s="1"/>
      <c r="F93" s="1"/>
      <c r="G93" s="48" t="n">
        <f aca="false">MAX(-G91,0)</f>
        <v>0</v>
      </c>
      <c r="H93" s="48" t="n">
        <f aca="false">MAX(G93-H92+MAX(-H91,0),0)</f>
        <v>0</v>
      </c>
      <c r="I93" s="48" t="n">
        <f aca="false">MAX(H93-I92+MAX(-I91,0),0)</f>
        <v>0</v>
      </c>
      <c r="J93" s="48" t="n">
        <f aca="false">MAX(I93-J92+MAX(-J91,0),0)</f>
        <v>0</v>
      </c>
      <c r="K93" s="48" t="n">
        <f aca="false">MAX(J93-K92+MAX(-K91,0),0)</f>
        <v>0</v>
      </c>
      <c r="L93" s="48" t="n">
        <f aca="false">MAX(K93-L92+MAX(-L91,0),0)</f>
        <v>0</v>
      </c>
      <c r="M93" s="48" t="n">
        <f aca="false">MAX(L93-M92+MAX(-M91,0),0)</f>
        <v>0</v>
      </c>
      <c r="N93" s="48" t="n">
        <f aca="false">MAX(M93-N92+MAX(-N91,0),0)</f>
        <v>0</v>
      </c>
      <c r="O93" s="48" t="n">
        <f aca="false">MAX(N93-O92+MAX(-O91,0),0)</f>
        <v>296.260665124</v>
      </c>
      <c r="P93" s="48" t="n">
        <f aca="false">MAX(O93-P92+MAX(-P91,0),0)</f>
        <v>634.446354284</v>
      </c>
      <c r="Q93" s="48" t="n">
        <f aca="false">MAX(P93-Q92+MAX(-Q91,0),0)</f>
        <v>972.632043444001</v>
      </c>
      <c r="R93" s="48" t="n">
        <f aca="false">MAX(Q93-R92+MAX(-R91,0),0)</f>
        <v>1158.333913306</v>
      </c>
      <c r="S93" s="48" t="n">
        <f aca="false">MAX(R93-S92+MAX(-S91,0),0)</f>
        <v>1387.298839886</v>
      </c>
      <c r="T93" s="48" t="n">
        <f aca="false">MAX(S93-T92+MAX(-T91,0),0)</f>
        <v>1616.263766466</v>
      </c>
      <c r="U93" s="48" t="n">
        <f aca="false">MAX(T93-U92+MAX(-U91,0),0)</f>
        <v>1801.965636328</v>
      </c>
      <c r="V93" s="48" t="n">
        <f aca="false">MAX(U93-V92+MAX(-V91,0),0)</f>
        <v>1727.823099618</v>
      </c>
      <c r="W93" s="48" t="n">
        <f aca="false">MAX(V93-W92+MAX(-W91,0),0)</f>
        <v>1622.243062908</v>
      </c>
      <c r="X93" s="48" t="n">
        <f aca="false">MAX(W93-X92+MAX(-X91,0),0)</f>
        <v>1531.084045104</v>
      </c>
      <c r="Y93" s="48" t="n">
        <f aca="false">MAX(X93-Y92+MAX(-Y91,0),0)</f>
        <v>1362.629008394</v>
      </c>
      <c r="Z93" s="48" t="n">
        <f aca="false">MAX(Y93-Z92+MAX(-Z91,0),0)</f>
        <v>1194.173971684</v>
      </c>
      <c r="AA93" s="48" t="n">
        <f aca="false">MAX(Z93-AA92+MAX(-AA91,0),0)</f>
        <v>1004.087406615</v>
      </c>
      <c r="AB93" s="48" t="n">
        <f aca="false">MAX(AA93-AB92+MAX(-AB91,0),0)</f>
        <v>835.632369905</v>
      </c>
      <c r="AC93" s="48" t="n">
        <f aca="false">MAX(AB93-AC92+MAX(-AC91,0),0)</f>
        <v>572.864833194999</v>
      </c>
      <c r="AD93" s="48" t="n">
        <f aca="false">MAX(AC93-AD92+MAX(-AD91,0),0)</f>
        <v>250.740768125999</v>
      </c>
      <c r="AE93" s="48" t="n">
        <f aca="false">MAX(AD93-AE92+MAX(-AE91,0),0)</f>
        <v>0</v>
      </c>
      <c r="AF93" s="48" t="n">
        <f aca="false">MAX(AE93-AF92+MAX(-AF91,0),0)</f>
        <v>0</v>
      </c>
      <c r="AG93" s="48" t="n">
        <f aca="false">MAX(AF93-AG92+MAX(-AG91,0),0)</f>
        <v>0</v>
      </c>
      <c r="AH93" s="48" t="n">
        <f aca="false">MAX(AG93-AH92+MAX(-AH91,0),0)</f>
        <v>0</v>
      </c>
      <c r="AI93" s="48" t="n">
        <f aca="false">MAX(AH93-AI92+MAX(-AI91,0),0)</f>
        <v>0</v>
      </c>
      <c r="AJ93" s="48" t="n">
        <f aca="false">MAX(AI93-AJ92+MAX(-AJ91,0),0)</f>
        <v>0</v>
      </c>
      <c r="AK93" s="48" t="n">
        <f aca="false">MAX(AJ93-AK92+MAX(-AK91,0),0)</f>
        <v>0</v>
      </c>
      <c r="AL93" s="48" t="n">
        <f aca="false">MAX(AK93-AL92+MAX(-AL91,0),0)</f>
        <v>0</v>
      </c>
      <c r="AM93" s="48" t="n">
        <f aca="false">MAX(AL93-AM92+MAX(-AM91,0),0)</f>
        <v>0</v>
      </c>
      <c r="AN93" s="48" t="n">
        <f aca="false">MAX(AM93-AN92+MAX(-AN91,0),0)</f>
        <v>0</v>
      </c>
      <c r="AO93" s="48" t="n">
        <f aca="false">MAX(AN93-AO92+MAX(-AO91,0),0)</f>
        <v>0</v>
      </c>
      <c r="AP93" s="48" t="n">
        <f aca="false">MAX(AO93-AP92+MAX(-AP91,0),0)</f>
        <v>0</v>
      </c>
      <c r="AQ93" s="48" t="n">
        <f aca="false">MAX(AP93-AQ92+MAX(-AQ91,0),0)</f>
        <v>0</v>
      </c>
      <c r="AR93" s="48" t="n">
        <f aca="false">MAX(AQ93-AR92+MAX(-AR91,0),0)</f>
        <v>0</v>
      </c>
      <c r="AS93" s="48" t="n">
        <f aca="false">MAX(AR93-AS92+MAX(-AS91,0),0)</f>
        <v>0</v>
      </c>
      <c r="AT93" s="48" t="n">
        <f aca="false">MAX(AS93-AT92+MAX(-AT91,0),0)</f>
        <v>0</v>
      </c>
      <c r="AU93" s="48" t="n">
        <f aca="false">MAX(AT93-AU92+MAX(-AU91,0),0)</f>
        <v>0</v>
      </c>
      <c r="AV93" s="48" t="n">
        <f aca="false">MAX(AU93-AV92+MAX(-AV91,0),0)</f>
        <v>0</v>
      </c>
      <c r="AW93" s="48" t="n">
        <f aca="false">MAX(AV93-AW92+MAX(-AW91,0),0)</f>
        <v>0</v>
      </c>
      <c r="AX93" s="48" t="n">
        <f aca="false">MAX(AW93-AX92+MAX(-AX91,0),0)</f>
        <v>0</v>
      </c>
      <c r="AY93" s="48" t="n">
        <f aca="false">MAX(AX93-AY92+MAX(-AY91,0),0)</f>
        <v>0</v>
      </c>
      <c r="AZ93" s="48" t="n">
        <f aca="false">MAX(AY93-AZ92+MAX(-AZ91,0),0)</f>
        <v>0</v>
      </c>
      <c r="BA93" s="48" t="n">
        <f aca="false">MAX(AZ93-BA92+MAX(-BA91,0),0)</f>
        <v>0</v>
      </c>
      <c r="BB93" s="48" t="n">
        <f aca="false">MAX(BA93-BB92+MAX(-BB91,0),0)</f>
        <v>0</v>
      </c>
      <c r="BC93" s="48" t="n">
        <f aca="false">MAX(BB93-BC92+MAX(-BC91,0),0)</f>
        <v>0</v>
      </c>
      <c r="BD93" s="48" t="n">
        <f aca="false">MAX(BC93-BD92+MAX(-BD91,0),0)</f>
        <v>0</v>
      </c>
      <c r="BE93" s="48" t="n">
        <f aca="false">MAX(BD93-BE92+MAX(-BE91,0),0)</f>
        <v>0</v>
      </c>
      <c r="BF93" s="48" t="n">
        <f aca="false">MAX(BE93-BF92+MAX(-BF91,0),0)</f>
        <v>0</v>
      </c>
      <c r="BG93" s="48" t="n">
        <f aca="false">MAX(BF93-BG92+MAX(-BG91,0),0)</f>
        <v>0</v>
      </c>
      <c r="BH93" s="48" t="n">
        <f aca="false">MAX(BG93-BH92+MAX(-BH91,0),0)</f>
        <v>0</v>
      </c>
      <c r="BI93" s="48" t="n">
        <f aca="false">MAX(BH93-BI92+MAX(-BI91,0),0)</f>
        <v>0</v>
      </c>
      <c r="BJ93" s="48" t="n">
        <f aca="false">MAX(BI93-BJ92+MAX(-BJ91,0),0)</f>
        <v>0</v>
      </c>
      <c r="BK93" s="48" t="n">
        <f aca="false">MAX(BJ93-BK92+MAX(-BK91,0),0)</f>
        <v>0</v>
      </c>
      <c r="BL93" s="48" t="n">
        <f aca="false">MAX(BK93-BL92+MAX(-BL91,0),0)</f>
        <v>0</v>
      </c>
      <c r="BM93" s="48" t="n">
        <f aca="false">MAX(BL93-BM92+MAX(-BM91,0),0)</f>
        <v>0</v>
      </c>
      <c r="BN93" s="48" t="n">
        <f aca="false">MAX(BM93-BN92+MAX(-BN91,0),0)</f>
        <v>0</v>
      </c>
      <c r="BO93" s="48" t="n">
        <f aca="false">MAX(BN93-BO92+MAX(-BO91,0),0)</f>
        <v>0</v>
      </c>
      <c r="BP93" s="48" t="n">
        <f aca="false">MAX(BO93-BP92+MAX(-BP91,0),0)</f>
        <v>0</v>
      </c>
      <c r="BQ93" s="48" t="n">
        <f aca="false">MAX(BP93-BQ92+MAX(-BQ91,0),0)</f>
        <v>0</v>
      </c>
      <c r="BR93" s="48" t="n">
        <f aca="false">MAX(BQ93-BR92+MAX(-BR91,0),0)</f>
        <v>0</v>
      </c>
      <c r="BS93" s="48" t="n">
        <f aca="false">MAX(BR93-BS92+MAX(-BS91,0),0)</f>
        <v>0</v>
      </c>
      <c r="BT93" s="48" t="n">
        <f aca="false">MAX(BS93-BT92+MAX(-BT91,0),0)</f>
        <v>0</v>
      </c>
      <c r="BU93" s="48" t="n">
        <f aca="false">MAX(BT93-BU92+MAX(-BU91,0),0)</f>
        <v>0</v>
      </c>
      <c r="BV93" s="48" t="n">
        <f aca="false">MAX(BU93-BV92+MAX(-BV91,0),0)</f>
        <v>0</v>
      </c>
      <c r="BW93" s="48" t="n">
        <f aca="false">MAX(BV93-BW92+MAX(-BW91,0),0)</f>
        <v>0</v>
      </c>
      <c r="BX93" s="48" t="n">
        <f aca="false">MAX(BW93-BX92+MAX(-BX91,0),0)</f>
        <v>0</v>
      </c>
    </row>
    <row r="94" customFormat="false" ht="15" hidden="false" customHeight="false" outlineLevel="0" collapsed="false">
      <c r="A94" s="1"/>
      <c r="B94" s="8" t="s">
        <v>357</v>
      </c>
      <c r="C94" s="8" t="s">
        <v>126</v>
      </c>
      <c r="D94" s="44" t="n">
        <f aca="false">SUM(G94:BX94)</f>
        <v>32568.477803206</v>
      </c>
      <c r="E94" s="1"/>
      <c r="F94" s="1"/>
      <c r="G94" s="48" t="n">
        <f aca="false">MAX(G91-G92,0)</f>
        <v>0</v>
      </c>
      <c r="H94" s="48" t="n">
        <f aca="false">MAX(H91-H92,0)</f>
        <v>0</v>
      </c>
      <c r="I94" s="48" t="n">
        <f aca="false">MAX(I91-I92,0)</f>
        <v>0</v>
      </c>
      <c r="J94" s="48" t="n">
        <f aca="false">MAX(J91-J92,0)</f>
        <v>0</v>
      </c>
      <c r="K94" s="48" t="n">
        <f aca="false">MAX(K91-K92,0)</f>
        <v>0</v>
      </c>
      <c r="L94" s="48" t="n">
        <f aca="false">MAX(L91-L92,0)</f>
        <v>0</v>
      </c>
      <c r="M94" s="48" t="n">
        <f aca="false">MAX(M91-M92,0)</f>
        <v>0</v>
      </c>
      <c r="N94" s="48" t="n">
        <f aca="false">MAX(N91-N92,0)</f>
        <v>0</v>
      </c>
      <c r="O94" s="48" t="n">
        <f aca="false">MAX(O91-O92,0)</f>
        <v>0</v>
      </c>
      <c r="P94" s="48" t="n">
        <f aca="false">MAX(P91-P92,0)</f>
        <v>0</v>
      </c>
      <c r="Q94" s="48" t="n">
        <f aca="false">MAX(Q91-Q92,0)</f>
        <v>0</v>
      </c>
      <c r="R94" s="48" t="n">
        <f aca="false">MAX(R91-R92,0)</f>
        <v>0</v>
      </c>
      <c r="S94" s="48" t="n">
        <f aca="false">MAX(S91-S92,0)</f>
        <v>0</v>
      </c>
      <c r="T94" s="48" t="n">
        <f aca="false">MAX(T91-T92,0)</f>
        <v>0</v>
      </c>
      <c r="U94" s="48" t="n">
        <f aca="false">MAX(U91-U92,0)</f>
        <v>0</v>
      </c>
      <c r="V94" s="48" t="n">
        <f aca="false">MAX(V91-V92,0)</f>
        <v>74.1425367100003</v>
      </c>
      <c r="W94" s="48" t="n">
        <f aca="false">MAX(W91-W92,0)</f>
        <v>105.58003671</v>
      </c>
      <c r="X94" s="48" t="n">
        <f aca="false">MAX(X91-X92,0)</f>
        <v>91.1590178039999</v>
      </c>
      <c r="Y94" s="48" t="n">
        <f aca="false">MAX(Y91-Y92,0)</f>
        <v>168.45503671</v>
      </c>
      <c r="Z94" s="48" t="n">
        <f aca="false">MAX(Z91-Z92,0)</f>
        <v>168.45503671</v>
      </c>
      <c r="AA94" s="48" t="n">
        <f aca="false">MAX(AA91-AA92,0)</f>
        <v>190.086565069</v>
      </c>
      <c r="AB94" s="48" t="n">
        <f aca="false">MAX(AB91-AB92,0)</f>
        <v>168.45503671</v>
      </c>
      <c r="AC94" s="48" t="n">
        <f aca="false">MAX(AC91-AC92,0)</f>
        <v>262.76753671</v>
      </c>
      <c r="AD94" s="48" t="n">
        <f aca="false">MAX(AD91-AD92,0)</f>
        <v>322.124065069</v>
      </c>
      <c r="AE94" s="48" t="n">
        <f aca="false">MAX(AE91-AE92,0)</f>
        <v>350.244305294001</v>
      </c>
      <c r="AF94" s="48" t="n">
        <f aca="false">MAX(AF91-AF92,0)</f>
        <v>600.98507342</v>
      </c>
      <c r="AG94" s="48" t="n">
        <f aca="false">MAX(AG91-AG92,0)</f>
        <v>644.248130138</v>
      </c>
      <c r="AH94" s="48" t="n">
        <f aca="false">MAX(AH91-AH92,0)</f>
        <v>557.722016702</v>
      </c>
      <c r="AI94" s="48" t="n">
        <f aca="false">MAX(AI91-AI92,0)</f>
        <v>600.98507342</v>
      </c>
      <c r="AJ94" s="48" t="n">
        <f aca="false">MAX(AJ91-AJ92,0)</f>
        <v>644.248130138</v>
      </c>
      <c r="AK94" s="48" t="n">
        <f aca="false">MAX(AK91-AK92,0)</f>
        <v>667.00382342</v>
      </c>
      <c r="AL94" s="48" t="n">
        <f aca="false">MAX(AL91-AL92,0)</f>
        <v>685.86632342</v>
      </c>
      <c r="AM94" s="48" t="n">
        <f aca="false">MAX(AM91-AM92,0)</f>
        <v>729.129380138</v>
      </c>
      <c r="AN94" s="48" t="n">
        <f aca="false">MAX(AN91-AN92,0)</f>
        <v>685.86632342</v>
      </c>
      <c r="AO94" s="48" t="n">
        <f aca="false">MAX(AO91-AO92,0)</f>
        <v>685.86632342</v>
      </c>
      <c r="AP94" s="48" t="n">
        <f aca="false">MAX(AP91-AP92,0)</f>
        <v>729.129380138</v>
      </c>
      <c r="AQ94" s="48" t="n">
        <f aca="false">MAX(AQ91-AQ92,0)</f>
        <v>685.86632342</v>
      </c>
      <c r="AR94" s="48" t="n">
        <f aca="false">MAX(AR91-AR92,0)</f>
        <v>642.603266702</v>
      </c>
      <c r="AS94" s="48" t="n">
        <f aca="false">MAX(AS91-AS92,0)</f>
        <v>729.129380138</v>
      </c>
      <c r="AT94" s="48" t="n">
        <f aca="false">MAX(AT91-AT92,0)</f>
        <v>685.86632342</v>
      </c>
      <c r="AU94" s="48" t="n">
        <f aca="false">MAX(AU91-AU92,0)</f>
        <v>685.86632342</v>
      </c>
      <c r="AV94" s="48" t="n">
        <f aca="false">MAX(AV91-AV92,0)</f>
        <v>729.129380138</v>
      </c>
      <c r="AW94" s="48" t="n">
        <f aca="false">MAX(AW91-AW92,0)</f>
        <v>685.86632342</v>
      </c>
      <c r="AX94" s="48" t="n">
        <f aca="false">MAX(AX91-AX92,0)</f>
        <v>685.86632342</v>
      </c>
      <c r="AY94" s="48" t="n">
        <f aca="false">MAX(AY91-AY92,0)</f>
        <v>729.129380138</v>
      </c>
      <c r="AZ94" s="48" t="n">
        <f aca="false">MAX(AZ91-AZ92,0)</f>
        <v>685.86632342</v>
      </c>
      <c r="BA94" s="48" t="n">
        <f aca="false">MAX(BA91-BA92,0)</f>
        <v>685.86632342</v>
      </c>
      <c r="BB94" s="48" t="n">
        <f aca="false">MAX(BB91-BB92,0)</f>
        <v>657.024285608</v>
      </c>
      <c r="BC94" s="48" t="n">
        <f aca="false">MAX(BC91-BC92,0)</f>
        <v>748.74132342</v>
      </c>
      <c r="BD94" s="48" t="n">
        <f aca="false">MAX(BD91-BD92,0)</f>
        <v>748.74132342</v>
      </c>
      <c r="BE94" s="48" t="n">
        <f aca="false">MAX(BE91-BE92,0)</f>
        <v>792.004380138</v>
      </c>
      <c r="BF94" s="48" t="n">
        <f aca="false">MAX(BF91-BF92,0)</f>
        <v>748.74132342</v>
      </c>
      <c r="BG94" s="48" t="n">
        <f aca="false">MAX(BG91-BG92,0)</f>
        <v>748.74132342</v>
      </c>
      <c r="BH94" s="48" t="n">
        <f aca="false">MAX(BH91-BH92,0)</f>
        <v>792.004380138</v>
      </c>
      <c r="BI94" s="48" t="n">
        <f aca="false">MAX(BI91-BI92,0)</f>
        <v>748.74132342</v>
      </c>
      <c r="BJ94" s="48" t="n">
        <f aca="false">MAX(BJ91-BJ92,0)</f>
        <v>748.74132342</v>
      </c>
      <c r="BK94" s="48" t="n">
        <f aca="false">MAX(BK91-BK92,0)</f>
        <v>792.004380138</v>
      </c>
      <c r="BL94" s="48" t="n">
        <f aca="false">MAX(BL91-BL92,0)</f>
        <v>705.478266702</v>
      </c>
      <c r="BM94" s="48" t="n">
        <f aca="false">MAX(BM91-BM92,0)</f>
        <v>748.74132342</v>
      </c>
      <c r="BN94" s="48" t="n">
        <f aca="false">MAX(BN91-BN92,0)</f>
        <v>792.004380138</v>
      </c>
      <c r="BO94" s="48" t="n">
        <f aca="false">MAX(BO91-BO92,0)</f>
        <v>748.74132342</v>
      </c>
      <c r="BP94" s="48" t="n">
        <f aca="false">MAX(BP91-BP92,0)</f>
        <v>748.74132342</v>
      </c>
      <c r="BQ94" s="48" t="n">
        <f aca="false">MAX(BQ91-BQ92,0)</f>
        <v>792.004380138</v>
      </c>
      <c r="BR94" s="48" t="n">
        <f aca="false">MAX(BR91-BR92,0)</f>
        <v>748.74132342</v>
      </c>
      <c r="BS94" s="48" t="n">
        <f aca="false">MAX(BS91-BS92,0)</f>
        <v>748.74132342</v>
      </c>
      <c r="BT94" s="48" t="n">
        <f aca="false">MAX(BT91-BT92,0)</f>
        <v>792.004380138</v>
      </c>
      <c r="BU94" s="48" t="n">
        <f aca="false">MAX(BU91-BU92,0)</f>
        <v>748.74132342</v>
      </c>
      <c r="BV94" s="48" t="n">
        <f aca="false">MAX(BV91-BV92,0)</f>
        <v>705.478266702</v>
      </c>
      <c r="BW94" s="48" t="n">
        <f aca="false">MAX(BW91-BW92,0)</f>
        <v>0</v>
      </c>
      <c r="BX94" s="48" t="n">
        <f aca="false">MAX(BX91-BX92,0)</f>
        <v>0</v>
      </c>
    </row>
    <row r="95" customFormat="false" ht="15" hidden="false" customHeight="false" outlineLevel="0" collapsed="false">
      <c r="A95" s="1"/>
      <c r="B95" s="4" t="s">
        <v>358</v>
      </c>
      <c r="C95" s="8" t="s">
        <v>126</v>
      </c>
      <c r="D95" s="44" t="n">
        <f aca="false">SUM(G95:BX95)</f>
        <v>6188.01078260914</v>
      </c>
      <c r="E95" s="1"/>
      <c r="F95" s="1"/>
      <c r="G95" s="44" t="n">
        <f aca="false">G94*$D$17</f>
        <v>0</v>
      </c>
      <c r="H95" s="44" t="n">
        <f aca="false">H94*$D$17</f>
        <v>0</v>
      </c>
      <c r="I95" s="44" t="n">
        <f aca="false">I94*$D$17</f>
        <v>0</v>
      </c>
      <c r="J95" s="44" t="n">
        <f aca="false">J94*$D$17</f>
        <v>0</v>
      </c>
      <c r="K95" s="44" t="n">
        <f aca="false">K94*$D$17</f>
        <v>0</v>
      </c>
      <c r="L95" s="44" t="n">
        <f aca="false">L94*$D$17</f>
        <v>0</v>
      </c>
      <c r="M95" s="44" t="n">
        <f aca="false">M94*$D$17</f>
        <v>0</v>
      </c>
      <c r="N95" s="44" t="n">
        <f aca="false">N94*$D$17</f>
        <v>0</v>
      </c>
      <c r="O95" s="44" t="n">
        <f aca="false">O94*$D$17</f>
        <v>0</v>
      </c>
      <c r="P95" s="44" t="n">
        <f aca="false">P94*$D$17</f>
        <v>0</v>
      </c>
      <c r="Q95" s="44" t="n">
        <f aca="false">Q94*$D$17</f>
        <v>0</v>
      </c>
      <c r="R95" s="44" t="n">
        <f aca="false">R94*$D$17</f>
        <v>0</v>
      </c>
      <c r="S95" s="44" t="n">
        <f aca="false">S94*$D$17</f>
        <v>0</v>
      </c>
      <c r="T95" s="44" t="n">
        <f aca="false">T94*$D$17</f>
        <v>0</v>
      </c>
      <c r="U95" s="44" t="n">
        <f aca="false">U94*$D$17</f>
        <v>0</v>
      </c>
      <c r="V95" s="44" t="n">
        <f aca="false">V94*$D$17</f>
        <v>14.0870819749001</v>
      </c>
      <c r="W95" s="44" t="n">
        <f aca="false">W94*$D$17</f>
        <v>20.0602069749</v>
      </c>
      <c r="X95" s="44" t="n">
        <f aca="false">X94*$D$17</f>
        <v>17.32021338276</v>
      </c>
      <c r="Y95" s="44" t="n">
        <f aca="false">Y94*$D$17</f>
        <v>32.0064569749</v>
      </c>
      <c r="Z95" s="44" t="n">
        <f aca="false">Z94*$D$17</f>
        <v>32.0064569749</v>
      </c>
      <c r="AA95" s="44" t="n">
        <f aca="false">AA94*$D$17</f>
        <v>36.11644736311</v>
      </c>
      <c r="AB95" s="44" t="n">
        <f aca="false">AB94*$D$17</f>
        <v>32.0064569749</v>
      </c>
      <c r="AC95" s="44" t="n">
        <f aca="false">AC94*$D$17</f>
        <v>49.9258319749001</v>
      </c>
      <c r="AD95" s="44" t="n">
        <f aca="false">AD94*$D$17</f>
        <v>61.20357236311</v>
      </c>
      <c r="AE95" s="44" t="n">
        <f aca="false">AE94*$D$17</f>
        <v>66.5464180058602</v>
      </c>
      <c r="AF95" s="44" t="n">
        <f aca="false">AF94*$D$17</f>
        <v>114.1871639498</v>
      </c>
      <c r="AG95" s="44" t="n">
        <f aca="false">AG94*$D$17</f>
        <v>122.40714472622</v>
      </c>
      <c r="AH95" s="44" t="n">
        <f aca="false">AH94*$D$17</f>
        <v>105.96718317338</v>
      </c>
      <c r="AI95" s="44" t="n">
        <f aca="false">AI94*$D$17</f>
        <v>114.1871639498</v>
      </c>
      <c r="AJ95" s="44" t="n">
        <f aca="false">AJ94*$D$17</f>
        <v>122.40714472622</v>
      </c>
      <c r="AK95" s="44" t="n">
        <f aca="false">AK94*$D$17</f>
        <v>126.7307264498</v>
      </c>
      <c r="AL95" s="44" t="n">
        <f aca="false">AL94*$D$17</f>
        <v>130.3146014498</v>
      </c>
      <c r="AM95" s="44" t="n">
        <f aca="false">AM94*$D$17</f>
        <v>138.53458222622</v>
      </c>
      <c r="AN95" s="44" t="n">
        <f aca="false">AN94*$D$17</f>
        <v>130.3146014498</v>
      </c>
      <c r="AO95" s="44" t="n">
        <f aca="false">AO94*$D$17</f>
        <v>130.3146014498</v>
      </c>
      <c r="AP95" s="44" t="n">
        <f aca="false">AP94*$D$17</f>
        <v>138.53458222622</v>
      </c>
      <c r="AQ95" s="44" t="n">
        <f aca="false">AQ94*$D$17</f>
        <v>130.3146014498</v>
      </c>
      <c r="AR95" s="44" t="n">
        <f aca="false">AR94*$D$17</f>
        <v>122.09462067338</v>
      </c>
      <c r="AS95" s="44" t="n">
        <f aca="false">AS94*$D$17</f>
        <v>138.53458222622</v>
      </c>
      <c r="AT95" s="44" t="n">
        <f aca="false">AT94*$D$17</f>
        <v>130.3146014498</v>
      </c>
      <c r="AU95" s="44" t="n">
        <f aca="false">AU94*$D$17</f>
        <v>130.3146014498</v>
      </c>
      <c r="AV95" s="44" t="n">
        <f aca="false">AV94*$D$17</f>
        <v>138.53458222622</v>
      </c>
      <c r="AW95" s="44" t="n">
        <f aca="false">AW94*$D$17</f>
        <v>130.3146014498</v>
      </c>
      <c r="AX95" s="44" t="n">
        <f aca="false">AX94*$D$17</f>
        <v>130.3146014498</v>
      </c>
      <c r="AY95" s="44" t="n">
        <f aca="false">AY94*$D$17</f>
        <v>138.53458222622</v>
      </c>
      <c r="AZ95" s="44" t="n">
        <f aca="false">AZ94*$D$17</f>
        <v>130.3146014498</v>
      </c>
      <c r="BA95" s="44" t="n">
        <f aca="false">BA94*$D$17</f>
        <v>130.3146014498</v>
      </c>
      <c r="BB95" s="44" t="n">
        <f aca="false">BB94*$D$17</f>
        <v>124.83461426552</v>
      </c>
      <c r="BC95" s="44" t="n">
        <f aca="false">BC94*$D$17</f>
        <v>142.2608514498</v>
      </c>
      <c r="BD95" s="44" t="n">
        <f aca="false">BD94*$D$17</f>
        <v>142.2608514498</v>
      </c>
      <c r="BE95" s="44" t="n">
        <f aca="false">BE94*$D$17</f>
        <v>150.48083222622</v>
      </c>
      <c r="BF95" s="44" t="n">
        <f aca="false">BF94*$D$17</f>
        <v>142.2608514498</v>
      </c>
      <c r="BG95" s="44" t="n">
        <f aca="false">BG94*$D$17</f>
        <v>142.2608514498</v>
      </c>
      <c r="BH95" s="44" t="n">
        <f aca="false">BH94*$D$17</f>
        <v>150.48083222622</v>
      </c>
      <c r="BI95" s="44" t="n">
        <f aca="false">BI94*$D$17</f>
        <v>142.2608514498</v>
      </c>
      <c r="BJ95" s="44" t="n">
        <f aca="false">BJ94*$D$17</f>
        <v>142.2608514498</v>
      </c>
      <c r="BK95" s="44" t="n">
        <f aca="false">BK94*$D$17</f>
        <v>150.48083222622</v>
      </c>
      <c r="BL95" s="44" t="n">
        <f aca="false">BL94*$D$17</f>
        <v>134.04087067338</v>
      </c>
      <c r="BM95" s="44" t="n">
        <f aca="false">BM94*$D$17</f>
        <v>142.2608514498</v>
      </c>
      <c r="BN95" s="44" t="n">
        <f aca="false">BN94*$D$17</f>
        <v>150.48083222622</v>
      </c>
      <c r="BO95" s="44" t="n">
        <f aca="false">BO94*$D$17</f>
        <v>142.2608514498</v>
      </c>
      <c r="BP95" s="44" t="n">
        <f aca="false">BP94*$D$17</f>
        <v>142.2608514498</v>
      </c>
      <c r="BQ95" s="44" t="n">
        <f aca="false">BQ94*$D$17</f>
        <v>150.48083222622</v>
      </c>
      <c r="BR95" s="44" t="n">
        <f aca="false">BR94*$D$17</f>
        <v>142.2608514498</v>
      </c>
      <c r="BS95" s="44" t="n">
        <f aca="false">BS94*$D$17</f>
        <v>142.2608514498</v>
      </c>
      <c r="BT95" s="44" t="n">
        <f aca="false">BT94*$D$17</f>
        <v>150.48083222622</v>
      </c>
      <c r="BU95" s="44" t="n">
        <f aca="false">BU94*$D$17</f>
        <v>142.2608514498</v>
      </c>
      <c r="BV95" s="44" t="n">
        <f aca="false">BV94*$D$17</f>
        <v>134.04087067338</v>
      </c>
      <c r="BW95" s="44" t="n">
        <f aca="false">BW94*$D$17</f>
        <v>0</v>
      </c>
      <c r="BX95" s="44" t="n">
        <f aca="false">BX94*$D$17</f>
        <v>0</v>
      </c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</row>
    <row r="97" customFormat="false" ht="15" hidden="false" customHeight="false" outlineLevel="0" collapsed="false">
      <c r="A97" s="1"/>
      <c r="B97" s="13" t="s">
        <v>359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</row>
    <row r="98" customFormat="false" ht="15" hidden="false" customHeight="false" outlineLevel="0" collapsed="false">
      <c r="A98" s="1"/>
      <c r="B98" s="8" t="s">
        <v>360</v>
      </c>
      <c r="C98" s="8" t="s">
        <v>126</v>
      </c>
      <c r="D98" s="44" t="n">
        <f aca="false">SUM(G98:BX98)</f>
        <v>32568.477803206</v>
      </c>
      <c r="E98" s="1"/>
      <c r="F98" s="1"/>
      <c r="G98" s="48" t="n">
        <f aca="false">G81-G53-G82</f>
        <v>0</v>
      </c>
      <c r="H98" s="48" t="n">
        <f aca="false">H81-H53-H82</f>
        <v>0</v>
      </c>
      <c r="I98" s="48" t="n">
        <f aca="false">I81-I53-I82</f>
        <v>0</v>
      </c>
      <c r="J98" s="48" t="n">
        <f aca="false">J81-J53-J82</f>
        <v>-1948.20727230859</v>
      </c>
      <c r="K98" s="48" t="n">
        <f aca="false">K81-K53-K82</f>
        <v>-2632.26570066439</v>
      </c>
      <c r="L98" s="48" t="n">
        <f aca="false">L81-L53-L82</f>
        <v>-3364.05405405405</v>
      </c>
      <c r="M98" s="48" t="n">
        <f aca="false">M81-M53-M82</f>
        <v>-2632.26570066439</v>
      </c>
      <c r="N98" s="48" t="n">
        <f aca="false">N81-N53-N82</f>
        <v>-1998.20727230859</v>
      </c>
      <c r="O98" s="48" t="n">
        <f aca="false">O81-O53-O82</f>
        <v>681.445584876</v>
      </c>
      <c r="P98" s="48" t="n">
        <f aca="false">P81-P53-P82</f>
        <v>639.52056084</v>
      </c>
      <c r="Q98" s="48" t="n">
        <f aca="false">Q81-Q53-Q82</f>
        <v>639.52056084</v>
      </c>
      <c r="R98" s="48" t="n">
        <f aca="false">R81-R53-R82</f>
        <v>792.004380138</v>
      </c>
      <c r="S98" s="48" t="n">
        <f aca="false">S81-S53-S82</f>
        <v>748.74132342</v>
      </c>
      <c r="T98" s="48" t="n">
        <f aca="false">T81-T53-T82</f>
        <v>748.74132342</v>
      </c>
      <c r="U98" s="48" t="n">
        <f aca="false">U81-U53-U82</f>
        <v>792.004380138</v>
      </c>
      <c r="V98" s="48" t="n">
        <f aca="false">V81-V53-V82</f>
        <v>748.74132342</v>
      </c>
      <c r="W98" s="48" t="n">
        <f aca="false">W81-W53-W82</f>
        <v>748.74132342</v>
      </c>
      <c r="X98" s="48" t="n">
        <f aca="false">X81-X53-X82</f>
        <v>719.899285608</v>
      </c>
      <c r="Y98" s="48" t="n">
        <f aca="false">Y81-Y53-Y82</f>
        <v>748.74132342</v>
      </c>
      <c r="Z98" s="48" t="n">
        <f aca="false">Z81-Z53-Z82</f>
        <v>748.74132342</v>
      </c>
      <c r="AA98" s="48" t="n">
        <f aca="false">AA81-AA53-AA82</f>
        <v>792.004380138</v>
      </c>
      <c r="AB98" s="48" t="n">
        <f aca="false">AB81-AB53-AB82</f>
        <v>748.74132342</v>
      </c>
      <c r="AC98" s="48" t="n">
        <f aca="false">AC81-AC53-AC82</f>
        <v>748.74132342</v>
      </c>
      <c r="AD98" s="48" t="n">
        <f aca="false">AD81-AD53-AD82</f>
        <v>792.004380138</v>
      </c>
      <c r="AE98" s="48" t="n">
        <f aca="false">AE81-AE53-AE82</f>
        <v>748.74132342</v>
      </c>
      <c r="AF98" s="48" t="n">
        <f aca="false">AF81-AF53-AF82</f>
        <v>748.74132342</v>
      </c>
      <c r="AG98" s="48" t="n">
        <f aca="false">AG81-AG53-AG82</f>
        <v>792.004380138</v>
      </c>
      <c r="AH98" s="48" t="n">
        <f aca="false">AH81-AH53-AH82</f>
        <v>705.478266702</v>
      </c>
      <c r="AI98" s="48" t="n">
        <f aca="false">AI81-AI53-AI82</f>
        <v>748.74132342</v>
      </c>
      <c r="AJ98" s="48" t="n">
        <f aca="false">AJ81-AJ53-AJ82</f>
        <v>792.004380138</v>
      </c>
      <c r="AK98" s="48" t="n">
        <f aca="false">AK81-AK53-AK82</f>
        <v>748.74132342</v>
      </c>
      <c r="AL98" s="48" t="n">
        <f aca="false">AL81-AL53-AL82</f>
        <v>748.74132342</v>
      </c>
      <c r="AM98" s="48" t="n">
        <f aca="false">AM81-AM53-AM82</f>
        <v>792.004380138</v>
      </c>
      <c r="AN98" s="48" t="n">
        <f aca="false">AN81-AN53-AN82</f>
        <v>748.74132342</v>
      </c>
      <c r="AO98" s="48" t="n">
        <f aca="false">AO81-AO53-AO82</f>
        <v>748.74132342</v>
      </c>
      <c r="AP98" s="48" t="n">
        <f aca="false">AP81-AP53-AP82</f>
        <v>792.004380138</v>
      </c>
      <c r="AQ98" s="48" t="n">
        <f aca="false">AQ81-AQ53-AQ82</f>
        <v>748.74132342</v>
      </c>
      <c r="AR98" s="48" t="n">
        <f aca="false">AR81-AR53-AR82</f>
        <v>705.478266702</v>
      </c>
      <c r="AS98" s="48" t="n">
        <f aca="false">AS81-AS53-AS82</f>
        <v>792.004380138</v>
      </c>
      <c r="AT98" s="48" t="n">
        <f aca="false">AT81-AT53-AT82</f>
        <v>748.74132342</v>
      </c>
      <c r="AU98" s="48" t="n">
        <f aca="false">AU81-AU53-AU82</f>
        <v>748.74132342</v>
      </c>
      <c r="AV98" s="48" t="n">
        <f aca="false">AV81-AV53-AV82</f>
        <v>792.004380138</v>
      </c>
      <c r="AW98" s="48" t="n">
        <f aca="false">AW81-AW53-AW82</f>
        <v>748.74132342</v>
      </c>
      <c r="AX98" s="48" t="n">
        <f aca="false">AX81-AX53-AX82</f>
        <v>748.74132342</v>
      </c>
      <c r="AY98" s="48" t="n">
        <f aca="false">AY81-AY53-AY82</f>
        <v>792.004380138</v>
      </c>
      <c r="AZ98" s="48" t="n">
        <f aca="false">AZ81-AZ53-AZ82</f>
        <v>748.74132342</v>
      </c>
      <c r="BA98" s="48" t="n">
        <f aca="false">BA81-BA53-BA82</f>
        <v>748.74132342</v>
      </c>
      <c r="BB98" s="48" t="n">
        <f aca="false">BB81-BB53-BB82</f>
        <v>719.899285608</v>
      </c>
      <c r="BC98" s="48" t="n">
        <f aca="false">BC81-BC53-BC82</f>
        <v>748.74132342</v>
      </c>
      <c r="BD98" s="48" t="n">
        <f aca="false">BD81-BD53-BD82</f>
        <v>748.74132342</v>
      </c>
      <c r="BE98" s="48" t="n">
        <f aca="false">BE81-BE53-BE82</f>
        <v>792.004380138</v>
      </c>
      <c r="BF98" s="48" t="n">
        <f aca="false">BF81-BF53-BF82</f>
        <v>748.74132342</v>
      </c>
      <c r="BG98" s="48" t="n">
        <f aca="false">BG81-BG53-BG82</f>
        <v>748.74132342</v>
      </c>
      <c r="BH98" s="48" t="n">
        <f aca="false">BH81-BH53-BH82</f>
        <v>792.004380138</v>
      </c>
      <c r="BI98" s="48" t="n">
        <f aca="false">BI81-BI53-BI82</f>
        <v>748.74132342</v>
      </c>
      <c r="BJ98" s="48" t="n">
        <f aca="false">BJ81-BJ53-BJ82</f>
        <v>748.74132342</v>
      </c>
      <c r="BK98" s="48" t="n">
        <f aca="false">BK81-BK53-BK82</f>
        <v>792.004380138</v>
      </c>
      <c r="BL98" s="48" t="n">
        <f aca="false">BL81-BL53-BL82</f>
        <v>705.478266702</v>
      </c>
      <c r="BM98" s="48" t="n">
        <f aca="false">BM81-BM53-BM82</f>
        <v>748.74132342</v>
      </c>
      <c r="BN98" s="48" t="n">
        <f aca="false">BN81-BN53-BN82</f>
        <v>792.004380138</v>
      </c>
      <c r="BO98" s="48" t="n">
        <f aca="false">BO81-BO53-BO82</f>
        <v>748.74132342</v>
      </c>
      <c r="BP98" s="48" t="n">
        <f aca="false">BP81-BP53-BP82</f>
        <v>748.74132342</v>
      </c>
      <c r="BQ98" s="48" t="n">
        <f aca="false">BQ81-BQ53-BQ82</f>
        <v>792.004380138</v>
      </c>
      <c r="BR98" s="48" t="n">
        <f aca="false">BR81-BR53-BR82</f>
        <v>748.74132342</v>
      </c>
      <c r="BS98" s="48" t="n">
        <f aca="false">BS81-BS53-BS82</f>
        <v>748.74132342</v>
      </c>
      <c r="BT98" s="48" t="n">
        <f aca="false">BT81-BT53-BT82</f>
        <v>792.004380138</v>
      </c>
      <c r="BU98" s="48" t="n">
        <f aca="false">BU81-BU53-BU82</f>
        <v>748.74132342</v>
      </c>
      <c r="BV98" s="48" t="n">
        <f aca="false">BV81-BV53-BV82</f>
        <v>705.478266702</v>
      </c>
      <c r="BW98" s="48" t="n">
        <f aca="false">BW81-BW53-BW82</f>
        <v>0</v>
      </c>
      <c r="BX98" s="48" t="n">
        <f aca="false">BX81-BX53-BX82</f>
        <v>0</v>
      </c>
    </row>
    <row r="99" customFormat="false" ht="15" hidden="false" customHeight="false" outlineLevel="0" collapsed="false">
      <c r="A99" s="1"/>
      <c r="B99" s="4" t="s">
        <v>361</v>
      </c>
      <c r="C99" s="8" t="s">
        <v>126</v>
      </c>
      <c r="D99" s="44" t="n">
        <f aca="false">SUM(G99:BX99)</f>
        <v>26380.4670205969</v>
      </c>
      <c r="E99" s="1"/>
      <c r="F99" s="1"/>
      <c r="G99" s="44" t="n">
        <f aca="false">G98-G95</f>
        <v>0</v>
      </c>
      <c r="H99" s="44" t="n">
        <f aca="false">H98-H95</f>
        <v>0</v>
      </c>
      <c r="I99" s="44" t="n">
        <f aca="false">I98-I95</f>
        <v>0</v>
      </c>
      <c r="J99" s="44" t="n">
        <f aca="false">J98-J95</f>
        <v>-1948.20727230859</v>
      </c>
      <c r="K99" s="44" t="n">
        <f aca="false">K98-K95</f>
        <v>-2632.26570066439</v>
      </c>
      <c r="L99" s="44" t="n">
        <f aca="false">L98-L95</f>
        <v>-3364.05405405405</v>
      </c>
      <c r="M99" s="44" t="n">
        <f aca="false">M98-M95</f>
        <v>-2632.26570066439</v>
      </c>
      <c r="N99" s="44" t="n">
        <f aca="false">N98-N95</f>
        <v>-1998.20727230859</v>
      </c>
      <c r="O99" s="44" t="n">
        <f aca="false">O98-O95</f>
        <v>681.445584876</v>
      </c>
      <c r="P99" s="44" t="n">
        <f aca="false">P98-P95</f>
        <v>639.52056084</v>
      </c>
      <c r="Q99" s="44" t="n">
        <f aca="false">Q98-Q95</f>
        <v>639.52056084</v>
      </c>
      <c r="R99" s="44" t="n">
        <f aca="false">R98-R95</f>
        <v>792.004380138</v>
      </c>
      <c r="S99" s="44" t="n">
        <f aca="false">S98-S95</f>
        <v>748.74132342</v>
      </c>
      <c r="T99" s="44" t="n">
        <f aca="false">T98-T95</f>
        <v>748.74132342</v>
      </c>
      <c r="U99" s="44" t="n">
        <f aca="false">U98-U95</f>
        <v>792.004380138</v>
      </c>
      <c r="V99" s="44" t="n">
        <f aca="false">V98-V95</f>
        <v>734.6542414451</v>
      </c>
      <c r="W99" s="44" t="n">
        <f aca="false">W98-W95</f>
        <v>728.6811164451</v>
      </c>
      <c r="X99" s="44" t="n">
        <f aca="false">X98-X95</f>
        <v>702.57907222524</v>
      </c>
      <c r="Y99" s="44" t="n">
        <f aca="false">Y98-Y95</f>
        <v>716.7348664451</v>
      </c>
      <c r="Z99" s="44" t="n">
        <f aca="false">Z98-Z95</f>
        <v>716.7348664451</v>
      </c>
      <c r="AA99" s="44" t="n">
        <f aca="false">AA98-AA95</f>
        <v>755.88793277489</v>
      </c>
      <c r="AB99" s="44" t="n">
        <f aca="false">AB98-AB95</f>
        <v>716.7348664451</v>
      </c>
      <c r="AC99" s="44" t="n">
        <f aca="false">AC98-AC95</f>
        <v>698.8154914451</v>
      </c>
      <c r="AD99" s="44" t="n">
        <f aca="false">AD98-AD95</f>
        <v>730.80080777489</v>
      </c>
      <c r="AE99" s="44" t="n">
        <f aca="false">AE98-AE95</f>
        <v>682.19490541414</v>
      </c>
      <c r="AF99" s="44" t="n">
        <f aca="false">AF98-AF95</f>
        <v>634.5541594702</v>
      </c>
      <c r="AG99" s="44" t="n">
        <f aca="false">AG98-AG95</f>
        <v>669.59723541178</v>
      </c>
      <c r="AH99" s="44" t="n">
        <f aca="false">AH98-AH95</f>
        <v>599.51108352862</v>
      </c>
      <c r="AI99" s="44" t="n">
        <f aca="false">AI98-AI95</f>
        <v>634.5541594702</v>
      </c>
      <c r="AJ99" s="44" t="n">
        <f aca="false">AJ98-AJ95</f>
        <v>669.59723541178</v>
      </c>
      <c r="AK99" s="44" t="n">
        <f aca="false">AK98-AK95</f>
        <v>622.0105969702</v>
      </c>
      <c r="AL99" s="44" t="n">
        <f aca="false">AL98-AL95</f>
        <v>618.4267219702</v>
      </c>
      <c r="AM99" s="44" t="n">
        <f aca="false">AM98-AM95</f>
        <v>653.46979791178</v>
      </c>
      <c r="AN99" s="44" t="n">
        <f aca="false">AN98-AN95</f>
        <v>618.4267219702</v>
      </c>
      <c r="AO99" s="44" t="n">
        <f aca="false">AO98-AO95</f>
        <v>618.4267219702</v>
      </c>
      <c r="AP99" s="44" t="n">
        <f aca="false">AP98-AP95</f>
        <v>653.46979791178</v>
      </c>
      <c r="AQ99" s="44" t="n">
        <f aca="false">AQ98-AQ95</f>
        <v>618.4267219702</v>
      </c>
      <c r="AR99" s="44" t="n">
        <f aca="false">AR98-AR95</f>
        <v>583.38364602862</v>
      </c>
      <c r="AS99" s="44" t="n">
        <f aca="false">AS98-AS95</f>
        <v>653.46979791178</v>
      </c>
      <c r="AT99" s="44" t="n">
        <f aca="false">AT98-AT95</f>
        <v>618.4267219702</v>
      </c>
      <c r="AU99" s="44" t="n">
        <f aca="false">AU98-AU95</f>
        <v>618.4267219702</v>
      </c>
      <c r="AV99" s="44" t="n">
        <f aca="false">AV98-AV95</f>
        <v>653.46979791178</v>
      </c>
      <c r="AW99" s="44" t="n">
        <f aca="false">AW98-AW95</f>
        <v>618.4267219702</v>
      </c>
      <c r="AX99" s="44" t="n">
        <f aca="false">AX98-AX95</f>
        <v>618.4267219702</v>
      </c>
      <c r="AY99" s="44" t="n">
        <f aca="false">AY98-AY95</f>
        <v>653.46979791178</v>
      </c>
      <c r="AZ99" s="44" t="n">
        <f aca="false">AZ98-AZ95</f>
        <v>618.4267219702</v>
      </c>
      <c r="BA99" s="44" t="n">
        <f aca="false">BA98-BA95</f>
        <v>618.4267219702</v>
      </c>
      <c r="BB99" s="44" t="n">
        <f aca="false">BB98-BB95</f>
        <v>595.06467134248</v>
      </c>
      <c r="BC99" s="44" t="n">
        <f aca="false">BC98-BC95</f>
        <v>606.4804719702</v>
      </c>
      <c r="BD99" s="44" t="n">
        <f aca="false">BD98-BD95</f>
        <v>606.4804719702</v>
      </c>
      <c r="BE99" s="44" t="n">
        <f aca="false">BE98-BE95</f>
        <v>641.52354791178</v>
      </c>
      <c r="BF99" s="44" t="n">
        <f aca="false">BF98-BF95</f>
        <v>606.4804719702</v>
      </c>
      <c r="BG99" s="44" t="n">
        <f aca="false">BG98-BG95</f>
        <v>606.4804719702</v>
      </c>
      <c r="BH99" s="44" t="n">
        <f aca="false">BH98-BH95</f>
        <v>641.52354791178</v>
      </c>
      <c r="BI99" s="44" t="n">
        <f aca="false">BI98-BI95</f>
        <v>606.4804719702</v>
      </c>
      <c r="BJ99" s="44" t="n">
        <f aca="false">BJ98-BJ95</f>
        <v>606.4804719702</v>
      </c>
      <c r="BK99" s="44" t="n">
        <f aca="false">BK98-BK95</f>
        <v>641.52354791178</v>
      </c>
      <c r="BL99" s="44" t="n">
        <f aca="false">BL98-BL95</f>
        <v>571.43739602862</v>
      </c>
      <c r="BM99" s="44" t="n">
        <f aca="false">BM98-BM95</f>
        <v>606.4804719702</v>
      </c>
      <c r="BN99" s="44" t="n">
        <f aca="false">BN98-BN95</f>
        <v>641.52354791178</v>
      </c>
      <c r="BO99" s="44" t="n">
        <f aca="false">BO98-BO95</f>
        <v>606.4804719702</v>
      </c>
      <c r="BP99" s="44" t="n">
        <f aca="false">BP98-BP95</f>
        <v>606.4804719702</v>
      </c>
      <c r="BQ99" s="44" t="n">
        <f aca="false">BQ98-BQ95</f>
        <v>641.52354791178</v>
      </c>
      <c r="BR99" s="44" t="n">
        <f aca="false">BR98-BR95</f>
        <v>606.4804719702</v>
      </c>
      <c r="BS99" s="44" t="n">
        <f aca="false">BS98-BS95</f>
        <v>606.4804719702</v>
      </c>
      <c r="BT99" s="44" t="n">
        <f aca="false">BT98-BT95</f>
        <v>641.52354791178</v>
      </c>
      <c r="BU99" s="44" t="n">
        <f aca="false">BU98-BU95</f>
        <v>606.4804719702</v>
      </c>
      <c r="BV99" s="44" t="n">
        <f aca="false">BV98-BV95</f>
        <v>571.43739602862</v>
      </c>
      <c r="BW99" s="44" t="n">
        <f aca="false">BW98-BW95</f>
        <v>0</v>
      </c>
      <c r="BX99" s="44" t="n">
        <f aca="false">BX98-BX95</f>
        <v>0</v>
      </c>
    </row>
    <row r="100" customFormat="false" ht="15" hidden="false" customHeight="false" outlineLevel="0" collapsed="false">
      <c r="A100" s="1"/>
      <c r="B100" s="8" t="s">
        <v>362</v>
      </c>
      <c r="C100" s="8" t="s">
        <v>126</v>
      </c>
      <c r="D100" s="1"/>
      <c r="E100" s="1"/>
      <c r="F100" s="1"/>
      <c r="G100" s="48" t="n">
        <f aca="false">G99</f>
        <v>0</v>
      </c>
      <c r="H100" s="48" t="n">
        <f aca="false">G100+H99</f>
        <v>0</v>
      </c>
      <c r="I100" s="48" t="n">
        <f aca="false">H100+I99</f>
        <v>0</v>
      </c>
      <c r="J100" s="48" t="n">
        <f aca="false">I100+J99</f>
        <v>-1948.20727230859</v>
      </c>
      <c r="K100" s="48" t="n">
        <f aca="false">J100+K99</f>
        <v>-4580.47297297297</v>
      </c>
      <c r="L100" s="48" t="n">
        <f aca="false">K100+L99</f>
        <v>-7944.52702702703</v>
      </c>
      <c r="M100" s="48" t="n">
        <f aca="false">L100+M99</f>
        <v>-10576.7927276914</v>
      </c>
      <c r="N100" s="48" t="n">
        <f aca="false">M100+N99</f>
        <v>-12575</v>
      </c>
      <c r="O100" s="48" t="n">
        <f aca="false">N100+O99</f>
        <v>-11893.554415124</v>
      </c>
      <c r="P100" s="48" t="n">
        <f aca="false">O100+P99</f>
        <v>-11254.033854284</v>
      </c>
      <c r="Q100" s="48" t="n">
        <f aca="false">P100+Q99</f>
        <v>-10614.513293444</v>
      </c>
      <c r="R100" s="48" t="n">
        <f aca="false">Q100+R99</f>
        <v>-9822.50891330601</v>
      </c>
      <c r="S100" s="48" t="n">
        <f aca="false">R100+S99</f>
        <v>-9073.767589886</v>
      </c>
      <c r="T100" s="48" t="n">
        <f aca="false">S100+T99</f>
        <v>-8325.026266466</v>
      </c>
      <c r="U100" s="48" t="n">
        <f aca="false">T100+U99</f>
        <v>-7533.021886328</v>
      </c>
      <c r="V100" s="48" t="n">
        <f aca="false">U100+V99</f>
        <v>-6798.3676448829</v>
      </c>
      <c r="W100" s="48" t="n">
        <f aca="false">V100+W99</f>
        <v>-6069.6865284378</v>
      </c>
      <c r="X100" s="48" t="n">
        <f aca="false">W100+X99</f>
        <v>-5367.10745621256</v>
      </c>
      <c r="Y100" s="48" t="n">
        <f aca="false">X100+Y99</f>
        <v>-4650.37258976746</v>
      </c>
      <c r="Z100" s="48" t="n">
        <f aca="false">Y100+Z99</f>
        <v>-3933.63772332236</v>
      </c>
      <c r="AA100" s="48" t="n">
        <f aca="false">Z100+AA99</f>
        <v>-3177.74979054747</v>
      </c>
      <c r="AB100" s="48" t="n">
        <f aca="false">AA100+AB99</f>
        <v>-2461.01492410237</v>
      </c>
      <c r="AC100" s="48" t="n">
        <f aca="false">AB100+AC99</f>
        <v>-1762.19943265727</v>
      </c>
      <c r="AD100" s="48" t="n">
        <f aca="false">AC100+AD99</f>
        <v>-1031.39862488238</v>
      </c>
      <c r="AE100" s="48" t="n">
        <f aca="false">AD100+AE99</f>
        <v>-349.203719468243</v>
      </c>
      <c r="AF100" s="48" t="n">
        <f aca="false">AE100+AF99</f>
        <v>285.350440001957</v>
      </c>
      <c r="AG100" s="48" t="n">
        <f aca="false">AF100+AG99</f>
        <v>954.947675413737</v>
      </c>
      <c r="AH100" s="48" t="n">
        <f aca="false">AG100+AH99</f>
        <v>1554.45875894236</v>
      </c>
      <c r="AI100" s="48" t="n">
        <f aca="false">AH100+AI99</f>
        <v>2189.01291841256</v>
      </c>
      <c r="AJ100" s="48" t="n">
        <f aca="false">AI100+AJ99</f>
        <v>2858.61015382434</v>
      </c>
      <c r="AK100" s="48" t="n">
        <f aca="false">AJ100+AK99</f>
        <v>3480.62075079454</v>
      </c>
      <c r="AL100" s="48" t="n">
        <f aca="false">AK100+AL99</f>
        <v>4099.04747276474</v>
      </c>
      <c r="AM100" s="48" t="n">
        <f aca="false">AL100+AM99</f>
        <v>4752.51727067652</v>
      </c>
      <c r="AN100" s="48" t="n">
        <f aca="false">AM100+AN99</f>
        <v>5370.94399264672</v>
      </c>
      <c r="AO100" s="48" t="n">
        <f aca="false">AN100+AO99</f>
        <v>5989.37071461692</v>
      </c>
      <c r="AP100" s="48" t="n">
        <f aca="false">AO100+AP99</f>
        <v>6642.8405125287</v>
      </c>
      <c r="AQ100" s="48" t="n">
        <f aca="false">AP100+AQ99</f>
        <v>7261.2672344989</v>
      </c>
      <c r="AR100" s="48" t="n">
        <f aca="false">AQ100+AR99</f>
        <v>7844.65088052752</v>
      </c>
      <c r="AS100" s="48" t="n">
        <f aca="false">AR100+AS99</f>
        <v>8498.1206784393</v>
      </c>
      <c r="AT100" s="48" t="n">
        <f aca="false">AS100+AT99</f>
        <v>9116.5474004095</v>
      </c>
      <c r="AU100" s="48" t="n">
        <f aca="false">AT100+AU99</f>
        <v>9734.9741223797</v>
      </c>
      <c r="AV100" s="48" t="n">
        <f aca="false">AU100+AV99</f>
        <v>10388.4439202915</v>
      </c>
      <c r="AW100" s="48" t="n">
        <f aca="false">AV100+AW99</f>
        <v>11006.8706422617</v>
      </c>
      <c r="AX100" s="48" t="n">
        <f aca="false">AW100+AX99</f>
        <v>11625.2973642319</v>
      </c>
      <c r="AY100" s="48" t="n">
        <f aca="false">AX100+AY99</f>
        <v>12278.7671621437</v>
      </c>
      <c r="AZ100" s="48" t="n">
        <f aca="false">AY100+AZ99</f>
        <v>12897.1938841139</v>
      </c>
      <c r="BA100" s="48" t="n">
        <f aca="false">AZ100+BA99</f>
        <v>13515.6206060841</v>
      </c>
      <c r="BB100" s="48" t="n">
        <f aca="false">BA100+BB99</f>
        <v>14110.6852774265</v>
      </c>
      <c r="BC100" s="48" t="n">
        <f aca="false">BB100+BC99</f>
        <v>14717.1657493967</v>
      </c>
      <c r="BD100" s="48" t="n">
        <f aca="false">BC100+BD99</f>
        <v>15323.6462213669</v>
      </c>
      <c r="BE100" s="48" t="n">
        <f aca="false">BD100+BE99</f>
        <v>15965.1697692787</v>
      </c>
      <c r="BF100" s="48" t="n">
        <f aca="false">BE100+BF99</f>
        <v>16571.6502412489</v>
      </c>
      <c r="BG100" s="48" t="n">
        <f aca="false">BF100+BG99</f>
        <v>17178.1307132191</v>
      </c>
      <c r="BH100" s="48" t="n">
        <f aca="false">BG100+BH99</f>
        <v>17819.6542611309</v>
      </c>
      <c r="BI100" s="48" t="n">
        <f aca="false">BH100+BI99</f>
        <v>18426.1347331011</v>
      </c>
      <c r="BJ100" s="48" t="n">
        <f aca="false">BI100+BJ99</f>
        <v>19032.6152050713</v>
      </c>
      <c r="BK100" s="48" t="n">
        <f aca="false">BJ100+BK99</f>
        <v>19674.1387529831</v>
      </c>
      <c r="BL100" s="48" t="n">
        <f aca="false">BK100+BL99</f>
        <v>20245.5761490117</v>
      </c>
      <c r="BM100" s="48" t="n">
        <f aca="false">BL100+BM99</f>
        <v>20852.0566209819</v>
      </c>
      <c r="BN100" s="48" t="n">
        <f aca="false">BM100+BN99</f>
        <v>21493.5801688937</v>
      </c>
      <c r="BO100" s="48" t="n">
        <f aca="false">BN100+BO99</f>
        <v>22100.0606408639</v>
      </c>
      <c r="BP100" s="48" t="n">
        <f aca="false">BO100+BP99</f>
        <v>22706.5411128341</v>
      </c>
      <c r="BQ100" s="48" t="n">
        <f aca="false">BP100+BQ99</f>
        <v>23348.0646607459</v>
      </c>
      <c r="BR100" s="48" t="n">
        <f aca="false">BQ100+BR99</f>
        <v>23954.5451327161</v>
      </c>
      <c r="BS100" s="48" t="n">
        <f aca="false">BR100+BS99</f>
        <v>24561.0256046863</v>
      </c>
      <c r="BT100" s="48" t="n">
        <f aca="false">BS100+BT99</f>
        <v>25202.549152598</v>
      </c>
      <c r="BU100" s="48" t="n">
        <f aca="false">BT100+BU99</f>
        <v>25809.0296245682</v>
      </c>
      <c r="BV100" s="48" t="n">
        <f aca="false">BU100+BV99</f>
        <v>26380.4670205969</v>
      </c>
      <c r="BW100" s="48" t="n">
        <f aca="false">BV100+BW99</f>
        <v>26380.4670205969</v>
      </c>
      <c r="BX100" s="48" t="n">
        <f aca="false">BW100+BX99</f>
        <v>26380.4670205969</v>
      </c>
    </row>
    <row r="101" customFormat="false" ht="15" hidden="false" customHeight="false" outlineLevel="0" collapsed="false">
      <c r="A101" s="1"/>
      <c r="B101" s="8" t="s">
        <v>363</v>
      </c>
      <c r="C101" s="8" t="s">
        <v>126</v>
      </c>
      <c r="D101" s="44" t="n">
        <f aca="false">SUM(G101:BX101)</f>
        <v>-821.159343976801</v>
      </c>
      <c r="E101" s="1"/>
      <c r="F101" s="1"/>
      <c r="G101" s="48" t="n">
        <f aca="false">G99*G46</f>
        <v>0</v>
      </c>
      <c r="H101" s="48" t="n">
        <f aca="false">H99*H46</f>
        <v>0</v>
      </c>
      <c r="I101" s="48" t="n">
        <f aca="false">I99*I46</f>
        <v>0</v>
      </c>
      <c r="J101" s="48" t="n">
        <f aca="false">J99*J46</f>
        <v>-1948.20727230859</v>
      </c>
      <c r="K101" s="48" t="n">
        <f aca="false">K99*K46</f>
        <v>-2506.91971491846</v>
      </c>
      <c r="L101" s="48" t="n">
        <f aca="false">L99*L46</f>
        <v>-3051.29619415334</v>
      </c>
      <c r="M101" s="48" t="n">
        <f aca="false">M99*M46</f>
        <v>-2273.8500815587</v>
      </c>
      <c r="N101" s="48" t="n">
        <f aca="false">N99*N46</f>
        <v>-1643.93006807541</v>
      </c>
      <c r="O101" s="48" t="n">
        <f aca="false">O99*O46</f>
        <v>533.930446774749</v>
      </c>
      <c r="P101" s="48" t="n">
        <f aca="false">P99*P46</f>
        <v>477.220088964499</v>
      </c>
      <c r="Q101" s="48" t="n">
        <f aca="false">Q99*Q46</f>
        <v>454.495322823332</v>
      </c>
      <c r="R101" s="48" t="n">
        <f aca="false">R99*R46</f>
        <v>536.05973937653</v>
      </c>
      <c r="S101" s="48" t="n">
        <f aca="false">S99*S46</f>
        <v>482.645333017246</v>
      </c>
      <c r="T101" s="48" t="n">
        <f aca="false">T99*T46</f>
        <v>459.662221921186</v>
      </c>
      <c r="U101" s="48" t="n">
        <f aca="false">U99*U46</f>
        <v>463.06855793243</v>
      </c>
      <c r="V101" s="48" t="n">
        <f aca="false">V99*V46</f>
        <v>409.082971059483</v>
      </c>
      <c r="W101" s="48" t="n">
        <f aca="false">W99*W46</f>
        <v>386.435153862887</v>
      </c>
      <c r="X101" s="48" t="n">
        <f aca="false">X99*X46</f>
        <v>354.850173826292</v>
      </c>
      <c r="Y101" s="48" t="n">
        <f aca="false">Y99*Y46</f>
        <v>344.761725558041</v>
      </c>
      <c r="Z101" s="48" t="n">
        <f aca="false">Z99*Z46</f>
        <v>328.344500531468</v>
      </c>
      <c r="AA101" s="48" t="n">
        <f aca="false">AA99*AA46</f>
        <v>329.791401274703</v>
      </c>
      <c r="AB101" s="48" t="n">
        <f aca="false">AB99*AB46</f>
        <v>297.818141071626</v>
      </c>
      <c r="AC101" s="48" t="n">
        <f aca="false">AC99*AC46</f>
        <v>276.545019654105</v>
      </c>
      <c r="AD101" s="48" t="n">
        <f aca="false">AD99*AD46</f>
        <v>275.431138525449</v>
      </c>
      <c r="AE101" s="48" t="n">
        <f aca="false">AE99*AE46</f>
        <v>244.868652495363</v>
      </c>
      <c r="AF101" s="48" t="n">
        <f aca="false">AF99*AF46</f>
        <v>216.922257612368</v>
      </c>
      <c r="AG101" s="48" t="n">
        <f aca="false">AG99*AG46</f>
        <v>218.001646290929</v>
      </c>
      <c r="AH101" s="48" t="n">
        <f aca="false">AH99*AH46</f>
        <v>185.889148861006</v>
      </c>
      <c r="AI101" s="48" t="n">
        <f aca="false">AI99*AI46</f>
        <v>187.385602083894</v>
      </c>
      <c r="AJ101" s="48" t="n">
        <f aca="false">AJ99*AJ46</f>
        <v>188.318018607864</v>
      </c>
      <c r="AK101" s="48" t="n">
        <f aca="false">AK99*AK46</f>
        <v>166.604492798802</v>
      </c>
      <c r="AL101" s="48" t="n">
        <f aca="false">AL99*AL46</f>
        <v>157.756721813853</v>
      </c>
      <c r="AM101" s="48" t="n">
        <f aca="false">AM99*AM46</f>
        <v>158.758083345211</v>
      </c>
      <c r="AN101" s="48" t="n">
        <f aca="false">AN99*AN46</f>
        <v>143.08999711007</v>
      </c>
      <c r="AO101" s="48" t="n">
        <f aca="false">AO99*AO46</f>
        <v>136.276187723877</v>
      </c>
      <c r="AP101" s="48" t="n">
        <f aca="false">AP99*AP46</f>
        <v>137.141201464387</v>
      </c>
      <c r="AQ101" s="48" t="n">
        <f aca="false">AQ99*AQ46</f>
        <v>123.606519477439</v>
      </c>
      <c r="AR101" s="48" t="n">
        <f aca="false">AR99*AR46</f>
        <v>111.049877041483</v>
      </c>
      <c r="AS101" s="48" t="n">
        <f aca="false">AS99*AS46</f>
        <v>118.467726132717</v>
      </c>
      <c r="AT101" s="48" t="n">
        <f aca="false">AT99*AT46</f>
        <v>106.775958948225</v>
      </c>
      <c r="AU101" s="48" t="n">
        <f aca="false">AU99*AU46</f>
        <v>101.6913894745</v>
      </c>
      <c r="AV101" s="48" t="n">
        <f aca="false">AV99*AV46</f>
        <v>102.336876045971</v>
      </c>
      <c r="AW101" s="48" t="n">
        <f aca="false">AW99*AW46</f>
        <v>92.2370879587303</v>
      </c>
      <c r="AX101" s="48" t="n">
        <f aca="false">AX99*AX46</f>
        <v>87.8448456749812</v>
      </c>
      <c r="AY101" s="48" t="n">
        <f aca="false">AY99*AY46</f>
        <v>88.4024412447651</v>
      </c>
      <c r="AZ101" s="48" t="n">
        <f aca="false">AZ99*AZ46</f>
        <v>79.6778645578061</v>
      </c>
      <c r="BA101" s="48" t="n">
        <f aca="false">BA99*BA46</f>
        <v>75.8836805312439</v>
      </c>
      <c r="BB101" s="48" t="n">
        <f aca="false">BB99*BB46</f>
        <v>69.5400515247314</v>
      </c>
      <c r="BC101" s="48" t="n">
        <f aca="false">BC99*BC46</f>
        <v>67.499159256092</v>
      </c>
      <c r="BD101" s="48" t="n">
        <f aca="false">BD99*BD46</f>
        <v>64.2849135772305</v>
      </c>
      <c r="BE101" s="48" t="n">
        <f aca="false">BE99*BE46</f>
        <v>64.7612982041477</v>
      </c>
      <c r="BF101" s="48" t="n">
        <f aca="false">BF99*BF46</f>
        <v>58.3083116346762</v>
      </c>
      <c r="BG101" s="48" t="n">
        <f aca="false">BG99*BG46</f>
        <v>55.5317253663583</v>
      </c>
      <c r="BH101" s="48" t="n">
        <f aca="false">BH99*BH46</f>
        <v>55.9432443184517</v>
      </c>
      <c r="BI101" s="48" t="n">
        <f aca="false">BI99*BI46</f>
        <v>50.3689118969236</v>
      </c>
      <c r="BJ101" s="48" t="n">
        <f aca="false">BJ99*BJ46</f>
        <v>47.9703922827844</v>
      </c>
      <c r="BK101" s="48" t="n">
        <f aca="false">BK99*BK46</f>
        <v>48.325877826111</v>
      </c>
      <c r="BL101" s="48" t="n">
        <f aca="false">BL99*BL46</f>
        <v>40.9964742386868</v>
      </c>
      <c r="BM101" s="48" t="n">
        <f aca="false">BM99*BM46</f>
        <v>41.4386284701733</v>
      </c>
      <c r="BN101" s="48" t="n">
        <f aca="false">BN99*BN46</f>
        <v>41.7457102482332</v>
      </c>
      <c r="BO101" s="48" t="n">
        <f aca="false">BO99*BO46</f>
        <v>37.5860575693182</v>
      </c>
      <c r="BP101" s="48" t="n">
        <f aca="false">BP99*BP46</f>
        <v>35.7962453041126</v>
      </c>
      <c r="BQ101" s="48" t="n">
        <f aca="false">BQ99*BQ46</f>
        <v>36.0615140898246</v>
      </c>
      <c r="BR101" s="48" t="n">
        <f aca="false">BR99*BR46</f>
        <v>32.4682497089456</v>
      </c>
      <c r="BS101" s="48" t="n">
        <f aca="false">BS99*BS46</f>
        <v>30.9221425799482</v>
      </c>
      <c r="BT101" s="48" t="n">
        <f aca="false">BT99*BT46</f>
        <v>31.1512917307631</v>
      </c>
      <c r="BU101" s="48" t="n">
        <f aca="false">BU99*BU46</f>
        <v>28.0472948570959</v>
      </c>
      <c r="BV101" s="48" t="n">
        <f aca="false">BV99*BV46</f>
        <v>25.1682788835721</v>
      </c>
      <c r="BW101" s="48" t="n">
        <f aca="false">BW99*BW46</f>
        <v>0</v>
      </c>
      <c r="BX101" s="48" t="n">
        <f aca="false">BX99*BX46</f>
        <v>0</v>
      </c>
    </row>
    <row r="102" customFormat="false" ht="15" hidden="false" customHeight="false" outlineLevel="0" collapsed="false">
      <c r="A102" s="1"/>
      <c r="B102" s="4" t="s">
        <v>364</v>
      </c>
      <c r="C102" s="1"/>
      <c r="D102" s="44" t="n">
        <f aca="false">SUMPRODUCT($G$99:$BX$99,$G$46:$BX$46)</f>
        <v>-821.159343976801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</row>
    <row r="103" customFormat="false" ht="15" hidden="false" customHeight="false" outlineLevel="0" collapsed="false">
      <c r="A103" s="1"/>
      <c r="B103" s="4" t="s">
        <v>365</v>
      </c>
      <c r="C103" s="1"/>
      <c r="D103" s="44" t="n">
        <f aca="false">SUMPRODUCT($G$98:$BX$98,$G$46:$BX$46)</f>
        <v>154.445714362759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</row>
    <row r="104" customFormat="false" ht="15" hidden="false" customHeight="false" outlineLevel="0" collapsed="false">
      <c r="A104" s="1"/>
      <c r="B104" s="4" t="s">
        <v>366</v>
      </c>
      <c r="C104" s="1"/>
      <c r="D104" s="50" t="n">
        <f aca="true">IFERROR(IRR(OFFSET(G99,0,$D$12-2027,1,$D$11+$D$9),0.05),"n/a")</f>
        <v>0.0459428365264868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</row>
    <row r="105" customFormat="false" ht="15" hidden="false" customHeight="false" outlineLevel="0" collapsed="false">
      <c r="A105" s="1"/>
      <c r="B105" s="4" t="s">
        <v>367</v>
      </c>
      <c r="C105" s="1"/>
      <c r="D105" s="44" t="n">
        <f aca="false">SUMPRODUCT($G$60:$BX$60,$G$46:$BX$46)</f>
        <v>38292560.5328281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</row>
    <row r="106" customFormat="false" ht="15" hidden="false" customHeight="false" outlineLevel="0" collapsed="false">
      <c r="A106" s="1"/>
      <c r="B106" s="4" t="s">
        <v>368</v>
      </c>
      <c r="C106" s="1"/>
      <c r="D106" s="44" t="n">
        <f aca="false">SUMPRODUCT($G$53:$BX$53,$G$46:$BX$46)+SUMPRODUCT($G$80:$BX$80,$G$46:$BX$46)+SUMPRODUCT($G$82:$BX$82,$G$46:$BX$46)</f>
        <v>18355.795121601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</row>
    <row r="107" customFormat="false" ht="15" hidden="false" customHeight="false" outlineLevel="0" collapsed="false">
      <c r="A107" s="1"/>
      <c r="B107" s="8" t="s">
        <v>369</v>
      </c>
      <c r="C107" s="1"/>
      <c r="D107" s="48" t="n">
        <f aca="false">SUMPRODUCT($G$53:$BX$53,$G$46:$BX$46)</f>
        <v>11424.2033310145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</row>
    <row r="108" customFormat="false" ht="15" hidden="false" customHeight="false" outlineLevel="0" collapsed="false">
      <c r="A108" s="1"/>
      <c r="B108" s="8" t="s">
        <v>370</v>
      </c>
      <c r="C108" s="1"/>
      <c r="D108" s="48" t="n">
        <f aca="false">SUMPRODUCT($G$74:$BX$74,$G$46:$BX$46)</f>
        <v>2604.16802645139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</row>
    <row r="109" customFormat="false" ht="15" hidden="false" customHeight="false" outlineLevel="0" collapsed="false">
      <c r="A109" s="1"/>
      <c r="B109" s="8" t="s">
        <v>371</v>
      </c>
      <c r="C109" s="1"/>
      <c r="D109" s="48" t="n">
        <f aca="false">SUMPRODUCT($G$69:$BX$69,$G$46:$BX$46)</f>
        <v>1187.06937651767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</row>
    <row r="110" customFormat="false" ht="15" hidden="false" customHeight="false" outlineLevel="0" collapsed="false">
      <c r="A110" s="1"/>
      <c r="B110" s="8" t="s">
        <v>372</v>
      </c>
      <c r="C110" s="1"/>
      <c r="D110" s="48" t="n">
        <f aca="false">SUMPRODUCT($G$70:$BX$70,$G$46:$BX$46)</f>
        <v>0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</row>
    <row r="111" customFormat="false" ht="15" hidden="false" customHeight="false" outlineLevel="0" collapsed="false">
      <c r="A111" s="1"/>
      <c r="B111" s="8" t="s">
        <v>373</v>
      </c>
      <c r="C111" s="1"/>
      <c r="D111" s="48" t="n">
        <f aca="false">SUMPRODUCT($G$71:$BX$71,$G$46:$BX$46)+SUMPRODUCT($G$72:$BX$72,$G$46:$BX$46)</f>
        <v>421.218165861109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</row>
    <row r="112" customFormat="false" ht="15" hidden="false" customHeight="false" outlineLevel="0" collapsed="false">
      <c r="A112" s="1"/>
      <c r="B112" s="8" t="s">
        <v>374</v>
      </c>
      <c r="C112" s="1"/>
      <c r="D112" s="48" t="n">
        <f aca="false">SUMPRODUCT($G$73:$BX$73,$G$46:$BX$46)+SUMPRODUCT($G$82:$BX$82,$G$46:$BX$46)</f>
        <v>995.606573853531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</row>
    <row r="113" customFormat="false" ht="15" hidden="false" customHeight="false" outlineLevel="0" collapsed="false">
      <c r="A113" s="1"/>
      <c r="B113" s="8" t="s">
        <v>375</v>
      </c>
      <c r="C113" s="1"/>
      <c r="D113" s="48" t="n">
        <f aca="false">SUMPRODUCT($G$76:$BX$76,$G$46:$BX$46)</f>
        <v>920.841739495288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</row>
    <row r="114" customFormat="false" ht="15" hidden="false" customHeight="false" outlineLevel="0" collapsed="false">
      <c r="A114" s="1"/>
      <c r="B114" s="8" t="s">
        <v>376</v>
      </c>
      <c r="C114" s="1"/>
      <c r="D114" s="48" t="n">
        <f aca="false">SUMPRODUCT($G$78:$BX$78,$G$46:$BX$46)+SUMPRODUCT($G$79:$BX$79,$G$46:$BX$46)+SUMPRODUCT($G$77:$BX$77,$G$46:$BX$46)</f>
        <v>802.68790840754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</row>
    <row r="115" customFormat="false" ht="15" hidden="false" customHeight="false" outlineLevel="0" collapsed="false">
      <c r="A115" s="1"/>
      <c r="B115" s="4" t="s">
        <v>377</v>
      </c>
      <c r="C115" s="1"/>
      <c r="D115" s="44" t="n">
        <f aca="false">SUMPRODUCT($G$66:$BX$66,$G$46:$BX$46)</f>
        <v>18510.2408359638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</row>
    <row r="116" customFormat="false" ht="15" hidden="false" customHeight="false" outlineLevel="0" collapsed="false">
      <c r="A116" s="1"/>
      <c r="B116" s="4" t="s">
        <v>10</v>
      </c>
      <c r="C116" s="1"/>
      <c r="D116" s="46" t="n">
        <f aca="false">IFERROR($D$106*1000000/$D$105,0)</f>
        <v>479.356691383034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</row>
    <row r="117" customFormat="false" ht="15" hidden="false" customHeight="false" outlineLevel="0" collapsed="false">
      <c r="A117" s="1"/>
      <c r="B117" s="4" t="s">
        <v>11</v>
      </c>
      <c r="C117" s="1"/>
      <c r="D117" s="46" t="n">
        <f aca="false">IFERROR($D$115*1000000/$D$105,0)</f>
        <v>483.39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</row>
    <row r="118" customFormat="false" ht="15" hidden="false" customHeight="false" outlineLevel="0" collapsed="false">
      <c r="A118" s="1"/>
      <c r="B118" s="4" t="s">
        <v>378</v>
      </c>
      <c r="C118" s="1"/>
      <c r="D118" s="50" t="n">
        <f aca="false">IFERROR(AVERAGEIF($G$43:$BX$43,1,$G$59:$BX$59),0)</f>
        <v>0.937093607305936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</row>
    <row r="119" customFormat="false" ht="15" hidden="false" customHeight="false" outlineLevel="0" collapsed="false">
      <c r="A119" s="1"/>
      <c r="B119" s="4" t="s">
        <v>379</v>
      </c>
      <c r="C119" s="1"/>
      <c r="D119" s="44" t="n">
        <f aca="false">SUMPRODUCT($G$63:$BX$63,$G$46:$BX$46)+SUMPRODUCT($G$64:$BX$64,$G$46:$BX$46)</f>
        <v>0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</row>
    <row r="120" customFormat="false" ht="15" hidden="false" customHeight="false" outlineLevel="0" collapsed="false">
      <c r="A120" s="1"/>
      <c r="B120" s="4" t="s">
        <v>409</v>
      </c>
      <c r="C120" s="1"/>
      <c r="D120" s="46" t="n">
        <f aca="false">-$D$102/((1-$D$17)*$D$105/1000000)</f>
        <v>26.4745149910643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</row>
    <row r="122" customFormat="false" ht="15" hidden="false" customHeight="false" outlineLevel="0" collapsed="false">
      <c r="A122" s="1"/>
      <c r="B122" s="13" t="s">
        <v>381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</row>
    <row r="123" customFormat="false" ht="15" hidden="false" customHeight="false" outlineLevel="0" collapsed="false">
      <c r="A123" s="1"/>
      <c r="B123" s="8" t="s">
        <v>382</v>
      </c>
      <c r="C123" s="8" t="s">
        <v>126</v>
      </c>
      <c r="D123" s="44" t="n">
        <f aca="false">SUM(G123:BX123)</f>
        <v>1368</v>
      </c>
      <c r="E123" s="1"/>
      <c r="F123" s="1"/>
      <c r="G123" s="48" t="n">
        <f aca="false">G78*$D$23</f>
        <v>0</v>
      </c>
      <c r="H123" s="48" t="n">
        <f aca="false">H78*$D$23</f>
        <v>0</v>
      </c>
      <c r="I123" s="48" t="n">
        <f aca="false">I78*$D$23</f>
        <v>0</v>
      </c>
      <c r="J123" s="48" t="n">
        <f aca="false">J78*$D$23</f>
        <v>0</v>
      </c>
      <c r="K123" s="48" t="n">
        <f aca="false">K78*$D$23</f>
        <v>0</v>
      </c>
      <c r="L123" s="48" t="n">
        <f aca="false">L78*$D$23</f>
        <v>0</v>
      </c>
      <c r="M123" s="48" t="n">
        <f aca="false">M78*$D$23</f>
        <v>0</v>
      </c>
      <c r="N123" s="48" t="n">
        <f aca="false">N78*$D$23</f>
        <v>0</v>
      </c>
      <c r="O123" s="48" t="n">
        <f aca="false">O78*$D$23</f>
        <v>22.8</v>
      </c>
      <c r="P123" s="48" t="n">
        <f aca="false">P78*$D$23</f>
        <v>22.8</v>
      </c>
      <c r="Q123" s="48" t="n">
        <f aca="false">Q78*$D$23</f>
        <v>22.8</v>
      </c>
      <c r="R123" s="48" t="n">
        <f aca="false">R78*$D$23</f>
        <v>22.8</v>
      </c>
      <c r="S123" s="48" t="n">
        <f aca="false">S78*$D$23</f>
        <v>22.8</v>
      </c>
      <c r="T123" s="48" t="n">
        <f aca="false">T78*$D$23</f>
        <v>22.8</v>
      </c>
      <c r="U123" s="48" t="n">
        <f aca="false">U78*$D$23</f>
        <v>22.8</v>
      </c>
      <c r="V123" s="48" t="n">
        <f aca="false">V78*$D$23</f>
        <v>22.8</v>
      </c>
      <c r="W123" s="48" t="n">
        <f aca="false">W78*$D$23</f>
        <v>22.8</v>
      </c>
      <c r="X123" s="48" t="n">
        <f aca="false">X78*$D$23</f>
        <v>22.8</v>
      </c>
      <c r="Y123" s="48" t="n">
        <f aca="false">Y78*$D$23</f>
        <v>22.8</v>
      </c>
      <c r="Z123" s="48" t="n">
        <f aca="false">Z78*$D$23</f>
        <v>22.8</v>
      </c>
      <c r="AA123" s="48" t="n">
        <f aca="false">AA78*$D$23</f>
        <v>22.8</v>
      </c>
      <c r="AB123" s="48" t="n">
        <f aca="false">AB78*$D$23</f>
        <v>22.8</v>
      </c>
      <c r="AC123" s="48" t="n">
        <f aca="false">AC78*$D$23</f>
        <v>22.8</v>
      </c>
      <c r="AD123" s="48" t="n">
        <f aca="false">AD78*$D$23</f>
        <v>22.8</v>
      </c>
      <c r="AE123" s="48" t="n">
        <f aca="false">AE78*$D$23</f>
        <v>22.8</v>
      </c>
      <c r="AF123" s="48" t="n">
        <f aca="false">AF78*$D$23</f>
        <v>22.8</v>
      </c>
      <c r="AG123" s="48" t="n">
        <f aca="false">AG78*$D$23</f>
        <v>22.8</v>
      </c>
      <c r="AH123" s="48" t="n">
        <f aca="false">AH78*$D$23</f>
        <v>22.8</v>
      </c>
      <c r="AI123" s="48" t="n">
        <f aca="false">AI78*$D$23</f>
        <v>22.8</v>
      </c>
      <c r="AJ123" s="48" t="n">
        <f aca="false">AJ78*$D$23</f>
        <v>22.8</v>
      </c>
      <c r="AK123" s="48" t="n">
        <f aca="false">AK78*$D$23</f>
        <v>22.8</v>
      </c>
      <c r="AL123" s="48" t="n">
        <f aca="false">AL78*$D$23</f>
        <v>22.8</v>
      </c>
      <c r="AM123" s="48" t="n">
        <f aca="false">AM78*$D$23</f>
        <v>22.8</v>
      </c>
      <c r="AN123" s="48" t="n">
        <f aca="false">AN78*$D$23</f>
        <v>22.8</v>
      </c>
      <c r="AO123" s="48" t="n">
        <f aca="false">AO78*$D$23</f>
        <v>22.8</v>
      </c>
      <c r="AP123" s="48" t="n">
        <f aca="false">AP78*$D$23</f>
        <v>22.8</v>
      </c>
      <c r="AQ123" s="48" t="n">
        <f aca="false">AQ78*$D$23</f>
        <v>22.8</v>
      </c>
      <c r="AR123" s="48" t="n">
        <f aca="false">AR78*$D$23</f>
        <v>22.8</v>
      </c>
      <c r="AS123" s="48" t="n">
        <f aca="false">AS78*$D$23</f>
        <v>22.8</v>
      </c>
      <c r="AT123" s="48" t="n">
        <f aca="false">AT78*$D$23</f>
        <v>22.8</v>
      </c>
      <c r="AU123" s="48" t="n">
        <f aca="false">AU78*$D$23</f>
        <v>22.8</v>
      </c>
      <c r="AV123" s="48" t="n">
        <f aca="false">AV78*$D$23</f>
        <v>22.8</v>
      </c>
      <c r="AW123" s="48" t="n">
        <f aca="false">AW78*$D$23</f>
        <v>22.8</v>
      </c>
      <c r="AX123" s="48" t="n">
        <f aca="false">AX78*$D$23</f>
        <v>22.8</v>
      </c>
      <c r="AY123" s="48" t="n">
        <f aca="false">AY78*$D$23</f>
        <v>22.8</v>
      </c>
      <c r="AZ123" s="48" t="n">
        <f aca="false">AZ78*$D$23</f>
        <v>22.8</v>
      </c>
      <c r="BA123" s="48" t="n">
        <f aca="false">BA78*$D$23</f>
        <v>22.8</v>
      </c>
      <c r="BB123" s="48" t="n">
        <f aca="false">BB78*$D$23</f>
        <v>22.8</v>
      </c>
      <c r="BC123" s="48" t="n">
        <f aca="false">BC78*$D$23</f>
        <v>22.8</v>
      </c>
      <c r="BD123" s="48" t="n">
        <f aca="false">BD78*$D$23</f>
        <v>22.8</v>
      </c>
      <c r="BE123" s="48" t="n">
        <f aca="false">BE78*$D$23</f>
        <v>22.8</v>
      </c>
      <c r="BF123" s="48" t="n">
        <f aca="false">BF78*$D$23</f>
        <v>22.8</v>
      </c>
      <c r="BG123" s="48" t="n">
        <f aca="false">BG78*$D$23</f>
        <v>22.8</v>
      </c>
      <c r="BH123" s="48" t="n">
        <f aca="false">BH78*$D$23</f>
        <v>22.8</v>
      </c>
      <c r="BI123" s="48" t="n">
        <f aca="false">BI78*$D$23</f>
        <v>22.8</v>
      </c>
      <c r="BJ123" s="48" t="n">
        <f aca="false">BJ78*$D$23</f>
        <v>22.8</v>
      </c>
      <c r="BK123" s="48" t="n">
        <f aca="false">BK78*$D$23</f>
        <v>22.8</v>
      </c>
      <c r="BL123" s="48" t="n">
        <f aca="false">BL78*$D$23</f>
        <v>22.8</v>
      </c>
      <c r="BM123" s="48" t="n">
        <f aca="false">BM78*$D$23</f>
        <v>22.8</v>
      </c>
      <c r="BN123" s="48" t="n">
        <f aca="false">BN78*$D$23</f>
        <v>22.8</v>
      </c>
      <c r="BO123" s="48" t="n">
        <f aca="false">BO78*$D$23</f>
        <v>22.8</v>
      </c>
      <c r="BP123" s="48" t="n">
        <f aca="false">BP78*$D$23</f>
        <v>22.8</v>
      </c>
      <c r="BQ123" s="48" t="n">
        <f aca="false">BQ78*$D$23</f>
        <v>22.8</v>
      </c>
      <c r="BR123" s="48" t="n">
        <f aca="false">BR78*$D$23</f>
        <v>22.8</v>
      </c>
      <c r="BS123" s="48" t="n">
        <f aca="false">BS78*$D$23</f>
        <v>22.8</v>
      </c>
      <c r="BT123" s="48" t="n">
        <f aca="false">BT78*$D$23</f>
        <v>22.8</v>
      </c>
      <c r="BU123" s="48" t="n">
        <f aca="false">BU78*$D$23</f>
        <v>22.8</v>
      </c>
      <c r="BV123" s="48" t="n">
        <f aca="false">BV78*$D$23</f>
        <v>22.8</v>
      </c>
      <c r="BW123" s="48" t="n">
        <f aca="false">BW78*$D$23</f>
        <v>0</v>
      </c>
      <c r="BX123" s="48" t="n">
        <f aca="false">BX78*$D$23</f>
        <v>0</v>
      </c>
    </row>
    <row r="124" customFormat="false" ht="15" hidden="false" customHeight="false" outlineLevel="0" collapsed="false">
      <c r="A124" s="1"/>
      <c r="B124" s="8" t="s">
        <v>383</v>
      </c>
      <c r="C124" s="8" t="s">
        <v>126</v>
      </c>
      <c r="D124" s="44" t="n">
        <f aca="false">SUM(G124:BX124)</f>
        <v>1368</v>
      </c>
      <c r="E124" s="1"/>
      <c r="F124" s="1"/>
      <c r="G124" s="48" t="n">
        <f aca="false">G78*(1-$D$23)</f>
        <v>0</v>
      </c>
      <c r="H124" s="48" t="n">
        <f aca="false">H78*(1-$D$23)</f>
        <v>0</v>
      </c>
      <c r="I124" s="48" t="n">
        <f aca="false">I78*(1-$D$23)</f>
        <v>0</v>
      </c>
      <c r="J124" s="48" t="n">
        <f aca="false">J78*(1-$D$23)</f>
        <v>0</v>
      </c>
      <c r="K124" s="48" t="n">
        <f aca="false">K78*(1-$D$23)</f>
        <v>0</v>
      </c>
      <c r="L124" s="48" t="n">
        <f aca="false">L78*(1-$D$23)</f>
        <v>0</v>
      </c>
      <c r="M124" s="48" t="n">
        <f aca="false">M78*(1-$D$23)</f>
        <v>0</v>
      </c>
      <c r="N124" s="48" t="n">
        <f aca="false">N78*(1-$D$23)</f>
        <v>0</v>
      </c>
      <c r="O124" s="48" t="n">
        <f aca="false">O78*(1-$D$23)</f>
        <v>22.8</v>
      </c>
      <c r="P124" s="48" t="n">
        <f aca="false">P78*(1-$D$23)</f>
        <v>22.8</v>
      </c>
      <c r="Q124" s="48" t="n">
        <f aca="false">Q78*(1-$D$23)</f>
        <v>22.8</v>
      </c>
      <c r="R124" s="48" t="n">
        <f aca="false">R78*(1-$D$23)</f>
        <v>22.8</v>
      </c>
      <c r="S124" s="48" t="n">
        <f aca="false">S78*(1-$D$23)</f>
        <v>22.8</v>
      </c>
      <c r="T124" s="48" t="n">
        <f aca="false">T78*(1-$D$23)</f>
        <v>22.8</v>
      </c>
      <c r="U124" s="48" t="n">
        <f aca="false">U78*(1-$D$23)</f>
        <v>22.8</v>
      </c>
      <c r="V124" s="48" t="n">
        <f aca="false">V78*(1-$D$23)</f>
        <v>22.8</v>
      </c>
      <c r="W124" s="48" t="n">
        <f aca="false">W78*(1-$D$23)</f>
        <v>22.8</v>
      </c>
      <c r="X124" s="48" t="n">
        <f aca="false">X78*(1-$D$23)</f>
        <v>22.8</v>
      </c>
      <c r="Y124" s="48" t="n">
        <f aca="false">Y78*(1-$D$23)</f>
        <v>22.8</v>
      </c>
      <c r="Z124" s="48" t="n">
        <f aca="false">Z78*(1-$D$23)</f>
        <v>22.8</v>
      </c>
      <c r="AA124" s="48" t="n">
        <f aca="false">AA78*(1-$D$23)</f>
        <v>22.8</v>
      </c>
      <c r="AB124" s="48" t="n">
        <f aca="false">AB78*(1-$D$23)</f>
        <v>22.8</v>
      </c>
      <c r="AC124" s="48" t="n">
        <f aca="false">AC78*(1-$D$23)</f>
        <v>22.8</v>
      </c>
      <c r="AD124" s="48" t="n">
        <f aca="false">AD78*(1-$D$23)</f>
        <v>22.8</v>
      </c>
      <c r="AE124" s="48" t="n">
        <f aca="false">AE78*(1-$D$23)</f>
        <v>22.8</v>
      </c>
      <c r="AF124" s="48" t="n">
        <f aca="false">AF78*(1-$D$23)</f>
        <v>22.8</v>
      </c>
      <c r="AG124" s="48" t="n">
        <f aca="false">AG78*(1-$D$23)</f>
        <v>22.8</v>
      </c>
      <c r="AH124" s="48" t="n">
        <f aca="false">AH78*(1-$D$23)</f>
        <v>22.8</v>
      </c>
      <c r="AI124" s="48" t="n">
        <f aca="false">AI78*(1-$D$23)</f>
        <v>22.8</v>
      </c>
      <c r="AJ124" s="48" t="n">
        <f aca="false">AJ78*(1-$D$23)</f>
        <v>22.8</v>
      </c>
      <c r="AK124" s="48" t="n">
        <f aca="false">AK78*(1-$D$23)</f>
        <v>22.8</v>
      </c>
      <c r="AL124" s="48" t="n">
        <f aca="false">AL78*(1-$D$23)</f>
        <v>22.8</v>
      </c>
      <c r="AM124" s="48" t="n">
        <f aca="false">AM78*(1-$D$23)</f>
        <v>22.8</v>
      </c>
      <c r="AN124" s="48" t="n">
        <f aca="false">AN78*(1-$D$23)</f>
        <v>22.8</v>
      </c>
      <c r="AO124" s="48" t="n">
        <f aca="false">AO78*(1-$D$23)</f>
        <v>22.8</v>
      </c>
      <c r="AP124" s="48" t="n">
        <f aca="false">AP78*(1-$D$23)</f>
        <v>22.8</v>
      </c>
      <c r="AQ124" s="48" t="n">
        <f aca="false">AQ78*(1-$D$23)</f>
        <v>22.8</v>
      </c>
      <c r="AR124" s="48" t="n">
        <f aca="false">AR78*(1-$D$23)</f>
        <v>22.8</v>
      </c>
      <c r="AS124" s="48" t="n">
        <f aca="false">AS78*(1-$D$23)</f>
        <v>22.8</v>
      </c>
      <c r="AT124" s="48" t="n">
        <f aca="false">AT78*(1-$D$23)</f>
        <v>22.8</v>
      </c>
      <c r="AU124" s="48" t="n">
        <f aca="false">AU78*(1-$D$23)</f>
        <v>22.8</v>
      </c>
      <c r="AV124" s="48" t="n">
        <f aca="false">AV78*(1-$D$23)</f>
        <v>22.8</v>
      </c>
      <c r="AW124" s="48" t="n">
        <f aca="false">AW78*(1-$D$23)</f>
        <v>22.8</v>
      </c>
      <c r="AX124" s="48" t="n">
        <f aca="false">AX78*(1-$D$23)</f>
        <v>22.8</v>
      </c>
      <c r="AY124" s="48" t="n">
        <f aca="false">AY78*(1-$D$23)</f>
        <v>22.8</v>
      </c>
      <c r="AZ124" s="48" t="n">
        <f aca="false">AZ78*(1-$D$23)</f>
        <v>22.8</v>
      </c>
      <c r="BA124" s="48" t="n">
        <f aca="false">BA78*(1-$D$23)</f>
        <v>22.8</v>
      </c>
      <c r="BB124" s="48" t="n">
        <f aca="false">BB78*(1-$D$23)</f>
        <v>22.8</v>
      </c>
      <c r="BC124" s="48" t="n">
        <f aca="false">BC78*(1-$D$23)</f>
        <v>22.8</v>
      </c>
      <c r="BD124" s="48" t="n">
        <f aca="false">BD78*(1-$D$23)</f>
        <v>22.8</v>
      </c>
      <c r="BE124" s="48" t="n">
        <f aca="false">BE78*(1-$D$23)</f>
        <v>22.8</v>
      </c>
      <c r="BF124" s="48" t="n">
        <f aca="false">BF78*(1-$D$23)</f>
        <v>22.8</v>
      </c>
      <c r="BG124" s="48" t="n">
        <f aca="false">BG78*(1-$D$23)</f>
        <v>22.8</v>
      </c>
      <c r="BH124" s="48" t="n">
        <f aca="false">BH78*(1-$D$23)</f>
        <v>22.8</v>
      </c>
      <c r="BI124" s="48" t="n">
        <f aca="false">BI78*(1-$D$23)</f>
        <v>22.8</v>
      </c>
      <c r="BJ124" s="48" t="n">
        <f aca="false">BJ78*(1-$D$23)</f>
        <v>22.8</v>
      </c>
      <c r="BK124" s="48" t="n">
        <f aca="false">BK78*(1-$D$23)</f>
        <v>22.8</v>
      </c>
      <c r="BL124" s="48" t="n">
        <f aca="false">BL78*(1-$D$23)</f>
        <v>22.8</v>
      </c>
      <c r="BM124" s="48" t="n">
        <f aca="false">BM78*(1-$D$23)</f>
        <v>22.8</v>
      </c>
      <c r="BN124" s="48" t="n">
        <f aca="false">BN78*(1-$D$23)</f>
        <v>22.8</v>
      </c>
      <c r="BO124" s="48" t="n">
        <f aca="false">BO78*(1-$D$23)</f>
        <v>22.8</v>
      </c>
      <c r="BP124" s="48" t="n">
        <f aca="false">BP78*(1-$D$23)</f>
        <v>22.8</v>
      </c>
      <c r="BQ124" s="48" t="n">
        <f aca="false">BQ78*(1-$D$23)</f>
        <v>22.8</v>
      </c>
      <c r="BR124" s="48" t="n">
        <f aca="false">BR78*(1-$D$23)</f>
        <v>22.8</v>
      </c>
      <c r="BS124" s="48" t="n">
        <f aca="false">BS78*(1-$D$23)</f>
        <v>22.8</v>
      </c>
      <c r="BT124" s="48" t="n">
        <f aca="false">BT78*(1-$D$23)</f>
        <v>22.8</v>
      </c>
      <c r="BU124" s="48" t="n">
        <f aca="false">BU78*(1-$D$23)</f>
        <v>22.8</v>
      </c>
      <c r="BV124" s="48" t="n">
        <f aca="false">BV78*(1-$D$23)</f>
        <v>22.8</v>
      </c>
      <c r="BW124" s="48" t="n">
        <f aca="false">BW78*(1-$D$23)</f>
        <v>0</v>
      </c>
      <c r="BX124" s="48" t="n">
        <f aca="false">BX78*(1-$D$23)</f>
        <v>0</v>
      </c>
    </row>
    <row r="125" customFormat="false" ht="15" hidden="false" customHeight="false" outlineLevel="0" collapsed="false">
      <c r="A125" s="1"/>
      <c r="B125" s="8" t="s">
        <v>384</v>
      </c>
      <c r="C125" s="8" t="s">
        <v>126</v>
      </c>
      <c r="D125" s="44" t="n">
        <f aca="false">SUM(G125:BX125)</f>
        <v>521.095644851296</v>
      </c>
      <c r="E125" s="1"/>
      <c r="F125" s="1"/>
      <c r="G125" s="48" t="n">
        <f aca="false">G94*Input!$H$147</f>
        <v>0</v>
      </c>
      <c r="H125" s="48" t="n">
        <f aca="false">H94*Input!$H$147</f>
        <v>0</v>
      </c>
      <c r="I125" s="48" t="n">
        <f aca="false">I94*Input!$H$147</f>
        <v>0</v>
      </c>
      <c r="J125" s="48" t="n">
        <f aca="false">J94*Input!$H$147</f>
        <v>0</v>
      </c>
      <c r="K125" s="48" t="n">
        <f aca="false">K94*Input!$H$147</f>
        <v>0</v>
      </c>
      <c r="L125" s="48" t="n">
        <f aca="false">L94*Input!$H$147</f>
        <v>0</v>
      </c>
      <c r="M125" s="48" t="n">
        <f aca="false">M94*Input!$H$147</f>
        <v>0</v>
      </c>
      <c r="N125" s="48" t="n">
        <f aca="false">N94*Input!$H$147</f>
        <v>0</v>
      </c>
      <c r="O125" s="48" t="n">
        <f aca="false">O94*Input!$H$147</f>
        <v>0</v>
      </c>
      <c r="P125" s="48" t="n">
        <f aca="false">P94*Input!$H$147</f>
        <v>0</v>
      </c>
      <c r="Q125" s="48" t="n">
        <f aca="false">Q94*Input!$H$147</f>
        <v>0</v>
      </c>
      <c r="R125" s="48" t="n">
        <f aca="false">R94*Input!$H$147</f>
        <v>0</v>
      </c>
      <c r="S125" s="48" t="n">
        <f aca="false">S94*Input!$H$147</f>
        <v>0</v>
      </c>
      <c r="T125" s="48" t="n">
        <f aca="false">T94*Input!$H$147</f>
        <v>0</v>
      </c>
      <c r="U125" s="48" t="n">
        <f aca="false">U94*Input!$H$147</f>
        <v>0</v>
      </c>
      <c r="V125" s="48" t="n">
        <f aca="false">V94*Input!$H$147</f>
        <v>1.18628058736001</v>
      </c>
      <c r="W125" s="48" t="n">
        <f aca="false">W94*Input!$H$147</f>
        <v>1.68928058736</v>
      </c>
      <c r="X125" s="48" t="n">
        <f aca="false">X94*Input!$H$147</f>
        <v>1.458544284864</v>
      </c>
      <c r="Y125" s="48" t="n">
        <f aca="false">Y94*Input!$H$147</f>
        <v>2.69528058736</v>
      </c>
      <c r="Z125" s="48" t="n">
        <f aca="false">Z94*Input!$H$147</f>
        <v>2.69528058736</v>
      </c>
      <c r="AA125" s="48" t="n">
        <f aca="false">AA94*Input!$H$147</f>
        <v>3.041385041104</v>
      </c>
      <c r="AB125" s="48" t="n">
        <f aca="false">AB94*Input!$H$147</f>
        <v>2.69528058736</v>
      </c>
      <c r="AC125" s="48" t="n">
        <f aca="false">AC94*Input!$H$147</f>
        <v>4.20428058736001</v>
      </c>
      <c r="AD125" s="48" t="n">
        <f aca="false">AD94*Input!$H$147</f>
        <v>5.153985041104</v>
      </c>
      <c r="AE125" s="48" t="n">
        <f aca="false">AE94*Input!$H$147</f>
        <v>5.60390888470402</v>
      </c>
      <c r="AF125" s="48" t="n">
        <f aca="false">AF94*Input!$H$147</f>
        <v>9.61576117472001</v>
      </c>
      <c r="AG125" s="48" t="n">
        <f aca="false">AG94*Input!$H$147</f>
        <v>10.307970082208</v>
      </c>
      <c r="AH125" s="48" t="n">
        <f aca="false">AH94*Input!$H$147</f>
        <v>8.923552267232</v>
      </c>
      <c r="AI125" s="48" t="n">
        <f aca="false">AI94*Input!$H$147</f>
        <v>9.61576117472001</v>
      </c>
      <c r="AJ125" s="48" t="n">
        <f aca="false">AJ94*Input!$H$147</f>
        <v>10.307970082208</v>
      </c>
      <c r="AK125" s="48" t="n">
        <f aca="false">AK94*Input!$H$147</f>
        <v>10.67206117472</v>
      </c>
      <c r="AL125" s="48" t="n">
        <f aca="false">AL94*Input!$H$147</f>
        <v>10.97386117472</v>
      </c>
      <c r="AM125" s="48" t="n">
        <f aca="false">AM94*Input!$H$147</f>
        <v>11.666070082208</v>
      </c>
      <c r="AN125" s="48" t="n">
        <f aca="false">AN94*Input!$H$147</f>
        <v>10.97386117472</v>
      </c>
      <c r="AO125" s="48" t="n">
        <f aca="false">AO94*Input!$H$147</f>
        <v>10.97386117472</v>
      </c>
      <c r="AP125" s="48" t="n">
        <f aca="false">AP94*Input!$H$147</f>
        <v>11.666070082208</v>
      </c>
      <c r="AQ125" s="48" t="n">
        <f aca="false">AQ94*Input!$H$147</f>
        <v>10.97386117472</v>
      </c>
      <c r="AR125" s="48" t="n">
        <f aca="false">AR94*Input!$H$147</f>
        <v>10.281652267232</v>
      </c>
      <c r="AS125" s="48" t="n">
        <f aca="false">AS94*Input!$H$147</f>
        <v>11.666070082208</v>
      </c>
      <c r="AT125" s="48" t="n">
        <f aca="false">AT94*Input!$H$147</f>
        <v>10.97386117472</v>
      </c>
      <c r="AU125" s="48" t="n">
        <f aca="false">AU94*Input!$H$147</f>
        <v>10.97386117472</v>
      </c>
      <c r="AV125" s="48" t="n">
        <f aca="false">AV94*Input!$H$147</f>
        <v>11.666070082208</v>
      </c>
      <c r="AW125" s="48" t="n">
        <f aca="false">AW94*Input!$H$147</f>
        <v>10.97386117472</v>
      </c>
      <c r="AX125" s="48" t="n">
        <f aca="false">AX94*Input!$H$147</f>
        <v>10.97386117472</v>
      </c>
      <c r="AY125" s="48" t="n">
        <f aca="false">AY94*Input!$H$147</f>
        <v>11.666070082208</v>
      </c>
      <c r="AZ125" s="48" t="n">
        <f aca="false">AZ94*Input!$H$147</f>
        <v>10.97386117472</v>
      </c>
      <c r="BA125" s="48" t="n">
        <f aca="false">BA94*Input!$H$147</f>
        <v>10.97386117472</v>
      </c>
      <c r="BB125" s="48" t="n">
        <f aca="false">BB94*Input!$H$147</f>
        <v>10.512388569728</v>
      </c>
      <c r="BC125" s="48" t="n">
        <f aca="false">BC94*Input!$H$147</f>
        <v>11.97986117472</v>
      </c>
      <c r="BD125" s="48" t="n">
        <f aca="false">BD94*Input!$H$147</f>
        <v>11.97986117472</v>
      </c>
      <c r="BE125" s="48" t="n">
        <f aca="false">BE94*Input!$H$147</f>
        <v>12.672070082208</v>
      </c>
      <c r="BF125" s="48" t="n">
        <f aca="false">BF94*Input!$H$147</f>
        <v>11.97986117472</v>
      </c>
      <c r="BG125" s="48" t="n">
        <f aca="false">BG94*Input!$H$147</f>
        <v>11.97986117472</v>
      </c>
      <c r="BH125" s="48" t="n">
        <f aca="false">BH94*Input!$H$147</f>
        <v>12.672070082208</v>
      </c>
      <c r="BI125" s="48" t="n">
        <f aca="false">BI94*Input!$H$147</f>
        <v>11.97986117472</v>
      </c>
      <c r="BJ125" s="48" t="n">
        <f aca="false">BJ94*Input!$H$147</f>
        <v>11.97986117472</v>
      </c>
      <c r="BK125" s="48" t="n">
        <f aca="false">BK94*Input!$H$147</f>
        <v>12.672070082208</v>
      </c>
      <c r="BL125" s="48" t="n">
        <f aca="false">BL94*Input!$H$147</f>
        <v>11.287652267232</v>
      </c>
      <c r="BM125" s="48" t="n">
        <f aca="false">BM94*Input!$H$147</f>
        <v>11.97986117472</v>
      </c>
      <c r="BN125" s="48" t="n">
        <f aca="false">BN94*Input!$H$147</f>
        <v>12.672070082208</v>
      </c>
      <c r="BO125" s="48" t="n">
        <f aca="false">BO94*Input!$H$147</f>
        <v>11.97986117472</v>
      </c>
      <c r="BP125" s="48" t="n">
        <f aca="false">BP94*Input!$H$147</f>
        <v>11.97986117472</v>
      </c>
      <c r="BQ125" s="48" t="n">
        <f aca="false">BQ94*Input!$H$147</f>
        <v>12.672070082208</v>
      </c>
      <c r="BR125" s="48" t="n">
        <f aca="false">BR94*Input!$H$147</f>
        <v>11.97986117472</v>
      </c>
      <c r="BS125" s="48" t="n">
        <f aca="false">BS94*Input!$H$147</f>
        <v>11.97986117472</v>
      </c>
      <c r="BT125" s="48" t="n">
        <f aca="false">BT94*Input!$H$147</f>
        <v>12.672070082208</v>
      </c>
      <c r="BU125" s="48" t="n">
        <f aca="false">BU94*Input!$H$147</f>
        <v>11.97986117472</v>
      </c>
      <c r="BV125" s="48" t="n">
        <f aca="false">BV94*Input!$H$147</f>
        <v>11.287652267232</v>
      </c>
      <c r="BW125" s="48" t="n">
        <f aca="false">BW94*Input!$H$147</f>
        <v>0</v>
      </c>
      <c r="BX125" s="48" t="n">
        <f aca="false">BX94*Input!$H$147</f>
        <v>0</v>
      </c>
    </row>
    <row r="126" customFormat="false" ht="15" hidden="false" customHeight="false" outlineLevel="0" collapsed="false">
      <c r="A126" s="1"/>
      <c r="B126" s="8" t="s">
        <v>385</v>
      </c>
      <c r="C126" s="8" t="s">
        <v>126</v>
      </c>
      <c r="D126" s="44" t="n">
        <f aca="false">SUM(G126:BX126)</f>
        <v>553.664122654502</v>
      </c>
      <c r="E126" s="1"/>
      <c r="F126" s="1"/>
      <c r="G126" s="48" t="n">
        <f aca="false">G94*Input!$H$148</f>
        <v>0</v>
      </c>
      <c r="H126" s="48" t="n">
        <f aca="false">H94*Input!$H$148</f>
        <v>0</v>
      </c>
      <c r="I126" s="48" t="n">
        <f aca="false">I94*Input!$H$148</f>
        <v>0</v>
      </c>
      <c r="J126" s="48" t="n">
        <f aca="false">J94*Input!$H$148</f>
        <v>0</v>
      </c>
      <c r="K126" s="48" t="n">
        <f aca="false">K94*Input!$H$148</f>
        <v>0</v>
      </c>
      <c r="L126" s="48" t="n">
        <f aca="false">L94*Input!$H$148</f>
        <v>0</v>
      </c>
      <c r="M126" s="48" t="n">
        <f aca="false">M94*Input!$H$148</f>
        <v>0</v>
      </c>
      <c r="N126" s="48" t="n">
        <f aca="false">N94*Input!$H$148</f>
        <v>0</v>
      </c>
      <c r="O126" s="48" t="n">
        <f aca="false">O94*Input!$H$148</f>
        <v>0</v>
      </c>
      <c r="P126" s="48" t="n">
        <f aca="false">P94*Input!$H$148</f>
        <v>0</v>
      </c>
      <c r="Q126" s="48" t="n">
        <f aca="false">Q94*Input!$H$148</f>
        <v>0</v>
      </c>
      <c r="R126" s="48" t="n">
        <f aca="false">R94*Input!$H$148</f>
        <v>0</v>
      </c>
      <c r="S126" s="48" t="n">
        <f aca="false">S94*Input!$H$148</f>
        <v>0</v>
      </c>
      <c r="T126" s="48" t="n">
        <f aca="false">T94*Input!$H$148</f>
        <v>0</v>
      </c>
      <c r="U126" s="48" t="n">
        <f aca="false">U94*Input!$H$148</f>
        <v>0</v>
      </c>
      <c r="V126" s="48" t="n">
        <f aca="false">V94*Input!$H$148</f>
        <v>1.26042312407001</v>
      </c>
      <c r="W126" s="48" t="n">
        <f aca="false">W94*Input!$H$148</f>
        <v>1.79486062407</v>
      </c>
      <c r="X126" s="48" t="n">
        <f aca="false">X94*Input!$H$148</f>
        <v>1.549703302668</v>
      </c>
      <c r="Y126" s="48" t="n">
        <f aca="false">Y94*Input!$H$148</f>
        <v>2.86373562407</v>
      </c>
      <c r="Z126" s="48" t="n">
        <f aca="false">Z94*Input!$H$148</f>
        <v>2.86373562407</v>
      </c>
      <c r="AA126" s="48" t="n">
        <f aca="false">AA94*Input!$H$148</f>
        <v>3.231471606173</v>
      </c>
      <c r="AB126" s="48" t="n">
        <f aca="false">AB94*Input!$H$148</f>
        <v>2.86373562407</v>
      </c>
      <c r="AC126" s="48" t="n">
        <f aca="false">AC94*Input!$H$148</f>
        <v>4.46704812407001</v>
      </c>
      <c r="AD126" s="48" t="n">
        <f aca="false">AD94*Input!$H$148</f>
        <v>5.476109106173</v>
      </c>
      <c r="AE126" s="48" t="n">
        <f aca="false">AE94*Input!$H$148</f>
        <v>5.95415318999802</v>
      </c>
      <c r="AF126" s="48" t="n">
        <f aca="false">AF94*Input!$H$148</f>
        <v>10.21674624814</v>
      </c>
      <c r="AG126" s="48" t="n">
        <f aca="false">AG94*Input!$H$148</f>
        <v>10.952218212346</v>
      </c>
      <c r="AH126" s="48" t="n">
        <f aca="false">AH94*Input!$H$148</f>
        <v>9.481274283934</v>
      </c>
      <c r="AI126" s="48" t="n">
        <f aca="false">AI94*Input!$H$148</f>
        <v>10.21674624814</v>
      </c>
      <c r="AJ126" s="48" t="n">
        <f aca="false">AJ94*Input!$H$148</f>
        <v>10.952218212346</v>
      </c>
      <c r="AK126" s="48" t="n">
        <f aca="false">AK94*Input!$H$148</f>
        <v>11.33906499814</v>
      </c>
      <c r="AL126" s="48" t="n">
        <f aca="false">AL94*Input!$H$148</f>
        <v>11.65972749814</v>
      </c>
      <c r="AM126" s="48" t="n">
        <f aca="false">AM94*Input!$H$148</f>
        <v>12.395199462346</v>
      </c>
      <c r="AN126" s="48" t="n">
        <f aca="false">AN94*Input!$H$148</f>
        <v>11.65972749814</v>
      </c>
      <c r="AO126" s="48" t="n">
        <f aca="false">AO94*Input!$H$148</f>
        <v>11.65972749814</v>
      </c>
      <c r="AP126" s="48" t="n">
        <f aca="false">AP94*Input!$H$148</f>
        <v>12.395199462346</v>
      </c>
      <c r="AQ126" s="48" t="n">
        <f aca="false">AQ94*Input!$H$148</f>
        <v>11.65972749814</v>
      </c>
      <c r="AR126" s="48" t="n">
        <f aca="false">AR94*Input!$H$148</f>
        <v>10.924255533934</v>
      </c>
      <c r="AS126" s="48" t="n">
        <f aca="false">AS94*Input!$H$148</f>
        <v>12.395199462346</v>
      </c>
      <c r="AT126" s="48" t="n">
        <f aca="false">AT94*Input!$H$148</f>
        <v>11.65972749814</v>
      </c>
      <c r="AU126" s="48" t="n">
        <f aca="false">AU94*Input!$H$148</f>
        <v>11.65972749814</v>
      </c>
      <c r="AV126" s="48" t="n">
        <f aca="false">AV94*Input!$H$148</f>
        <v>12.395199462346</v>
      </c>
      <c r="AW126" s="48" t="n">
        <f aca="false">AW94*Input!$H$148</f>
        <v>11.65972749814</v>
      </c>
      <c r="AX126" s="48" t="n">
        <f aca="false">AX94*Input!$H$148</f>
        <v>11.65972749814</v>
      </c>
      <c r="AY126" s="48" t="n">
        <f aca="false">AY94*Input!$H$148</f>
        <v>12.395199462346</v>
      </c>
      <c r="AZ126" s="48" t="n">
        <f aca="false">AZ94*Input!$H$148</f>
        <v>11.65972749814</v>
      </c>
      <c r="BA126" s="48" t="n">
        <f aca="false">BA94*Input!$H$148</f>
        <v>11.65972749814</v>
      </c>
      <c r="BB126" s="48" t="n">
        <f aca="false">BB94*Input!$H$148</f>
        <v>11.169412855336</v>
      </c>
      <c r="BC126" s="48" t="n">
        <f aca="false">BC94*Input!$H$148</f>
        <v>12.72860249814</v>
      </c>
      <c r="BD126" s="48" t="n">
        <f aca="false">BD94*Input!$H$148</f>
        <v>12.72860249814</v>
      </c>
      <c r="BE126" s="48" t="n">
        <f aca="false">BE94*Input!$H$148</f>
        <v>13.464074462346</v>
      </c>
      <c r="BF126" s="48" t="n">
        <f aca="false">BF94*Input!$H$148</f>
        <v>12.72860249814</v>
      </c>
      <c r="BG126" s="48" t="n">
        <f aca="false">BG94*Input!$H$148</f>
        <v>12.72860249814</v>
      </c>
      <c r="BH126" s="48" t="n">
        <f aca="false">BH94*Input!$H$148</f>
        <v>13.464074462346</v>
      </c>
      <c r="BI126" s="48" t="n">
        <f aca="false">BI94*Input!$H$148</f>
        <v>12.72860249814</v>
      </c>
      <c r="BJ126" s="48" t="n">
        <f aca="false">BJ94*Input!$H$148</f>
        <v>12.72860249814</v>
      </c>
      <c r="BK126" s="48" t="n">
        <f aca="false">BK94*Input!$H$148</f>
        <v>13.464074462346</v>
      </c>
      <c r="BL126" s="48" t="n">
        <f aca="false">BL94*Input!$H$148</f>
        <v>11.993130533934</v>
      </c>
      <c r="BM126" s="48" t="n">
        <f aca="false">BM94*Input!$H$148</f>
        <v>12.72860249814</v>
      </c>
      <c r="BN126" s="48" t="n">
        <f aca="false">BN94*Input!$H$148</f>
        <v>13.464074462346</v>
      </c>
      <c r="BO126" s="48" t="n">
        <f aca="false">BO94*Input!$H$148</f>
        <v>12.72860249814</v>
      </c>
      <c r="BP126" s="48" t="n">
        <f aca="false">BP94*Input!$H$148</f>
        <v>12.72860249814</v>
      </c>
      <c r="BQ126" s="48" t="n">
        <f aca="false">BQ94*Input!$H$148</f>
        <v>13.464074462346</v>
      </c>
      <c r="BR126" s="48" t="n">
        <f aca="false">BR94*Input!$H$148</f>
        <v>12.72860249814</v>
      </c>
      <c r="BS126" s="48" t="n">
        <f aca="false">BS94*Input!$H$148</f>
        <v>12.72860249814</v>
      </c>
      <c r="BT126" s="48" t="n">
        <f aca="false">BT94*Input!$H$148</f>
        <v>13.464074462346</v>
      </c>
      <c r="BU126" s="48" t="n">
        <f aca="false">BU94*Input!$H$148</f>
        <v>12.72860249814</v>
      </c>
      <c r="BV126" s="48" t="n">
        <f aca="false">BV94*Input!$H$148</f>
        <v>11.993130533934</v>
      </c>
      <c r="BW126" s="48" t="n">
        <f aca="false">BW94*Input!$H$148</f>
        <v>0</v>
      </c>
      <c r="BX126" s="48" t="n">
        <f aca="false">BX94*Input!$H$148</f>
        <v>0</v>
      </c>
    </row>
    <row r="127" customFormat="false" ht="15" hidden="false" customHeight="false" outlineLevel="0" collapsed="false">
      <c r="A127" s="1"/>
      <c r="B127" s="8" t="s">
        <v>386</v>
      </c>
      <c r="C127" s="8" t="s">
        <v>126</v>
      </c>
      <c r="D127" s="44" t="n">
        <f aca="false">SUM(G127:BX127)</f>
        <v>749.074989473738</v>
      </c>
      <c r="E127" s="1"/>
      <c r="F127" s="1"/>
      <c r="G127" s="48" t="n">
        <f aca="false">G94*Input!$H$149</f>
        <v>0</v>
      </c>
      <c r="H127" s="48" t="n">
        <f aca="false">H94*Input!$H$149</f>
        <v>0</v>
      </c>
      <c r="I127" s="48" t="n">
        <f aca="false">I94*Input!$H$149</f>
        <v>0</v>
      </c>
      <c r="J127" s="48" t="n">
        <f aca="false">J94*Input!$H$149</f>
        <v>0</v>
      </c>
      <c r="K127" s="48" t="n">
        <f aca="false">K94*Input!$H$149</f>
        <v>0</v>
      </c>
      <c r="L127" s="48" t="n">
        <f aca="false">L94*Input!$H$149</f>
        <v>0</v>
      </c>
      <c r="M127" s="48" t="n">
        <f aca="false">M94*Input!$H$149</f>
        <v>0</v>
      </c>
      <c r="N127" s="48" t="n">
        <f aca="false">N94*Input!$H$149</f>
        <v>0</v>
      </c>
      <c r="O127" s="48" t="n">
        <f aca="false">O94*Input!$H$149</f>
        <v>0</v>
      </c>
      <c r="P127" s="48" t="n">
        <f aca="false">P94*Input!$H$149</f>
        <v>0</v>
      </c>
      <c r="Q127" s="48" t="n">
        <f aca="false">Q94*Input!$H$149</f>
        <v>0</v>
      </c>
      <c r="R127" s="48" t="n">
        <f aca="false">R94*Input!$H$149</f>
        <v>0</v>
      </c>
      <c r="S127" s="48" t="n">
        <f aca="false">S94*Input!$H$149</f>
        <v>0</v>
      </c>
      <c r="T127" s="48" t="n">
        <f aca="false">T94*Input!$H$149</f>
        <v>0</v>
      </c>
      <c r="U127" s="48" t="n">
        <f aca="false">U94*Input!$H$149</f>
        <v>0</v>
      </c>
      <c r="V127" s="48" t="n">
        <f aca="false">V94*Input!$H$149</f>
        <v>1.70527834433001</v>
      </c>
      <c r="W127" s="48" t="n">
        <f aca="false">W94*Input!$H$149</f>
        <v>2.42834084433</v>
      </c>
      <c r="X127" s="48" t="n">
        <f aca="false">X94*Input!$H$149</f>
        <v>2.096657409492</v>
      </c>
      <c r="Y127" s="48" t="n">
        <f aca="false">Y94*Input!$H$149</f>
        <v>3.87446584433</v>
      </c>
      <c r="Z127" s="48" t="n">
        <f aca="false">Z94*Input!$H$149</f>
        <v>3.87446584433</v>
      </c>
      <c r="AA127" s="48" t="n">
        <f aca="false">AA94*Input!$H$149</f>
        <v>4.371990996587</v>
      </c>
      <c r="AB127" s="48" t="n">
        <f aca="false">AB94*Input!$H$149</f>
        <v>3.87446584433</v>
      </c>
      <c r="AC127" s="48" t="n">
        <f aca="false">AC94*Input!$H$149</f>
        <v>6.04365334433001</v>
      </c>
      <c r="AD127" s="48" t="n">
        <f aca="false">AD94*Input!$H$149</f>
        <v>7.408853496587</v>
      </c>
      <c r="AE127" s="48" t="n">
        <f aca="false">AE94*Input!$H$149</f>
        <v>8.05561902176203</v>
      </c>
      <c r="AF127" s="48" t="n">
        <f aca="false">AF94*Input!$H$149</f>
        <v>13.82265668866</v>
      </c>
      <c r="AG127" s="48" t="n">
        <f aca="false">AG94*Input!$H$149</f>
        <v>14.817706993174</v>
      </c>
      <c r="AH127" s="48" t="n">
        <f aca="false">AH94*Input!$H$149</f>
        <v>12.827606384146</v>
      </c>
      <c r="AI127" s="48" t="n">
        <f aca="false">AI94*Input!$H$149</f>
        <v>13.82265668866</v>
      </c>
      <c r="AJ127" s="48" t="n">
        <f aca="false">AJ94*Input!$H$149</f>
        <v>14.817706993174</v>
      </c>
      <c r="AK127" s="48" t="n">
        <f aca="false">AK94*Input!$H$149</f>
        <v>15.34108793866</v>
      </c>
      <c r="AL127" s="48" t="n">
        <f aca="false">AL94*Input!$H$149</f>
        <v>15.77492543866</v>
      </c>
      <c r="AM127" s="48" t="n">
        <f aca="false">AM94*Input!$H$149</f>
        <v>16.769975743174</v>
      </c>
      <c r="AN127" s="48" t="n">
        <f aca="false">AN94*Input!$H$149</f>
        <v>15.77492543866</v>
      </c>
      <c r="AO127" s="48" t="n">
        <f aca="false">AO94*Input!$H$149</f>
        <v>15.77492543866</v>
      </c>
      <c r="AP127" s="48" t="n">
        <f aca="false">AP94*Input!$H$149</f>
        <v>16.769975743174</v>
      </c>
      <c r="AQ127" s="48" t="n">
        <f aca="false">AQ94*Input!$H$149</f>
        <v>15.77492543866</v>
      </c>
      <c r="AR127" s="48" t="n">
        <f aca="false">AR94*Input!$H$149</f>
        <v>14.779875134146</v>
      </c>
      <c r="AS127" s="48" t="n">
        <f aca="false">AS94*Input!$H$149</f>
        <v>16.769975743174</v>
      </c>
      <c r="AT127" s="48" t="n">
        <f aca="false">AT94*Input!$H$149</f>
        <v>15.77492543866</v>
      </c>
      <c r="AU127" s="48" t="n">
        <f aca="false">AU94*Input!$H$149</f>
        <v>15.77492543866</v>
      </c>
      <c r="AV127" s="48" t="n">
        <f aca="false">AV94*Input!$H$149</f>
        <v>16.769975743174</v>
      </c>
      <c r="AW127" s="48" t="n">
        <f aca="false">AW94*Input!$H$149</f>
        <v>15.77492543866</v>
      </c>
      <c r="AX127" s="48" t="n">
        <f aca="false">AX94*Input!$H$149</f>
        <v>15.77492543866</v>
      </c>
      <c r="AY127" s="48" t="n">
        <f aca="false">AY94*Input!$H$149</f>
        <v>16.769975743174</v>
      </c>
      <c r="AZ127" s="48" t="n">
        <f aca="false">AZ94*Input!$H$149</f>
        <v>15.77492543866</v>
      </c>
      <c r="BA127" s="48" t="n">
        <f aca="false">BA94*Input!$H$149</f>
        <v>15.77492543866</v>
      </c>
      <c r="BB127" s="48" t="n">
        <f aca="false">BB94*Input!$H$149</f>
        <v>15.111558568984</v>
      </c>
      <c r="BC127" s="48" t="n">
        <f aca="false">BC94*Input!$H$149</f>
        <v>17.22105043866</v>
      </c>
      <c r="BD127" s="48" t="n">
        <f aca="false">BD94*Input!$H$149</f>
        <v>17.22105043866</v>
      </c>
      <c r="BE127" s="48" t="n">
        <f aca="false">BE94*Input!$H$149</f>
        <v>18.216100743174</v>
      </c>
      <c r="BF127" s="48" t="n">
        <f aca="false">BF94*Input!$H$149</f>
        <v>17.22105043866</v>
      </c>
      <c r="BG127" s="48" t="n">
        <f aca="false">BG94*Input!$H$149</f>
        <v>17.22105043866</v>
      </c>
      <c r="BH127" s="48" t="n">
        <f aca="false">BH94*Input!$H$149</f>
        <v>18.216100743174</v>
      </c>
      <c r="BI127" s="48" t="n">
        <f aca="false">BI94*Input!$H$149</f>
        <v>17.22105043866</v>
      </c>
      <c r="BJ127" s="48" t="n">
        <f aca="false">BJ94*Input!$H$149</f>
        <v>17.22105043866</v>
      </c>
      <c r="BK127" s="48" t="n">
        <f aca="false">BK94*Input!$H$149</f>
        <v>18.216100743174</v>
      </c>
      <c r="BL127" s="48" t="n">
        <f aca="false">BL94*Input!$H$149</f>
        <v>16.226000134146</v>
      </c>
      <c r="BM127" s="48" t="n">
        <f aca="false">BM94*Input!$H$149</f>
        <v>17.22105043866</v>
      </c>
      <c r="BN127" s="48" t="n">
        <f aca="false">BN94*Input!$H$149</f>
        <v>18.216100743174</v>
      </c>
      <c r="BO127" s="48" t="n">
        <f aca="false">BO94*Input!$H$149</f>
        <v>17.22105043866</v>
      </c>
      <c r="BP127" s="48" t="n">
        <f aca="false">BP94*Input!$H$149</f>
        <v>17.22105043866</v>
      </c>
      <c r="BQ127" s="48" t="n">
        <f aca="false">BQ94*Input!$H$149</f>
        <v>18.216100743174</v>
      </c>
      <c r="BR127" s="48" t="n">
        <f aca="false">BR94*Input!$H$149</f>
        <v>17.22105043866</v>
      </c>
      <c r="BS127" s="48" t="n">
        <f aca="false">BS94*Input!$H$149</f>
        <v>17.22105043866</v>
      </c>
      <c r="BT127" s="48" t="n">
        <f aca="false">BT94*Input!$H$149</f>
        <v>18.216100743174</v>
      </c>
      <c r="BU127" s="48" t="n">
        <f aca="false">BU94*Input!$H$149</f>
        <v>17.22105043866</v>
      </c>
      <c r="BV127" s="48" t="n">
        <f aca="false">BV94*Input!$H$149</f>
        <v>16.226000134146</v>
      </c>
      <c r="BW127" s="48" t="n">
        <f aca="false">BW94*Input!$H$149</f>
        <v>0</v>
      </c>
      <c r="BX127" s="48" t="n">
        <f aca="false">BX94*Input!$H$149</f>
        <v>0</v>
      </c>
    </row>
    <row r="128" customFormat="false" ht="15" hidden="false" customHeight="false" outlineLevel="0" collapsed="false">
      <c r="A128" s="1"/>
      <c r="B128" s="8" t="s">
        <v>387</v>
      </c>
      <c r="C128" s="1"/>
      <c r="D128" s="48" t="n">
        <f aca="false">$D$20*1000/(1+Input!$H$154)</f>
        <v>240703.85126162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</row>
    <row r="129" customFormat="false" ht="15" hidden="false" customHeight="false" outlineLevel="0" collapsed="false">
      <c r="A129" s="1"/>
      <c r="B129" s="8" t="s">
        <v>388</v>
      </c>
      <c r="C129" s="1"/>
      <c r="D129" s="48" t="n">
        <f aca="false">$D$128*(1-Input!$H$153)</f>
        <v>207703.353253652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</row>
    <row r="130" customFormat="false" ht="15" hidden="false" customHeight="false" outlineLevel="0" collapsed="false">
      <c r="A130" s="1"/>
      <c r="B130" s="8" t="s">
        <v>389</v>
      </c>
      <c r="C130" s="1"/>
      <c r="D130" s="48" t="n">
        <f aca="false">MAX(Input!$H$156*MIN($D$129,Input!$H$155)+Input!$H$157*MAX($D$129-Input!$H$155,0)-Input!$H$158,0)</f>
        <v>38865.0730411687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</row>
    <row r="131" customFormat="false" ht="15" hidden="false" customHeight="false" outlineLevel="0" collapsed="false">
      <c r="A131" s="1"/>
      <c r="B131" s="8" t="s">
        <v>390</v>
      </c>
      <c r="C131" s="1"/>
      <c r="D131" s="48" t="n">
        <f aca="false">Input!$H$160*12*(1-Input!$H$153)</f>
        <v>93193.2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</row>
    <row r="132" customFormat="false" ht="15" hidden="false" customHeight="false" outlineLevel="0" collapsed="false">
      <c r="A132" s="1"/>
      <c r="B132" s="8" t="s">
        <v>391</v>
      </c>
      <c r="C132" s="8" t="s">
        <v>126</v>
      </c>
      <c r="D132" s="44" t="n">
        <f aca="false">SUM(G132:BX132)</f>
        <v>102.595157285857</v>
      </c>
      <c r="E132" s="1"/>
      <c r="F132" s="1"/>
      <c r="G132" s="48" t="n">
        <f aca="false">(G43*$D$19*$D$129*Input!$H$159+G42*$D$36*G48/MAX($G$48:$BX$48)*$D$131*Input!$H$161)*Input!$H$150/1000000</f>
        <v>0</v>
      </c>
      <c r="H132" s="48" t="n">
        <f aca="false">(H43*$D$19*$D$129*Input!$H$159+H42*$D$36*H48/MAX($G$48:$BX$48)*$D$131*Input!$H$161)*Input!$H$150/1000000</f>
        <v>0</v>
      </c>
      <c r="I132" s="48" t="n">
        <f aca="false">(I43*$D$19*$D$129*Input!$H$159+I42*$D$36*I48/MAX($G$48:$BX$48)*$D$131*Input!$H$161)*Input!$H$150/1000000</f>
        <v>0</v>
      </c>
      <c r="J132" s="48" t="n">
        <f aca="false">(J43*$D$19*$D$129*Input!$H$159+J42*$D$36*J48/MAX($G$48:$BX$48)*$D$131*Input!$H$161)*Input!$H$150/1000000</f>
        <v>1.05312831773182</v>
      </c>
      <c r="K132" s="48" t="n">
        <f aca="false">(K43*$D$19*$D$129*Input!$H$159+K42*$D$36*K48/MAX($G$48:$BX$48)*$D$131*Input!$H$161)*Input!$H$150/1000000</f>
        <v>1.91416905726818</v>
      </c>
      <c r="L132" s="48" t="n">
        <f aca="false">(L43*$D$19*$D$129*Input!$H$159+L42*$D$36*L48/MAX($G$48:$BX$48)*$D$131*Input!$H$161)*Input!$H$150/1000000</f>
        <v>2.4463215</v>
      </c>
      <c r="M132" s="48" t="n">
        <f aca="false">(M43*$D$19*$D$129*Input!$H$159+M42*$D$36*M48/MAX($G$48:$BX$48)*$D$131*Input!$H$161)*Input!$H$150/1000000</f>
        <v>1.91416905726818</v>
      </c>
      <c r="N132" s="48" t="n">
        <f aca="false">(N43*$D$19*$D$129*Input!$H$159+N42*$D$36*N48/MAX($G$48:$BX$48)*$D$131*Input!$H$161)*Input!$H$150/1000000</f>
        <v>1.05312831773182</v>
      </c>
      <c r="O132" s="48" t="n">
        <f aca="false">(O43*$D$19*$D$129*Input!$H$159+O42*$D$36*O48/MAX($G$48:$BX$48)*$D$131*Input!$H$161)*Input!$H$150/1000000</f>
        <v>1.57023735059761</v>
      </c>
      <c r="P132" s="48" t="n">
        <f aca="false">(P43*$D$19*$D$129*Input!$H$159+P42*$D$36*P48/MAX($G$48:$BX$48)*$D$131*Input!$H$161)*Input!$H$150/1000000</f>
        <v>1.57023735059761</v>
      </c>
      <c r="Q132" s="48" t="n">
        <f aca="false">(Q43*$D$19*$D$129*Input!$H$159+Q42*$D$36*Q48/MAX($G$48:$BX$48)*$D$131*Input!$H$161)*Input!$H$150/1000000</f>
        <v>1.57023735059761</v>
      </c>
      <c r="R132" s="48" t="n">
        <f aca="false">(R43*$D$19*$D$129*Input!$H$159+R42*$D$36*R48/MAX($G$48:$BX$48)*$D$131*Input!$H$161)*Input!$H$150/1000000</f>
        <v>1.57023735059761</v>
      </c>
      <c r="S132" s="48" t="n">
        <f aca="false">(S43*$D$19*$D$129*Input!$H$159+S42*$D$36*S48/MAX($G$48:$BX$48)*$D$131*Input!$H$161)*Input!$H$150/1000000</f>
        <v>1.57023735059761</v>
      </c>
      <c r="T132" s="48" t="n">
        <f aca="false">(T43*$D$19*$D$129*Input!$H$159+T42*$D$36*T48/MAX($G$48:$BX$48)*$D$131*Input!$H$161)*Input!$H$150/1000000</f>
        <v>1.57023735059761</v>
      </c>
      <c r="U132" s="48" t="n">
        <f aca="false">(U43*$D$19*$D$129*Input!$H$159+U42*$D$36*U48/MAX($G$48:$BX$48)*$D$131*Input!$H$161)*Input!$H$150/1000000</f>
        <v>1.57023735059761</v>
      </c>
      <c r="V132" s="48" t="n">
        <f aca="false">(V43*$D$19*$D$129*Input!$H$159+V42*$D$36*V48/MAX($G$48:$BX$48)*$D$131*Input!$H$161)*Input!$H$150/1000000</f>
        <v>1.57023735059761</v>
      </c>
      <c r="W132" s="48" t="n">
        <f aca="false">(W43*$D$19*$D$129*Input!$H$159+W42*$D$36*W48/MAX($G$48:$BX$48)*$D$131*Input!$H$161)*Input!$H$150/1000000</f>
        <v>1.57023735059761</v>
      </c>
      <c r="X132" s="48" t="n">
        <f aca="false">(X43*$D$19*$D$129*Input!$H$159+X42*$D$36*X48/MAX($G$48:$BX$48)*$D$131*Input!$H$161)*Input!$H$150/1000000</f>
        <v>1.57023735059761</v>
      </c>
      <c r="Y132" s="48" t="n">
        <f aca="false">(Y43*$D$19*$D$129*Input!$H$159+Y42*$D$36*Y48/MAX($G$48:$BX$48)*$D$131*Input!$H$161)*Input!$H$150/1000000</f>
        <v>1.57023735059761</v>
      </c>
      <c r="Z132" s="48" t="n">
        <f aca="false">(Z43*$D$19*$D$129*Input!$H$159+Z42*$D$36*Z48/MAX($G$48:$BX$48)*$D$131*Input!$H$161)*Input!$H$150/1000000</f>
        <v>1.57023735059761</v>
      </c>
      <c r="AA132" s="48" t="n">
        <f aca="false">(AA43*$D$19*$D$129*Input!$H$159+AA42*$D$36*AA48/MAX($G$48:$BX$48)*$D$131*Input!$H$161)*Input!$H$150/1000000</f>
        <v>1.57023735059761</v>
      </c>
      <c r="AB132" s="48" t="n">
        <f aca="false">(AB43*$D$19*$D$129*Input!$H$159+AB42*$D$36*AB48/MAX($G$48:$BX$48)*$D$131*Input!$H$161)*Input!$H$150/1000000</f>
        <v>1.57023735059761</v>
      </c>
      <c r="AC132" s="48" t="n">
        <f aca="false">(AC43*$D$19*$D$129*Input!$H$159+AC42*$D$36*AC48/MAX($G$48:$BX$48)*$D$131*Input!$H$161)*Input!$H$150/1000000</f>
        <v>1.57023735059761</v>
      </c>
      <c r="AD132" s="48" t="n">
        <f aca="false">(AD43*$D$19*$D$129*Input!$H$159+AD42*$D$36*AD48/MAX($G$48:$BX$48)*$D$131*Input!$H$161)*Input!$H$150/1000000</f>
        <v>1.57023735059761</v>
      </c>
      <c r="AE132" s="48" t="n">
        <f aca="false">(AE43*$D$19*$D$129*Input!$H$159+AE42*$D$36*AE48/MAX($G$48:$BX$48)*$D$131*Input!$H$161)*Input!$H$150/1000000</f>
        <v>1.57023735059761</v>
      </c>
      <c r="AF132" s="48" t="n">
        <f aca="false">(AF43*$D$19*$D$129*Input!$H$159+AF42*$D$36*AF48/MAX($G$48:$BX$48)*$D$131*Input!$H$161)*Input!$H$150/1000000</f>
        <v>1.57023735059761</v>
      </c>
      <c r="AG132" s="48" t="n">
        <f aca="false">(AG43*$D$19*$D$129*Input!$H$159+AG42*$D$36*AG48/MAX($G$48:$BX$48)*$D$131*Input!$H$161)*Input!$H$150/1000000</f>
        <v>1.57023735059761</v>
      </c>
      <c r="AH132" s="48" t="n">
        <f aca="false">(AH43*$D$19*$D$129*Input!$H$159+AH42*$D$36*AH48/MAX($G$48:$BX$48)*$D$131*Input!$H$161)*Input!$H$150/1000000</f>
        <v>1.57023735059761</v>
      </c>
      <c r="AI132" s="48" t="n">
        <f aca="false">(AI43*$D$19*$D$129*Input!$H$159+AI42*$D$36*AI48/MAX($G$48:$BX$48)*$D$131*Input!$H$161)*Input!$H$150/1000000</f>
        <v>1.57023735059761</v>
      </c>
      <c r="AJ132" s="48" t="n">
        <f aca="false">(AJ43*$D$19*$D$129*Input!$H$159+AJ42*$D$36*AJ48/MAX($G$48:$BX$48)*$D$131*Input!$H$161)*Input!$H$150/1000000</f>
        <v>1.57023735059761</v>
      </c>
      <c r="AK132" s="48" t="n">
        <f aca="false">(AK43*$D$19*$D$129*Input!$H$159+AK42*$D$36*AK48/MAX($G$48:$BX$48)*$D$131*Input!$H$161)*Input!$H$150/1000000</f>
        <v>1.57023735059761</v>
      </c>
      <c r="AL132" s="48" t="n">
        <f aca="false">(AL43*$D$19*$D$129*Input!$H$159+AL42*$D$36*AL48/MAX($G$48:$BX$48)*$D$131*Input!$H$161)*Input!$H$150/1000000</f>
        <v>1.57023735059761</v>
      </c>
      <c r="AM132" s="48" t="n">
        <f aca="false">(AM43*$D$19*$D$129*Input!$H$159+AM42*$D$36*AM48/MAX($G$48:$BX$48)*$D$131*Input!$H$161)*Input!$H$150/1000000</f>
        <v>1.57023735059761</v>
      </c>
      <c r="AN132" s="48" t="n">
        <f aca="false">(AN43*$D$19*$D$129*Input!$H$159+AN42*$D$36*AN48/MAX($G$48:$BX$48)*$D$131*Input!$H$161)*Input!$H$150/1000000</f>
        <v>1.57023735059761</v>
      </c>
      <c r="AO132" s="48" t="n">
        <f aca="false">(AO43*$D$19*$D$129*Input!$H$159+AO42*$D$36*AO48/MAX($G$48:$BX$48)*$D$131*Input!$H$161)*Input!$H$150/1000000</f>
        <v>1.57023735059761</v>
      </c>
      <c r="AP132" s="48" t="n">
        <f aca="false">(AP43*$D$19*$D$129*Input!$H$159+AP42*$D$36*AP48/MAX($G$48:$BX$48)*$D$131*Input!$H$161)*Input!$H$150/1000000</f>
        <v>1.57023735059761</v>
      </c>
      <c r="AQ132" s="48" t="n">
        <f aca="false">(AQ43*$D$19*$D$129*Input!$H$159+AQ42*$D$36*AQ48/MAX($G$48:$BX$48)*$D$131*Input!$H$161)*Input!$H$150/1000000</f>
        <v>1.57023735059761</v>
      </c>
      <c r="AR132" s="48" t="n">
        <f aca="false">(AR43*$D$19*$D$129*Input!$H$159+AR42*$D$36*AR48/MAX($G$48:$BX$48)*$D$131*Input!$H$161)*Input!$H$150/1000000</f>
        <v>1.57023735059761</v>
      </c>
      <c r="AS132" s="48" t="n">
        <f aca="false">(AS43*$D$19*$D$129*Input!$H$159+AS42*$D$36*AS48/MAX($G$48:$BX$48)*$D$131*Input!$H$161)*Input!$H$150/1000000</f>
        <v>1.57023735059761</v>
      </c>
      <c r="AT132" s="48" t="n">
        <f aca="false">(AT43*$D$19*$D$129*Input!$H$159+AT42*$D$36*AT48/MAX($G$48:$BX$48)*$D$131*Input!$H$161)*Input!$H$150/1000000</f>
        <v>1.57023735059761</v>
      </c>
      <c r="AU132" s="48" t="n">
        <f aca="false">(AU43*$D$19*$D$129*Input!$H$159+AU42*$D$36*AU48/MAX($G$48:$BX$48)*$D$131*Input!$H$161)*Input!$H$150/1000000</f>
        <v>1.57023735059761</v>
      </c>
      <c r="AV132" s="48" t="n">
        <f aca="false">(AV43*$D$19*$D$129*Input!$H$159+AV42*$D$36*AV48/MAX($G$48:$BX$48)*$D$131*Input!$H$161)*Input!$H$150/1000000</f>
        <v>1.57023735059761</v>
      </c>
      <c r="AW132" s="48" t="n">
        <f aca="false">(AW43*$D$19*$D$129*Input!$H$159+AW42*$D$36*AW48/MAX($G$48:$BX$48)*$D$131*Input!$H$161)*Input!$H$150/1000000</f>
        <v>1.57023735059761</v>
      </c>
      <c r="AX132" s="48" t="n">
        <f aca="false">(AX43*$D$19*$D$129*Input!$H$159+AX42*$D$36*AX48/MAX($G$48:$BX$48)*$D$131*Input!$H$161)*Input!$H$150/1000000</f>
        <v>1.57023735059761</v>
      </c>
      <c r="AY132" s="48" t="n">
        <f aca="false">(AY43*$D$19*$D$129*Input!$H$159+AY42*$D$36*AY48/MAX($G$48:$BX$48)*$D$131*Input!$H$161)*Input!$H$150/1000000</f>
        <v>1.57023735059761</v>
      </c>
      <c r="AZ132" s="48" t="n">
        <f aca="false">(AZ43*$D$19*$D$129*Input!$H$159+AZ42*$D$36*AZ48/MAX($G$48:$BX$48)*$D$131*Input!$H$161)*Input!$H$150/1000000</f>
        <v>1.57023735059761</v>
      </c>
      <c r="BA132" s="48" t="n">
        <f aca="false">(BA43*$D$19*$D$129*Input!$H$159+BA42*$D$36*BA48/MAX($G$48:$BX$48)*$D$131*Input!$H$161)*Input!$H$150/1000000</f>
        <v>1.57023735059761</v>
      </c>
      <c r="BB132" s="48" t="n">
        <f aca="false">(BB43*$D$19*$D$129*Input!$H$159+BB42*$D$36*BB48/MAX($G$48:$BX$48)*$D$131*Input!$H$161)*Input!$H$150/1000000</f>
        <v>1.57023735059761</v>
      </c>
      <c r="BC132" s="48" t="n">
        <f aca="false">(BC43*$D$19*$D$129*Input!$H$159+BC42*$D$36*BC48/MAX($G$48:$BX$48)*$D$131*Input!$H$161)*Input!$H$150/1000000</f>
        <v>1.57023735059761</v>
      </c>
      <c r="BD132" s="48" t="n">
        <f aca="false">(BD43*$D$19*$D$129*Input!$H$159+BD42*$D$36*BD48/MAX($G$48:$BX$48)*$D$131*Input!$H$161)*Input!$H$150/1000000</f>
        <v>1.57023735059761</v>
      </c>
      <c r="BE132" s="48" t="n">
        <f aca="false">(BE43*$D$19*$D$129*Input!$H$159+BE42*$D$36*BE48/MAX($G$48:$BX$48)*$D$131*Input!$H$161)*Input!$H$150/1000000</f>
        <v>1.57023735059761</v>
      </c>
      <c r="BF132" s="48" t="n">
        <f aca="false">(BF43*$D$19*$D$129*Input!$H$159+BF42*$D$36*BF48/MAX($G$48:$BX$48)*$D$131*Input!$H$161)*Input!$H$150/1000000</f>
        <v>1.57023735059761</v>
      </c>
      <c r="BG132" s="48" t="n">
        <f aca="false">(BG43*$D$19*$D$129*Input!$H$159+BG42*$D$36*BG48/MAX($G$48:$BX$48)*$D$131*Input!$H$161)*Input!$H$150/1000000</f>
        <v>1.57023735059761</v>
      </c>
      <c r="BH132" s="48" t="n">
        <f aca="false">(BH43*$D$19*$D$129*Input!$H$159+BH42*$D$36*BH48/MAX($G$48:$BX$48)*$D$131*Input!$H$161)*Input!$H$150/1000000</f>
        <v>1.57023735059761</v>
      </c>
      <c r="BI132" s="48" t="n">
        <f aca="false">(BI43*$D$19*$D$129*Input!$H$159+BI42*$D$36*BI48/MAX($G$48:$BX$48)*$D$131*Input!$H$161)*Input!$H$150/1000000</f>
        <v>1.57023735059761</v>
      </c>
      <c r="BJ132" s="48" t="n">
        <f aca="false">(BJ43*$D$19*$D$129*Input!$H$159+BJ42*$D$36*BJ48/MAX($G$48:$BX$48)*$D$131*Input!$H$161)*Input!$H$150/1000000</f>
        <v>1.57023735059761</v>
      </c>
      <c r="BK132" s="48" t="n">
        <f aca="false">(BK43*$D$19*$D$129*Input!$H$159+BK42*$D$36*BK48/MAX($G$48:$BX$48)*$D$131*Input!$H$161)*Input!$H$150/1000000</f>
        <v>1.57023735059761</v>
      </c>
      <c r="BL132" s="48" t="n">
        <f aca="false">(BL43*$D$19*$D$129*Input!$H$159+BL42*$D$36*BL48/MAX($G$48:$BX$48)*$D$131*Input!$H$161)*Input!$H$150/1000000</f>
        <v>1.57023735059761</v>
      </c>
      <c r="BM132" s="48" t="n">
        <f aca="false">(BM43*$D$19*$D$129*Input!$H$159+BM42*$D$36*BM48/MAX($G$48:$BX$48)*$D$131*Input!$H$161)*Input!$H$150/1000000</f>
        <v>1.57023735059761</v>
      </c>
      <c r="BN132" s="48" t="n">
        <f aca="false">(BN43*$D$19*$D$129*Input!$H$159+BN42*$D$36*BN48/MAX($G$48:$BX$48)*$D$131*Input!$H$161)*Input!$H$150/1000000</f>
        <v>1.57023735059761</v>
      </c>
      <c r="BO132" s="48" t="n">
        <f aca="false">(BO43*$D$19*$D$129*Input!$H$159+BO42*$D$36*BO48/MAX($G$48:$BX$48)*$D$131*Input!$H$161)*Input!$H$150/1000000</f>
        <v>1.57023735059761</v>
      </c>
      <c r="BP132" s="48" t="n">
        <f aca="false">(BP43*$D$19*$D$129*Input!$H$159+BP42*$D$36*BP48/MAX($G$48:$BX$48)*$D$131*Input!$H$161)*Input!$H$150/1000000</f>
        <v>1.57023735059761</v>
      </c>
      <c r="BQ132" s="48" t="n">
        <f aca="false">(BQ43*$D$19*$D$129*Input!$H$159+BQ42*$D$36*BQ48/MAX($G$48:$BX$48)*$D$131*Input!$H$161)*Input!$H$150/1000000</f>
        <v>1.57023735059761</v>
      </c>
      <c r="BR132" s="48" t="n">
        <f aca="false">(BR43*$D$19*$D$129*Input!$H$159+BR42*$D$36*BR48/MAX($G$48:$BX$48)*$D$131*Input!$H$161)*Input!$H$150/1000000</f>
        <v>1.57023735059761</v>
      </c>
      <c r="BS132" s="48" t="n">
        <f aca="false">(BS43*$D$19*$D$129*Input!$H$159+BS42*$D$36*BS48/MAX($G$48:$BX$48)*$D$131*Input!$H$161)*Input!$H$150/1000000</f>
        <v>1.57023735059761</v>
      </c>
      <c r="BT132" s="48" t="n">
        <f aca="false">(BT43*$D$19*$D$129*Input!$H$159+BT42*$D$36*BT48/MAX($G$48:$BX$48)*$D$131*Input!$H$161)*Input!$H$150/1000000</f>
        <v>1.57023735059761</v>
      </c>
      <c r="BU132" s="48" t="n">
        <f aca="false">(BU43*$D$19*$D$129*Input!$H$159+BU42*$D$36*BU48/MAX($G$48:$BX$48)*$D$131*Input!$H$161)*Input!$H$150/1000000</f>
        <v>1.57023735059761</v>
      </c>
      <c r="BV132" s="48" t="n">
        <f aca="false">(BV43*$D$19*$D$129*Input!$H$159+BV42*$D$36*BV48/MAX($G$48:$BX$48)*$D$131*Input!$H$161)*Input!$H$150/1000000</f>
        <v>1.57023735059761</v>
      </c>
      <c r="BW132" s="48" t="n">
        <f aca="false">(BW43*$D$19*$D$129*Input!$H$159+BW42*$D$36*BW48/MAX($G$48:$BX$48)*$D$131*Input!$H$161)*Input!$H$150/1000000</f>
        <v>0</v>
      </c>
      <c r="BX132" s="48" t="n">
        <f aca="false">(BX43*$D$19*$D$129*Input!$H$159+BX42*$D$36*BX48/MAX($G$48:$BX$48)*$D$131*Input!$H$161)*Input!$H$150/1000000</f>
        <v>0</v>
      </c>
    </row>
    <row r="133" customFormat="false" ht="15" hidden="false" customHeight="false" outlineLevel="0" collapsed="false">
      <c r="A133" s="1"/>
      <c r="B133" s="8" t="s">
        <v>392</v>
      </c>
      <c r="C133" s="8" t="s">
        <v>126</v>
      </c>
      <c r="D133" s="44" t="n">
        <f aca="false">SUM(G133:BX133)</f>
        <v>29.3129020816733</v>
      </c>
      <c r="E133" s="1"/>
      <c r="F133" s="1"/>
      <c r="G133" s="48" t="n">
        <f aca="false">(G43*$D$19*$D$129*Input!$H$159+G42*$D$36*G48/MAX($G$48:$BX$48)*$D$131*Input!$H$161)*Input!$H$151/1000000</f>
        <v>0</v>
      </c>
      <c r="H133" s="48" t="n">
        <f aca="false">(H43*$D$19*$D$129*Input!$H$159+H42*$D$36*H48/MAX($G$48:$BX$48)*$D$131*Input!$H$161)*Input!$H$151/1000000</f>
        <v>0</v>
      </c>
      <c r="I133" s="48" t="n">
        <f aca="false">(I43*$D$19*$D$129*Input!$H$159+I42*$D$36*I48/MAX($G$48:$BX$48)*$D$131*Input!$H$161)*Input!$H$151/1000000</f>
        <v>0</v>
      </c>
      <c r="J133" s="48" t="n">
        <f aca="false">(J43*$D$19*$D$129*Input!$H$159+J42*$D$36*J48/MAX($G$48:$BX$48)*$D$131*Input!$H$161)*Input!$H$151/1000000</f>
        <v>0.300893805066234</v>
      </c>
      <c r="K133" s="48" t="n">
        <f aca="false">(K43*$D$19*$D$129*Input!$H$159+K42*$D$36*K48/MAX($G$48:$BX$48)*$D$131*Input!$H$161)*Input!$H$151/1000000</f>
        <v>0.546905444933766</v>
      </c>
      <c r="L133" s="48" t="n">
        <f aca="false">(L43*$D$19*$D$129*Input!$H$159+L42*$D$36*L48/MAX($G$48:$BX$48)*$D$131*Input!$H$161)*Input!$H$151/1000000</f>
        <v>0.698949</v>
      </c>
      <c r="M133" s="48" t="n">
        <f aca="false">(M43*$D$19*$D$129*Input!$H$159+M42*$D$36*M48/MAX($G$48:$BX$48)*$D$131*Input!$H$161)*Input!$H$151/1000000</f>
        <v>0.546905444933766</v>
      </c>
      <c r="N133" s="48" t="n">
        <f aca="false">(N43*$D$19*$D$129*Input!$H$159+N42*$D$36*N48/MAX($G$48:$BX$48)*$D$131*Input!$H$161)*Input!$H$151/1000000</f>
        <v>0.300893805066234</v>
      </c>
      <c r="O133" s="48" t="n">
        <f aca="false">(O43*$D$19*$D$129*Input!$H$159+O42*$D$36*O48/MAX($G$48:$BX$48)*$D$131*Input!$H$161)*Input!$H$151/1000000</f>
        <v>0.448639243027888</v>
      </c>
      <c r="P133" s="48" t="n">
        <f aca="false">(P43*$D$19*$D$129*Input!$H$159+P42*$D$36*P48/MAX($G$48:$BX$48)*$D$131*Input!$H$161)*Input!$H$151/1000000</f>
        <v>0.448639243027888</v>
      </c>
      <c r="Q133" s="48" t="n">
        <f aca="false">(Q43*$D$19*$D$129*Input!$H$159+Q42*$D$36*Q48/MAX($G$48:$BX$48)*$D$131*Input!$H$161)*Input!$H$151/1000000</f>
        <v>0.448639243027888</v>
      </c>
      <c r="R133" s="48" t="n">
        <f aca="false">(R43*$D$19*$D$129*Input!$H$159+R42*$D$36*R48/MAX($G$48:$BX$48)*$D$131*Input!$H$161)*Input!$H$151/1000000</f>
        <v>0.448639243027888</v>
      </c>
      <c r="S133" s="48" t="n">
        <f aca="false">(S43*$D$19*$D$129*Input!$H$159+S42*$D$36*S48/MAX($G$48:$BX$48)*$D$131*Input!$H$161)*Input!$H$151/1000000</f>
        <v>0.448639243027888</v>
      </c>
      <c r="T133" s="48" t="n">
        <f aca="false">(T43*$D$19*$D$129*Input!$H$159+T42*$D$36*T48/MAX($G$48:$BX$48)*$D$131*Input!$H$161)*Input!$H$151/1000000</f>
        <v>0.448639243027888</v>
      </c>
      <c r="U133" s="48" t="n">
        <f aca="false">(U43*$D$19*$D$129*Input!$H$159+U42*$D$36*U48/MAX($G$48:$BX$48)*$D$131*Input!$H$161)*Input!$H$151/1000000</f>
        <v>0.448639243027888</v>
      </c>
      <c r="V133" s="48" t="n">
        <f aca="false">(V43*$D$19*$D$129*Input!$H$159+V42*$D$36*V48/MAX($G$48:$BX$48)*$D$131*Input!$H$161)*Input!$H$151/1000000</f>
        <v>0.448639243027888</v>
      </c>
      <c r="W133" s="48" t="n">
        <f aca="false">(W43*$D$19*$D$129*Input!$H$159+W42*$D$36*W48/MAX($G$48:$BX$48)*$D$131*Input!$H$161)*Input!$H$151/1000000</f>
        <v>0.448639243027888</v>
      </c>
      <c r="X133" s="48" t="n">
        <f aca="false">(X43*$D$19*$D$129*Input!$H$159+X42*$D$36*X48/MAX($G$48:$BX$48)*$D$131*Input!$H$161)*Input!$H$151/1000000</f>
        <v>0.448639243027888</v>
      </c>
      <c r="Y133" s="48" t="n">
        <f aca="false">(Y43*$D$19*$D$129*Input!$H$159+Y42*$D$36*Y48/MAX($G$48:$BX$48)*$D$131*Input!$H$161)*Input!$H$151/1000000</f>
        <v>0.448639243027888</v>
      </c>
      <c r="Z133" s="48" t="n">
        <f aca="false">(Z43*$D$19*$D$129*Input!$H$159+Z42*$D$36*Z48/MAX($G$48:$BX$48)*$D$131*Input!$H$161)*Input!$H$151/1000000</f>
        <v>0.448639243027888</v>
      </c>
      <c r="AA133" s="48" t="n">
        <f aca="false">(AA43*$D$19*$D$129*Input!$H$159+AA42*$D$36*AA48/MAX($G$48:$BX$48)*$D$131*Input!$H$161)*Input!$H$151/1000000</f>
        <v>0.448639243027888</v>
      </c>
      <c r="AB133" s="48" t="n">
        <f aca="false">(AB43*$D$19*$D$129*Input!$H$159+AB42*$D$36*AB48/MAX($G$48:$BX$48)*$D$131*Input!$H$161)*Input!$H$151/1000000</f>
        <v>0.448639243027888</v>
      </c>
      <c r="AC133" s="48" t="n">
        <f aca="false">(AC43*$D$19*$D$129*Input!$H$159+AC42*$D$36*AC48/MAX($G$48:$BX$48)*$D$131*Input!$H$161)*Input!$H$151/1000000</f>
        <v>0.448639243027888</v>
      </c>
      <c r="AD133" s="48" t="n">
        <f aca="false">(AD43*$D$19*$D$129*Input!$H$159+AD42*$D$36*AD48/MAX($G$48:$BX$48)*$D$131*Input!$H$161)*Input!$H$151/1000000</f>
        <v>0.448639243027888</v>
      </c>
      <c r="AE133" s="48" t="n">
        <f aca="false">(AE43*$D$19*$D$129*Input!$H$159+AE42*$D$36*AE48/MAX($G$48:$BX$48)*$D$131*Input!$H$161)*Input!$H$151/1000000</f>
        <v>0.448639243027888</v>
      </c>
      <c r="AF133" s="48" t="n">
        <f aca="false">(AF43*$D$19*$D$129*Input!$H$159+AF42*$D$36*AF48/MAX($G$48:$BX$48)*$D$131*Input!$H$161)*Input!$H$151/1000000</f>
        <v>0.448639243027888</v>
      </c>
      <c r="AG133" s="48" t="n">
        <f aca="false">(AG43*$D$19*$D$129*Input!$H$159+AG42*$D$36*AG48/MAX($G$48:$BX$48)*$D$131*Input!$H$161)*Input!$H$151/1000000</f>
        <v>0.448639243027888</v>
      </c>
      <c r="AH133" s="48" t="n">
        <f aca="false">(AH43*$D$19*$D$129*Input!$H$159+AH42*$D$36*AH48/MAX($G$48:$BX$48)*$D$131*Input!$H$161)*Input!$H$151/1000000</f>
        <v>0.448639243027888</v>
      </c>
      <c r="AI133" s="48" t="n">
        <f aca="false">(AI43*$D$19*$D$129*Input!$H$159+AI42*$D$36*AI48/MAX($G$48:$BX$48)*$D$131*Input!$H$161)*Input!$H$151/1000000</f>
        <v>0.448639243027888</v>
      </c>
      <c r="AJ133" s="48" t="n">
        <f aca="false">(AJ43*$D$19*$D$129*Input!$H$159+AJ42*$D$36*AJ48/MAX($G$48:$BX$48)*$D$131*Input!$H$161)*Input!$H$151/1000000</f>
        <v>0.448639243027888</v>
      </c>
      <c r="AK133" s="48" t="n">
        <f aca="false">(AK43*$D$19*$D$129*Input!$H$159+AK42*$D$36*AK48/MAX($G$48:$BX$48)*$D$131*Input!$H$161)*Input!$H$151/1000000</f>
        <v>0.448639243027888</v>
      </c>
      <c r="AL133" s="48" t="n">
        <f aca="false">(AL43*$D$19*$D$129*Input!$H$159+AL42*$D$36*AL48/MAX($G$48:$BX$48)*$D$131*Input!$H$161)*Input!$H$151/1000000</f>
        <v>0.448639243027888</v>
      </c>
      <c r="AM133" s="48" t="n">
        <f aca="false">(AM43*$D$19*$D$129*Input!$H$159+AM42*$D$36*AM48/MAX($G$48:$BX$48)*$D$131*Input!$H$161)*Input!$H$151/1000000</f>
        <v>0.448639243027888</v>
      </c>
      <c r="AN133" s="48" t="n">
        <f aca="false">(AN43*$D$19*$D$129*Input!$H$159+AN42*$D$36*AN48/MAX($G$48:$BX$48)*$D$131*Input!$H$161)*Input!$H$151/1000000</f>
        <v>0.448639243027888</v>
      </c>
      <c r="AO133" s="48" t="n">
        <f aca="false">(AO43*$D$19*$D$129*Input!$H$159+AO42*$D$36*AO48/MAX($G$48:$BX$48)*$D$131*Input!$H$161)*Input!$H$151/1000000</f>
        <v>0.448639243027888</v>
      </c>
      <c r="AP133" s="48" t="n">
        <f aca="false">(AP43*$D$19*$D$129*Input!$H$159+AP42*$D$36*AP48/MAX($G$48:$BX$48)*$D$131*Input!$H$161)*Input!$H$151/1000000</f>
        <v>0.448639243027888</v>
      </c>
      <c r="AQ133" s="48" t="n">
        <f aca="false">(AQ43*$D$19*$D$129*Input!$H$159+AQ42*$D$36*AQ48/MAX($G$48:$BX$48)*$D$131*Input!$H$161)*Input!$H$151/1000000</f>
        <v>0.448639243027888</v>
      </c>
      <c r="AR133" s="48" t="n">
        <f aca="false">(AR43*$D$19*$D$129*Input!$H$159+AR42*$D$36*AR48/MAX($G$48:$BX$48)*$D$131*Input!$H$161)*Input!$H$151/1000000</f>
        <v>0.448639243027888</v>
      </c>
      <c r="AS133" s="48" t="n">
        <f aca="false">(AS43*$D$19*$D$129*Input!$H$159+AS42*$D$36*AS48/MAX($G$48:$BX$48)*$D$131*Input!$H$161)*Input!$H$151/1000000</f>
        <v>0.448639243027888</v>
      </c>
      <c r="AT133" s="48" t="n">
        <f aca="false">(AT43*$D$19*$D$129*Input!$H$159+AT42*$D$36*AT48/MAX($G$48:$BX$48)*$D$131*Input!$H$161)*Input!$H$151/1000000</f>
        <v>0.448639243027888</v>
      </c>
      <c r="AU133" s="48" t="n">
        <f aca="false">(AU43*$D$19*$D$129*Input!$H$159+AU42*$D$36*AU48/MAX($G$48:$BX$48)*$D$131*Input!$H$161)*Input!$H$151/1000000</f>
        <v>0.448639243027888</v>
      </c>
      <c r="AV133" s="48" t="n">
        <f aca="false">(AV43*$D$19*$D$129*Input!$H$159+AV42*$D$36*AV48/MAX($G$48:$BX$48)*$D$131*Input!$H$161)*Input!$H$151/1000000</f>
        <v>0.448639243027888</v>
      </c>
      <c r="AW133" s="48" t="n">
        <f aca="false">(AW43*$D$19*$D$129*Input!$H$159+AW42*$D$36*AW48/MAX($G$48:$BX$48)*$D$131*Input!$H$161)*Input!$H$151/1000000</f>
        <v>0.448639243027888</v>
      </c>
      <c r="AX133" s="48" t="n">
        <f aca="false">(AX43*$D$19*$D$129*Input!$H$159+AX42*$D$36*AX48/MAX($G$48:$BX$48)*$D$131*Input!$H$161)*Input!$H$151/1000000</f>
        <v>0.448639243027888</v>
      </c>
      <c r="AY133" s="48" t="n">
        <f aca="false">(AY43*$D$19*$D$129*Input!$H$159+AY42*$D$36*AY48/MAX($G$48:$BX$48)*$D$131*Input!$H$161)*Input!$H$151/1000000</f>
        <v>0.448639243027888</v>
      </c>
      <c r="AZ133" s="48" t="n">
        <f aca="false">(AZ43*$D$19*$D$129*Input!$H$159+AZ42*$D$36*AZ48/MAX($G$48:$BX$48)*$D$131*Input!$H$161)*Input!$H$151/1000000</f>
        <v>0.448639243027888</v>
      </c>
      <c r="BA133" s="48" t="n">
        <f aca="false">(BA43*$D$19*$D$129*Input!$H$159+BA42*$D$36*BA48/MAX($G$48:$BX$48)*$D$131*Input!$H$161)*Input!$H$151/1000000</f>
        <v>0.448639243027888</v>
      </c>
      <c r="BB133" s="48" t="n">
        <f aca="false">(BB43*$D$19*$D$129*Input!$H$159+BB42*$D$36*BB48/MAX($G$48:$BX$48)*$D$131*Input!$H$161)*Input!$H$151/1000000</f>
        <v>0.448639243027888</v>
      </c>
      <c r="BC133" s="48" t="n">
        <f aca="false">(BC43*$D$19*$D$129*Input!$H$159+BC42*$D$36*BC48/MAX($G$48:$BX$48)*$D$131*Input!$H$161)*Input!$H$151/1000000</f>
        <v>0.448639243027888</v>
      </c>
      <c r="BD133" s="48" t="n">
        <f aca="false">(BD43*$D$19*$D$129*Input!$H$159+BD42*$D$36*BD48/MAX($G$48:$BX$48)*$D$131*Input!$H$161)*Input!$H$151/1000000</f>
        <v>0.448639243027888</v>
      </c>
      <c r="BE133" s="48" t="n">
        <f aca="false">(BE43*$D$19*$D$129*Input!$H$159+BE42*$D$36*BE48/MAX($G$48:$BX$48)*$D$131*Input!$H$161)*Input!$H$151/1000000</f>
        <v>0.448639243027888</v>
      </c>
      <c r="BF133" s="48" t="n">
        <f aca="false">(BF43*$D$19*$D$129*Input!$H$159+BF42*$D$36*BF48/MAX($G$48:$BX$48)*$D$131*Input!$H$161)*Input!$H$151/1000000</f>
        <v>0.448639243027888</v>
      </c>
      <c r="BG133" s="48" t="n">
        <f aca="false">(BG43*$D$19*$D$129*Input!$H$159+BG42*$D$36*BG48/MAX($G$48:$BX$48)*$D$131*Input!$H$161)*Input!$H$151/1000000</f>
        <v>0.448639243027888</v>
      </c>
      <c r="BH133" s="48" t="n">
        <f aca="false">(BH43*$D$19*$D$129*Input!$H$159+BH42*$D$36*BH48/MAX($G$48:$BX$48)*$D$131*Input!$H$161)*Input!$H$151/1000000</f>
        <v>0.448639243027888</v>
      </c>
      <c r="BI133" s="48" t="n">
        <f aca="false">(BI43*$D$19*$D$129*Input!$H$159+BI42*$D$36*BI48/MAX($G$48:$BX$48)*$D$131*Input!$H$161)*Input!$H$151/1000000</f>
        <v>0.448639243027888</v>
      </c>
      <c r="BJ133" s="48" t="n">
        <f aca="false">(BJ43*$D$19*$D$129*Input!$H$159+BJ42*$D$36*BJ48/MAX($G$48:$BX$48)*$D$131*Input!$H$161)*Input!$H$151/1000000</f>
        <v>0.448639243027888</v>
      </c>
      <c r="BK133" s="48" t="n">
        <f aca="false">(BK43*$D$19*$D$129*Input!$H$159+BK42*$D$36*BK48/MAX($G$48:$BX$48)*$D$131*Input!$H$161)*Input!$H$151/1000000</f>
        <v>0.448639243027888</v>
      </c>
      <c r="BL133" s="48" t="n">
        <f aca="false">(BL43*$D$19*$D$129*Input!$H$159+BL42*$D$36*BL48/MAX($G$48:$BX$48)*$D$131*Input!$H$161)*Input!$H$151/1000000</f>
        <v>0.448639243027888</v>
      </c>
      <c r="BM133" s="48" t="n">
        <f aca="false">(BM43*$D$19*$D$129*Input!$H$159+BM42*$D$36*BM48/MAX($G$48:$BX$48)*$D$131*Input!$H$161)*Input!$H$151/1000000</f>
        <v>0.448639243027888</v>
      </c>
      <c r="BN133" s="48" t="n">
        <f aca="false">(BN43*$D$19*$D$129*Input!$H$159+BN42*$D$36*BN48/MAX($G$48:$BX$48)*$D$131*Input!$H$161)*Input!$H$151/1000000</f>
        <v>0.448639243027888</v>
      </c>
      <c r="BO133" s="48" t="n">
        <f aca="false">(BO43*$D$19*$D$129*Input!$H$159+BO42*$D$36*BO48/MAX($G$48:$BX$48)*$D$131*Input!$H$161)*Input!$H$151/1000000</f>
        <v>0.448639243027888</v>
      </c>
      <c r="BP133" s="48" t="n">
        <f aca="false">(BP43*$D$19*$D$129*Input!$H$159+BP42*$D$36*BP48/MAX($G$48:$BX$48)*$D$131*Input!$H$161)*Input!$H$151/1000000</f>
        <v>0.448639243027888</v>
      </c>
      <c r="BQ133" s="48" t="n">
        <f aca="false">(BQ43*$D$19*$D$129*Input!$H$159+BQ42*$D$36*BQ48/MAX($G$48:$BX$48)*$D$131*Input!$H$161)*Input!$H$151/1000000</f>
        <v>0.448639243027888</v>
      </c>
      <c r="BR133" s="48" t="n">
        <f aca="false">(BR43*$D$19*$D$129*Input!$H$159+BR42*$D$36*BR48/MAX($G$48:$BX$48)*$D$131*Input!$H$161)*Input!$H$151/1000000</f>
        <v>0.448639243027888</v>
      </c>
      <c r="BS133" s="48" t="n">
        <f aca="false">(BS43*$D$19*$D$129*Input!$H$159+BS42*$D$36*BS48/MAX($G$48:$BX$48)*$D$131*Input!$H$161)*Input!$H$151/1000000</f>
        <v>0.448639243027888</v>
      </c>
      <c r="BT133" s="48" t="n">
        <f aca="false">(BT43*$D$19*$D$129*Input!$H$159+BT42*$D$36*BT48/MAX($G$48:$BX$48)*$D$131*Input!$H$161)*Input!$H$151/1000000</f>
        <v>0.448639243027888</v>
      </c>
      <c r="BU133" s="48" t="n">
        <f aca="false">(BU43*$D$19*$D$129*Input!$H$159+BU42*$D$36*BU48/MAX($G$48:$BX$48)*$D$131*Input!$H$161)*Input!$H$151/1000000</f>
        <v>0.448639243027888</v>
      </c>
      <c r="BV133" s="48" t="n">
        <f aca="false">(BV43*$D$19*$D$129*Input!$H$159+BV42*$D$36*BV48/MAX($G$48:$BX$48)*$D$131*Input!$H$161)*Input!$H$151/1000000</f>
        <v>0.448639243027888</v>
      </c>
      <c r="BW133" s="48" t="n">
        <f aca="false">(BW43*$D$19*$D$129*Input!$H$159+BW42*$D$36*BW48/MAX($G$48:$BX$48)*$D$131*Input!$H$161)*Input!$H$151/1000000</f>
        <v>0</v>
      </c>
      <c r="BX133" s="48" t="n">
        <f aca="false">(BX43*$D$19*$D$129*Input!$H$159+BX42*$D$36*BX48/MAX($G$48:$BX$48)*$D$131*Input!$H$161)*Input!$H$151/1000000</f>
        <v>0</v>
      </c>
    </row>
    <row r="134" customFormat="false" ht="15" hidden="false" customHeight="false" outlineLevel="0" collapsed="false">
      <c r="A134" s="1"/>
      <c r="B134" s="8" t="s">
        <v>393</v>
      </c>
      <c r="C134" s="8" t="s">
        <v>126</v>
      </c>
      <c r="D134" s="44" t="n">
        <f aca="false">SUM(G134:BX134)</f>
        <v>4.71071205179283</v>
      </c>
      <c r="E134" s="1"/>
      <c r="F134" s="1"/>
      <c r="G134" s="48" t="n">
        <f aca="false">G43*$D$19*$D$129*Input!$H$159*Input!$H$152/1000000</f>
        <v>0</v>
      </c>
      <c r="H134" s="48" t="n">
        <f aca="false">H43*$D$19*$D$129*Input!$H$159*Input!$H$152/1000000</f>
        <v>0</v>
      </c>
      <c r="I134" s="48" t="n">
        <f aca="false">I43*$D$19*$D$129*Input!$H$159*Input!$H$152/1000000</f>
        <v>0</v>
      </c>
      <c r="J134" s="48" t="n">
        <f aca="false">J43*$D$19*$D$129*Input!$H$159*Input!$H$152/1000000</f>
        <v>0</v>
      </c>
      <c r="K134" s="48" t="n">
        <f aca="false">K43*$D$19*$D$129*Input!$H$159*Input!$H$152/1000000</f>
        <v>0</v>
      </c>
      <c r="L134" s="48" t="n">
        <f aca="false">L43*$D$19*$D$129*Input!$H$159*Input!$H$152/1000000</f>
        <v>0</v>
      </c>
      <c r="M134" s="48" t="n">
        <f aca="false">M43*$D$19*$D$129*Input!$H$159*Input!$H$152/1000000</f>
        <v>0</v>
      </c>
      <c r="N134" s="48" t="n">
        <f aca="false">N43*$D$19*$D$129*Input!$H$159*Input!$H$152/1000000</f>
        <v>0</v>
      </c>
      <c r="O134" s="48" t="n">
        <f aca="false">O43*$D$19*$D$129*Input!$H$159*Input!$H$152/1000000</f>
        <v>0.0785118675298805</v>
      </c>
      <c r="P134" s="48" t="n">
        <f aca="false">P43*$D$19*$D$129*Input!$H$159*Input!$H$152/1000000</f>
        <v>0.0785118675298805</v>
      </c>
      <c r="Q134" s="48" t="n">
        <f aca="false">Q43*$D$19*$D$129*Input!$H$159*Input!$H$152/1000000</f>
        <v>0.0785118675298805</v>
      </c>
      <c r="R134" s="48" t="n">
        <f aca="false">R43*$D$19*$D$129*Input!$H$159*Input!$H$152/1000000</f>
        <v>0.0785118675298805</v>
      </c>
      <c r="S134" s="48" t="n">
        <f aca="false">S43*$D$19*$D$129*Input!$H$159*Input!$H$152/1000000</f>
        <v>0.0785118675298805</v>
      </c>
      <c r="T134" s="48" t="n">
        <f aca="false">T43*$D$19*$D$129*Input!$H$159*Input!$H$152/1000000</f>
        <v>0.0785118675298805</v>
      </c>
      <c r="U134" s="48" t="n">
        <f aca="false">U43*$D$19*$D$129*Input!$H$159*Input!$H$152/1000000</f>
        <v>0.0785118675298805</v>
      </c>
      <c r="V134" s="48" t="n">
        <f aca="false">V43*$D$19*$D$129*Input!$H$159*Input!$H$152/1000000</f>
        <v>0.0785118675298805</v>
      </c>
      <c r="W134" s="48" t="n">
        <f aca="false">W43*$D$19*$D$129*Input!$H$159*Input!$H$152/1000000</f>
        <v>0.0785118675298805</v>
      </c>
      <c r="X134" s="48" t="n">
        <f aca="false">X43*$D$19*$D$129*Input!$H$159*Input!$H$152/1000000</f>
        <v>0.0785118675298805</v>
      </c>
      <c r="Y134" s="48" t="n">
        <f aca="false">Y43*$D$19*$D$129*Input!$H$159*Input!$H$152/1000000</f>
        <v>0.0785118675298805</v>
      </c>
      <c r="Z134" s="48" t="n">
        <f aca="false">Z43*$D$19*$D$129*Input!$H$159*Input!$H$152/1000000</f>
        <v>0.0785118675298805</v>
      </c>
      <c r="AA134" s="48" t="n">
        <f aca="false">AA43*$D$19*$D$129*Input!$H$159*Input!$H$152/1000000</f>
        <v>0.0785118675298805</v>
      </c>
      <c r="AB134" s="48" t="n">
        <f aca="false">AB43*$D$19*$D$129*Input!$H$159*Input!$H$152/1000000</f>
        <v>0.0785118675298805</v>
      </c>
      <c r="AC134" s="48" t="n">
        <f aca="false">AC43*$D$19*$D$129*Input!$H$159*Input!$H$152/1000000</f>
        <v>0.0785118675298805</v>
      </c>
      <c r="AD134" s="48" t="n">
        <f aca="false">AD43*$D$19*$D$129*Input!$H$159*Input!$H$152/1000000</f>
        <v>0.0785118675298805</v>
      </c>
      <c r="AE134" s="48" t="n">
        <f aca="false">AE43*$D$19*$D$129*Input!$H$159*Input!$H$152/1000000</f>
        <v>0.0785118675298805</v>
      </c>
      <c r="AF134" s="48" t="n">
        <f aca="false">AF43*$D$19*$D$129*Input!$H$159*Input!$H$152/1000000</f>
        <v>0.0785118675298805</v>
      </c>
      <c r="AG134" s="48" t="n">
        <f aca="false">AG43*$D$19*$D$129*Input!$H$159*Input!$H$152/1000000</f>
        <v>0.0785118675298805</v>
      </c>
      <c r="AH134" s="48" t="n">
        <f aca="false">AH43*$D$19*$D$129*Input!$H$159*Input!$H$152/1000000</f>
        <v>0.0785118675298805</v>
      </c>
      <c r="AI134" s="48" t="n">
        <f aca="false">AI43*$D$19*$D$129*Input!$H$159*Input!$H$152/1000000</f>
        <v>0.0785118675298805</v>
      </c>
      <c r="AJ134" s="48" t="n">
        <f aca="false">AJ43*$D$19*$D$129*Input!$H$159*Input!$H$152/1000000</f>
        <v>0.0785118675298805</v>
      </c>
      <c r="AK134" s="48" t="n">
        <f aca="false">AK43*$D$19*$D$129*Input!$H$159*Input!$H$152/1000000</f>
        <v>0.0785118675298805</v>
      </c>
      <c r="AL134" s="48" t="n">
        <f aca="false">AL43*$D$19*$D$129*Input!$H$159*Input!$H$152/1000000</f>
        <v>0.0785118675298805</v>
      </c>
      <c r="AM134" s="48" t="n">
        <f aca="false">AM43*$D$19*$D$129*Input!$H$159*Input!$H$152/1000000</f>
        <v>0.0785118675298805</v>
      </c>
      <c r="AN134" s="48" t="n">
        <f aca="false">AN43*$D$19*$D$129*Input!$H$159*Input!$H$152/1000000</f>
        <v>0.0785118675298805</v>
      </c>
      <c r="AO134" s="48" t="n">
        <f aca="false">AO43*$D$19*$D$129*Input!$H$159*Input!$H$152/1000000</f>
        <v>0.0785118675298805</v>
      </c>
      <c r="AP134" s="48" t="n">
        <f aca="false">AP43*$D$19*$D$129*Input!$H$159*Input!$H$152/1000000</f>
        <v>0.0785118675298805</v>
      </c>
      <c r="AQ134" s="48" t="n">
        <f aca="false">AQ43*$D$19*$D$129*Input!$H$159*Input!$H$152/1000000</f>
        <v>0.0785118675298805</v>
      </c>
      <c r="AR134" s="48" t="n">
        <f aca="false">AR43*$D$19*$D$129*Input!$H$159*Input!$H$152/1000000</f>
        <v>0.0785118675298805</v>
      </c>
      <c r="AS134" s="48" t="n">
        <f aca="false">AS43*$D$19*$D$129*Input!$H$159*Input!$H$152/1000000</f>
        <v>0.0785118675298805</v>
      </c>
      <c r="AT134" s="48" t="n">
        <f aca="false">AT43*$D$19*$D$129*Input!$H$159*Input!$H$152/1000000</f>
        <v>0.0785118675298805</v>
      </c>
      <c r="AU134" s="48" t="n">
        <f aca="false">AU43*$D$19*$D$129*Input!$H$159*Input!$H$152/1000000</f>
        <v>0.0785118675298805</v>
      </c>
      <c r="AV134" s="48" t="n">
        <f aca="false">AV43*$D$19*$D$129*Input!$H$159*Input!$H$152/1000000</f>
        <v>0.0785118675298805</v>
      </c>
      <c r="AW134" s="48" t="n">
        <f aca="false">AW43*$D$19*$D$129*Input!$H$159*Input!$H$152/1000000</f>
        <v>0.0785118675298805</v>
      </c>
      <c r="AX134" s="48" t="n">
        <f aca="false">AX43*$D$19*$D$129*Input!$H$159*Input!$H$152/1000000</f>
        <v>0.0785118675298805</v>
      </c>
      <c r="AY134" s="48" t="n">
        <f aca="false">AY43*$D$19*$D$129*Input!$H$159*Input!$H$152/1000000</f>
        <v>0.0785118675298805</v>
      </c>
      <c r="AZ134" s="48" t="n">
        <f aca="false">AZ43*$D$19*$D$129*Input!$H$159*Input!$H$152/1000000</f>
        <v>0.0785118675298805</v>
      </c>
      <c r="BA134" s="48" t="n">
        <f aca="false">BA43*$D$19*$D$129*Input!$H$159*Input!$H$152/1000000</f>
        <v>0.0785118675298805</v>
      </c>
      <c r="BB134" s="48" t="n">
        <f aca="false">BB43*$D$19*$D$129*Input!$H$159*Input!$H$152/1000000</f>
        <v>0.0785118675298805</v>
      </c>
      <c r="BC134" s="48" t="n">
        <f aca="false">BC43*$D$19*$D$129*Input!$H$159*Input!$H$152/1000000</f>
        <v>0.0785118675298805</v>
      </c>
      <c r="BD134" s="48" t="n">
        <f aca="false">BD43*$D$19*$D$129*Input!$H$159*Input!$H$152/1000000</f>
        <v>0.0785118675298805</v>
      </c>
      <c r="BE134" s="48" t="n">
        <f aca="false">BE43*$D$19*$D$129*Input!$H$159*Input!$H$152/1000000</f>
        <v>0.0785118675298805</v>
      </c>
      <c r="BF134" s="48" t="n">
        <f aca="false">BF43*$D$19*$D$129*Input!$H$159*Input!$H$152/1000000</f>
        <v>0.0785118675298805</v>
      </c>
      <c r="BG134" s="48" t="n">
        <f aca="false">BG43*$D$19*$D$129*Input!$H$159*Input!$H$152/1000000</f>
        <v>0.0785118675298805</v>
      </c>
      <c r="BH134" s="48" t="n">
        <f aca="false">BH43*$D$19*$D$129*Input!$H$159*Input!$H$152/1000000</f>
        <v>0.0785118675298805</v>
      </c>
      <c r="BI134" s="48" t="n">
        <f aca="false">BI43*$D$19*$D$129*Input!$H$159*Input!$H$152/1000000</f>
        <v>0.0785118675298805</v>
      </c>
      <c r="BJ134" s="48" t="n">
        <f aca="false">BJ43*$D$19*$D$129*Input!$H$159*Input!$H$152/1000000</f>
        <v>0.0785118675298805</v>
      </c>
      <c r="BK134" s="48" t="n">
        <f aca="false">BK43*$D$19*$D$129*Input!$H$159*Input!$H$152/1000000</f>
        <v>0.0785118675298805</v>
      </c>
      <c r="BL134" s="48" t="n">
        <f aca="false">BL43*$D$19*$D$129*Input!$H$159*Input!$H$152/1000000</f>
        <v>0.0785118675298805</v>
      </c>
      <c r="BM134" s="48" t="n">
        <f aca="false">BM43*$D$19*$D$129*Input!$H$159*Input!$H$152/1000000</f>
        <v>0.0785118675298805</v>
      </c>
      <c r="BN134" s="48" t="n">
        <f aca="false">BN43*$D$19*$D$129*Input!$H$159*Input!$H$152/1000000</f>
        <v>0.0785118675298805</v>
      </c>
      <c r="BO134" s="48" t="n">
        <f aca="false">BO43*$D$19*$D$129*Input!$H$159*Input!$H$152/1000000</f>
        <v>0.0785118675298805</v>
      </c>
      <c r="BP134" s="48" t="n">
        <f aca="false">BP43*$D$19*$D$129*Input!$H$159*Input!$H$152/1000000</f>
        <v>0.0785118675298805</v>
      </c>
      <c r="BQ134" s="48" t="n">
        <f aca="false">BQ43*$D$19*$D$129*Input!$H$159*Input!$H$152/1000000</f>
        <v>0.0785118675298805</v>
      </c>
      <c r="BR134" s="48" t="n">
        <f aca="false">BR43*$D$19*$D$129*Input!$H$159*Input!$H$152/1000000</f>
        <v>0.0785118675298805</v>
      </c>
      <c r="BS134" s="48" t="n">
        <f aca="false">BS43*$D$19*$D$129*Input!$H$159*Input!$H$152/1000000</f>
        <v>0.0785118675298805</v>
      </c>
      <c r="BT134" s="48" t="n">
        <f aca="false">BT43*$D$19*$D$129*Input!$H$159*Input!$H$152/1000000</f>
        <v>0.0785118675298805</v>
      </c>
      <c r="BU134" s="48" t="n">
        <f aca="false">BU43*$D$19*$D$129*Input!$H$159*Input!$H$152/1000000</f>
        <v>0.0785118675298805</v>
      </c>
      <c r="BV134" s="48" t="n">
        <f aca="false">BV43*$D$19*$D$129*Input!$H$159*Input!$H$152/1000000</f>
        <v>0.0785118675298805</v>
      </c>
      <c r="BW134" s="48" t="n">
        <f aca="false">BW43*$D$19*$D$129*Input!$H$159*Input!$H$152/1000000</f>
        <v>0</v>
      </c>
      <c r="BX134" s="48" t="n">
        <f aca="false">BX43*$D$19*$D$129*Input!$H$159*Input!$H$152/1000000</f>
        <v>0</v>
      </c>
    </row>
    <row r="135" customFormat="false" ht="15" hidden="false" customHeight="false" outlineLevel="0" collapsed="false">
      <c r="A135" s="1"/>
      <c r="B135" s="4" t="s">
        <v>394</v>
      </c>
      <c r="C135" s="8" t="s">
        <v>126</v>
      </c>
      <c r="D135" s="44" t="n">
        <f aca="false">SUM(G135:BX135)</f>
        <v>4696.45352839886</v>
      </c>
      <c r="E135" s="1"/>
      <c r="F135" s="1"/>
      <c r="G135" s="44" t="n">
        <f aca="false">G123+G124+G125+G126+G127+G132+G133+G134</f>
        <v>0</v>
      </c>
      <c r="H135" s="44" t="n">
        <f aca="false">H123+H124+H125+H126+H127+H132+H133+H134</f>
        <v>0</v>
      </c>
      <c r="I135" s="44" t="n">
        <f aca="false">I123+I124+I125+I126+I127+I132+I133+I134</f>
        <v>0</v>
      </c>
      <c r="J135" s="44" t="n">
        <f aca="false">J123+J124+J125+J126+J127+J132+J133+J134</f>
        <v>1.35402212279805</v>
      </c>
      <c r="K135" s="44" t="n">
        <f aca="false">K123+K124+K125+K126+K127+K132+K133+K134</f>
        <v>2.46107450220195</v>
      </c>
      <c r="L135" s="44" t="n">
        <f aca="false">L123+L124+L125+L126+L127+L132+L133+L134</f>
        <v>3.1452705</v>
      </c>
      <c r="M135" s="44" t="n">
        <f aca="false">M123+M124+M125+M126+M127+M132+M133+M134</f>
        <v>2.46107450220195</v>
      </c>
      <c r="N135" s="44" t="n">
        <f aca="false">N123+N124+N125+N126+N127+N132+N133+N134</f>
        <v>1.35402212279805</v>
      </c>
      <c r="O135" s="44" t="n">
        <f aca="false">O123+O124+O125+O126+O127+O132+O133+O134</f>
        <v>47.6973884611554</v>
      </c>
      <c r="P135" s="44" t="n">
        <f aca="false">P123+P124+P125+P126+P127+P132+P133+P134</f>
        <v>47.6973884611554</v>
      </c>
      <c r="Q135" s="44" t="n">
        <f aca="false">Q123+Q124+Q125+Q126+Q127+Q132+Q133+Q134</f>
        <v>47.6973884611554</v>
      </c>
      <c r="R135" s="44" t="n">
        <f aca="false">R123+R124+R125+R126+R127+R132+R133+R134</f>
        <v>47.6973884611554</v>
      </c>
      <c r="S135" s="44" t="n">
        <f aca="false">S123+S124+S125+S126+S127+S132+S133+S134</f>
        <v>47.6973884611554</v>
      </c>
      <c r="T135" s="44" t="n">
        <f aca="false">T123+T124+T125+T126+T127+T132+T133+T134</f>
        <v>47.6973884611554</v>
      </c>
      <c r="U135" s="44" t="n">
        <f aca="false">U123+U124+U125+U126+U127+U132+U133+U134</f>
        <v>47.6973884611554</v>
      </c>
      <c r="V135" s="44" t="n">
        <f aca="false">V123+V124+V125+V126+V127+V132+V133+V134</f>
        <v>51.8493705169154</v>
      </c>
      <c r="W135" s="44" t="n">
        <f aca="false">W123+W124+W125+W126+W127+W132+W133+W134</f>
        <v>53.6098705169154</v>
      </c>
      <c r="X135" s="44" t="n">
        <f aca="false">X123+X124+X125+X126+X127+X132+X133+X134</f>
        <v>52.8022934581794</v>
      </c>
      <c r="Y135" s="44" t="n">
        <f aca="false">Y123+Y124+Y125+Y126+Y127+Y132+Y133+Y134</f>
        <v>57.1308705169154</v>
      </c>
      <c r="Z135" s="44" t="n">
        <f aca="false">Z123+Z124+Z125+Z126+Z127+Z132+Z133+Z134</f>
        <v>57.1308705169154</v>
      </c>
      <c r="AA135" s="44" t="n">
        <f aca="false">AA123+AA124+AA125+AA126+AA127+AA132+AA133+AA134</f>
        <v>58.3422361050194</v>
      </c>
      <c r="AB135" s="44" t="n">
        <f aca="false">AB123+AB124+AB125+AB126+AB127+AB132+AB133+AB134</f>
        <v>57.1308705169154</v>
      </c>
      <c r="AC135" s="44" t="n">
        <f aca="false">AC123+AC124+AC125+AC126+AC127+AC132+AC133+AC134</f>
        <v>62.4123705169154</v>
      </c>
      <c r="AD135" s="44" t="n">
        <f aca="false">AD123+AD124+AD125+AD126+AD127+AD132+AD133+AD134</f>
        <v>65.7363361050194</v>
      </c>
      <c r="AE135" s="44" t="n">
        <f aca="false">AE123+AE124+AE125+AE126+AE127+AE132+AE133+AE134</f>
        <v>67.3110695576194</v>
      </c>
      <c r="AF135" s="44" t="n">
        <f aca="false">AF123+AF124+AF125+AF126+AF127+AF132+AF133+AF134</f>
        <v>81.3525525726754</v>
      </c>
      <c r="AG135" s="44" t="n">
        <f aca="false">AG123+AG124+AG125+AG126+AG127+AG132+AG133+AG134</f>
        <v>83.7752837488834</v>
      </c>
      <c r="AH135" s="44" t="n">
        <f aca="false">AH123+AH124+AH125+AH126+AH127+AH132+AH133+AH134</f>
        <v>78.9298213964674</v>
      </c>
      <c r="AI135" s="44" t="n">
        <f aca="false">AI123+AI124+AI125+AI126+AI127+AI132+AI133+AI134</f>
        <v>81.3525525726754</v>
      </c>
      <c r="AJ135" s="44" t="n">
        <f aca="false">AJ123+AJ124+AJ125+AJ126+AJ127+AJ132+AJ133+AJ134</f>
        <v>83.7752837488834</v>
      </c>
      <c r="AK135" s="44" t="n">
        <f aca="false">AK123+AK124+AK125+AK126+AK127+AK132+AK133+AK134</f>
        <v>85.0496025726754</v>
      </c>
      <c r="AL135" s="44" t="n">
        <f aca="false">AL123+AL124+AL125+AL126+AL127+AL132+AL133+AL134</f>
        <v>86.1059025726754</v>
      </c>
      <c r="AM135" s="44" t="n">
        <f aca="false">AM123+AM124+AM125+AM126+AM127+AM132+AM133+AM134</f>
        <v>88.5286337488834</v>
      </c>
      <c r="AN135" s="44" t="n">
        <f aca="false">AN123+AN124+AN125+AN126+AN127+AN132+AN133+AN134</f>
        <v>86.1059025726754</v>
      </c>
      <c r="AO135" s="44" t="n">
        <f aca="false">AO123+AO124+AO125+AO126+AO127+AO132+AO133+AO134</f>
        <v>86.1059025726754</v>
      </c>
      <c r="AP135" s="44" t="n">
        <f aca="false">AP123+AP124+AP125+AP126+AP127+AP132+AP133+AP134</f>
        <v>88.5286337488834</v>
      </c>
      <c r="AQ135" s="44" t="n">
        <f aca="false">AQ123+AQ124+AQ125+AQ126+AQ127+AQ132+AQ133+AQ134</f>
        <v>86.1059025726754</v>
      </c>
      <c r="AR135" s="44" t="n">
        <f aca="false">AR123+AR124+AR125+AR126+AR127+AR132+AR133+AR134</f>
        <v>83.6831713964674</v>
      </c>
      <c r="AS135" s="44" t="n">
        <f aca="false">AS123+AS124+AS125+AS126+AS127+AS132+AS133+AS134</f>
        <v>88.5286337488834</v>
      </c>
      <c r="AT135" s="44" t="n">
        <f aca="false">AT123+AT124+AT125+AT126+AT127+AT132+AT133+AT134</f>
        <v>86.1059025726754</v>
      </c>
      <c r="AU135" s="44" t="n">
        <f aca="false">AU123+AU124+AU125+AU126+AU127+AU132+AU133+AU134</f>
        <v>86.1059025726754</v>
      </c>
      <c r="AV135" s="44" t="n">
        <f aca="false">AV123+AV124+AV125+AV126+AV127+AV132+AV133+AV134</f>
        <v>88.5286337488834</v>
      </c>
      <c r="AW135" s="44" t="n">
        <f aca="false">AW123+AW124+AW125+AW126+AW127+AW132+AW133+AW134</f>
        <v>86.1059025726754</v>
      </c>
      <c r="AX135" s="44" t="n">
        <f aca="false">AX123+AX124+AX125+AX126+AX127+AX132+AX133+AX134</f>
        <v>86.1059025726754</v>
      </c>
      <c r="AY135" s="44" t="n">
        <f aca="false">AY123+AY124+AY125+AY126+AY127+AY132+AY133+AY134</f>
        <v>88.5286337488834</v>
      </c>
      <c r="AZ135" s="44" t="n">
        <f aca="false">AZ123+AZ124+AZ125+AZ126+AZ127+AZ132+AZ133+AZ134</f>
        <v>86.1059025726754</v>
      </c>
      <c r="BA135" s="44" t="n">
        <f aca="false">BA123+BA124+BA125+BA126+BA127+BA132+BA133+BA134</f>
        <v>86.1059025726754</v>
      </c>
      <c r="BB135" s="44" t="n">
        <f aca="false">BB123+BB124+BB125+BB126+BB127+BB132+BB133+BB134</f>
        <v>84.4907484552034</v>
      </c>
      <c r="BC135" s="44" t="n">
        <f aca="false">BC123+BC124+BC125+BC126+BC127+BC132+BC133+BC134</f>
        <v>89.6269025726754</v>
      </c>
      <c r="BD135" s="44" t="n">
        <f aca="false">BD123+BD124+BD125+BD126+BD127+BD132+BD133+BD134</f>
        <v>89.6269025726754</v>
      </c>
      <c r="BE135" s="44" t="n">
        <f aca="false">BE123+BE124+BE125+BE126+BE127+BE132+BE133+BE134</f>
        <v>92.0496337488834</v>
      </c>
      <c r="BF135" s="44" t="n">
        <f aca="false">BF123+BF124+BF125+BF126+BF127+BF132+BF133+BF134</f>
        <v>89.6269025726754</v>
      </c>
      <c r="BG135" s="44" t="n">
        <f aca="false">BG123+BG124+BG125+BG126+BG127+BG132+BG133+BG134</f>
        <v>89.6269025726754</v>
      </c>
      <c r="BH135" s="44" t="n">
        <f aca="false">BH123+BH124+BH125+BH126+BH127+BH132+BH133+BH134</f>
        <v>92.0496337488834</v>
      </c>
      <c r="BI135" s="44" t="n">
        <f aca="false">BI123+BI124+BI125+BI126+BI127+BI132+BI133+BI134</f>
        <v>89.6269025726754</v>
      </c>
      <c r="BJ135" s="44" t="n">
        <f aca="false">BJ123+BJ124+BJ125+BJ126+BJ127+BJ132+BJ133+BJ134</f>
        <v>89.6269025726754</v>
      </c>
      <c r="BK135" s="44" t="n">
        <f aca="false">BK123+BK124+BK125+BK126+BK127+BK132+BK133+BK134</f>
        <v>92.0496337488834</v>
      </c>
      <c r="BL135" s="44" t="n">
        <f aca="false">BL123+BL124+BL125+BL126+BL127+BL132+BL133+BL134</f>
        <v>87.2041713964674</v>
      </c>
      <c r="BM135" s="44" t="n">
        <f aca="false">BM123+BM124+BM125+BM126+BM127+BM132+BM133+BM134</f>
        <v>89.6269025726754</v>
      </c>
      <c r="BN135" s="44" t="n">
        <f aca="false">BN123+BN124+BN125+BN126+BN127+BN132+BN133+BN134</f>
        <v>92.0496337488834</v>
      </c>
      <c r="BO135" s="44" t="n">
        <f aca="false">BO123+BO124+BO125+BO126+BO127+BO132+BO133+BO134</f>
        <v>89.6269025726754</v>
      </c>
      <c r="BP135" s="44" t="n">
        <f aca="false">BP123+BP124+BP125+BP126+BP127+BP132+BP133+BP134</f>
        <v>89.6269025726754</v>
      </c>
      <c r="BQ135" s="44" t="n">
        <f aca="false">BQ123+BQ124+BQ125+BQ126+BQ127+BQ132+BQ133+BQ134</f>
        <v>92.0496337488834</v>
      </c>
      <c r="BR135" s="44" t="n">
        <f aca="false">BR123+BR124+BR125+BR126+BR127+BR132+BR133+BR134</f>
        <v>89.6269025726754</v>
      </c>
      <c r="BS135" s="44" t="n">
        <f aca="false">BS123+BS124+BS125+BS126+BS127+BS132+BS133+BS134</f>
        <v>89.6269025726754</v>
      </c>
      <c r="BT135" s="44" t="n">
        <f aca="false">BT123+BT124+BT125+BT126+BT127+BT132+BT133+BT134</f>
        <v>92.0496337488834</v>
      </c>
      <c r="BU135" s="44" t="n">
        <f aca="false">BU123+BU124+BU125+BU126+BU127+BU132+BU133+BU134</f>
        <v>89.6269025726754</v>
      </c>
      <c r="BV135" s="44" t="n">
        <f aca="false">BV123+BV124+BV125+BV126+BV127+BV132+BV133+BV134</f>
        <v>87.2041713964674</v>
      </c>
      <c r="BW135" s="44" t="n">
        <f aca="false">BW123+BW124+BW125+BW126+BW127+BW132+BW133+BW134</f>
        <v>0</v>
      </c>
      <c r="BX135" s="44" t="n">
        <f aca="false">BX123+BX124+BX125+BX126+BX127+BX132+BX133+BX134</f>
        <v>0</v>
      </c>
    </row>
    <row r="136" customFormat="false" ht="15" hidden="false" customHeight="false" outlineLevel="0" collapsed="false">
      <c r="A136" s="1"/>
      <c r="B136" s="8" t="s">
        <v>395</v>
      </c>
      <c r="C136" s="8" t="s">
        <v>126</v>
      </c>
      <c r="D136" s="44" t="n">
        <f aca="false">SUM(G136:BX136)</f>
        <v>419.742788844621</v>
      </c>
      <c r="E136" s="1"/>
      <c r="F136" s="1"/>
      <c r="G136" s="48" t="n">
        <f aca="false">G43*$D$19*$D$130/1000000</f>
        <v>0</v>
      </c>
      <c r="H136" s="48" t="n">
        <f aca="false">H43*$D$19*$D$130/1000000</f>
        <v>0</v>
      </c>
      <c r="I136" s="48" t="n">
        <f aca="false">I43*$D$19*$D$130/1000000</f>
        <v>0</v>
      </c>
      <c r="J136" s="48" t="n">
        <f aca="false">J43*$D$19*$D$130/1000000</f>
        <v>0</v>
      </c>
      <c r="K136" s="48" t="n">
        <f aca="false">K43*$D$19*$D$130/1000000</f>
        <v>0</v>
      </c>
      <c r="L136" s="48" t="n">
        <f aca="false">L43*$D$19*$D$130/1000000</f>
        <v>0</v>
      </c>
      <c r="M136" s="48" t="n">
        <f aca="false">M43*$D$19*$D$130/1000000</f>
        <v>0</v>
      </c>
      <c r="N136" s="48" t="n">
        <f aca="false">N43*$D$19*$D$130/1000000</f>
        <v>0</v>
      </c>
      <c r="O136" s="48" t="n">
        <f aca="false">O43*$D$19*$D$130/1000000</f>
        <v>6.99571314741036</v>
      </c>
      <c r="P136" s="48" t="n">
        <f aca="false">P43*$D$19*$D$130/1000000</f>
        <v>6.99571314741036</v>
      </c>
      <c r="Q136" s="48" t="n">
        <f aca="false">Q43*$D$19*$D$130/1000000</f>
        <v>6.99571314741036</v>
      </c>
      <c r="R136" s="48" t="n">
        <f aca="false">R43*$D$19*$D$130/1000000</f>
        <v>6.99571314741036</v>
      </c>
      <c r="S136" s="48" t="n">
        <f aca="false">S43*$D$19*$D$130/1000000</f>
        <v>6.99571314741036</v>
      </c>
      <c r="T136" s="48" t="n">
        <f aca="false">T43*$D$19*$D$130/1000000</f>
        <v>6.99571314741036</v>
      </c>
      <c r="U136" s="48" t="n">
        <f aca="false">U43*$D$19*$D$130/1000000</f>
        <v>6.99571314741036</v>
      </c>
      <c r="V136" s="48" t="n">
        <f aca="false">V43*$D$19*$D$130/1000000</f>
        <v>6.99571314741036</v>
      </c>
      <c r="W136" s="48" t="n">
        <f aca="false">W43*$D$19*$D$130/1000000</f>
        <v>6.99571314741036</v>
      </c>
      <c r="X136" s="48" t="n">
        <f aca="false">X43*$D$19*$D$130/1000000</f>
        <v>6.99571314741036</v>
      </c>
      <c r="Y136" s="48" t="n">
        <f aca="false">Y43*$D$19*$D$130/1000000</f>
        <v>6.99571314741036</v>
      </c>
      <c r="Z136" s="48" t="n">
        <f aca="false">Z43*$D$19*$D$130/1000000</f>
        <v>6.99571314741036</v>
      </c>
      <c r="AA136" s="48" t="n">
        <f aca="false">AA43*$D$19*$D$130/1000000</f>
        <v>6.99571314741036</v>
      </c>
      <c r="AB136" s="48" t="n">
        <f aca="false">AB43*$D$19*$D$130/1000000</f>
        <v>6.99571314741036</v>
      </c>
      <c r="AC136" s="48" t="n">
        <f aca="false">AC43*$D$19*$D$130/1000000</f>
        <v>6.99571314741036</v>
      </c>
      <c r="AD136" s="48" t="n">
        <f aca="false">AD43*$D$19*$D$130/1000000</f>
        <v>6.99571314741036</v>
      </c>
      <c r="AE136" s="48" t="n">
        <f aca="false">AE43*$D$19*$D$130/1000000</f>
        <v>6.99571314741036</v>
      </c>
      <c r="AF136" s="48" t="n">
        <f aca="false">AF43*$D$19*$D$130/1000000</f>
        <v>6.99571314741036</v>
      </c>
      <c r="AG136" s="48" t="n">
        <f aca="false">AG43*$D$19*$D$130/1000000</f>
        <v>6.99571314741036</v>
      </c>
      <c r="AH136" s="48" t="n">
        <f aca="false">AH43*$D$19*$D$130/1000000</f>
        <v>6.99571314741036</v>
      </c>
      <c r="AI136" s="48" t="n">
        <f aca="false">AI43*$D$19*$D$130/1000000</f>
        <v>6.99571314741036</v>
      </c>
      <c r="AJ136" s="48" t="n">
        <f aca="false">AJ43*$D$19*$D$130/1000000</f>
        <v>6.99571314741036</v>
      </c>
      <c r="AK136" s="48" t="n">
        <f aca="false">AK43*$D$19*$D$130/1000000</f>
        <v>6.99571314741036</v>
      </c>
      <c r="AL136" s="48" t="n">
        <f aca="false">AL43*$D$19*$D$130/1000000</f>
        <v>6.99571314741036</v>
      </c>
      <c r="AM136" s="48" t="n">
        <f aca="false">AM43*$D$19*$D$130/1000000</f>
        <v>6.99571314741036</v>
      </c>
      <c r="AN136" s="48" t="n">
        <f aca="false">AN43*$D$19*$D$130/1000000</f>
        <v>6.99571314741036</v>
      </c>
      <c r="AO136" s="48" t="n">
        <f aca="false">AO43*$D$19*$D$130/1000000</f>
        <v>6.99571314741036</v>
      </c>
      <c r="AP136" s="48" t="n">
        <f aca="false">AP43*$D$19*$D$130/1000000</f>
        <v>6.99571314741036</v>
      </c>
      <c r="AQ136" s="48" t="n">
        <f aca="false">AQ43*$D$19*$D$130/1000000</f>
        <v>6.99571314741036</v>
      </c>
      <c r="AR136" s="48" t="n">
        <f aca="false">AR43*$D$19*$D$130/1000000</f>
        <v>6.99571314741036</v>
      </c>
      <c r="AS136" s="48" t="n">
        <f aca="false">AS43*$D$19*$D$130/1000000</f>
        <v>6.99571314741036</v>
      </c>
      <c r="AT136" s="48" t="n">
        <f aca="false">AT43*$D$19*$D$130/1000000</f>
        <v>6.99571314741036</v>
      </c>
      <c r="AU136" s="48" t="n">
        <f aca="false">AU43*$D$19*$D$130/1000000</f>
        <v>6.99571314741036</v>
      </c>
      <c r="AV136" s="48" t="n">
        <f aca="false">AV43*$D$19*$D$130/1000000</f>
        <v>6.99571314741036</v>
      </c>
      <c r="AW136" s="48" t="n">
        <f aca="false">AW43*$D$19*$D$130/1000000</f>
        <v>6.99571314741036</v>
      </c>
      <c r="AX136" s="48" t="n">
        <f aca="false">AX43*$D$19*$D$130/1000000</f>
        <v>6.99571314741036</v>
      </c>
      <c r="AY136" s="48" t="n">
        <f aca="false">AY43*$D$19*$D$130/1000000</f>
        <v>6.99571314741036</v>
      </c>
      <c r="AZ136" s="48" t="n">
        <f aca="false">AZ43*$D$19*$D$130/1000000</f>
        <v>6.99571314741036</v>
      </c>
      <c r="BA136" s="48" t="n">
        <f aca="false">BA43*$D$19*$D$130/1000000</f>
        <v>6.99571314741036</v>
      </c>
      <c r="BB136" s="48" t="n">
        <f aca="false">BB43*$D$19*$D$130/1000000</f>
        <v>6.99571314741036</v>
      </c>
      <c r="BC136" s="48" t="n">
        <f aca="false">BC43*$D$19*$D$130/1000000</f>
        <v>6.99571314741036</v>
      </c>
      <c r="BD136" s="48" t="n">
        <f aca="false">BD43*$D$19*$D$130/1000000</f>
        <v>6.99571314741036</v>
      </c>
      <c r="BE136" s="48" t="n">
        <f aca="false">BE43*$D$19*$D$130/1000000</f>
        <v>6.99571314741036</v>
      </c>
      <c r="BF136" s="48" t="n">
        <f aca="false">BF43*$D$19*$D$130/1000000</f>
        <v>6.99571314741036</v>
      </c>
      <c r="BG136" s="48" t="n">
        <f aca="false">BG43*$D$19*$D$130/1000000</f>
        <v>6.99571314741036</v>
      </c>
      <c r="BH136" s="48" t="n">
        <f aca="false">BH43*$D$19*$D$130/1000000</f>
        <v>6.99571314741036</v>
      </c>
      <c r="BI136" s="48" t="n">
        <f aca="false">BI43*$D$19*$D$130/1000000</f>
        <v>6.99571314741036</v>
      </c>
      <c r="BJ136" s="48" t="n">
        <f aca="false">BJ43*$D$19*$D$130/1000000</f>
        <v>6.99571314741036</v>
      </c>
      <c r="BK136" s="48" t="n">
        <f aca="false">BK43*$D$19*$D$130/1000000</f>
        <v>6.99571314741036</v>
      </c>
      <c r="BL136" s="48" t="n">
        <f aca="false">BL43*$D$19*$D$130/1000000</f>
        <v>6.99571314741036</v>
      </c>
      <c r="BM136" s="48" t="n">
        <f aca="false">BM43*$D$19*$D$130/1000000</f>
        <v>6.99571314741036</v>
      </c>
      <c r="BN136" s="48" t="n">
        <f aca="false">BN43*$D$19*$D$130/1000000</f>
        <v>6.99571314741036</v>
      </c>
      <c r="BO136" s="48" t="n">
        <f aca="false">BO43*$D$19*$D$130/1000000</f>
        <v>6.99571314741036</v>
      </c>
      <c r="BP136" s="48" t="n">
        <f aca="false">BP43*$D$19*$D$130/1000000</f>
        <v>6.99571314741036</v>
      </c>
      <c r="BQ136" s="48" t="n">
        <f aca="false">BQ43*$D$19*$D$130/1000000</f>
        <v>6.99571314741036</v>
      </c>
      <c r="BR136" s="48" t="n">
        <f aca="false">BR43*$D$19*$D$130/1000000</f>
        <v>6.99571314741036</v>
      </c>
      <c r="BS136" s="48" t="n">
        <f aca="false">BS43*$D$19*$D$130/1000000</f>
        <v>6.99571314741036</v>
      </c>
      <c r="BT136" s="48" t="n">
        <f aca="false">BT43*$D$19*$D$130/1000000</f>
        <v>6.99571314741036</v>
      </c>
      <c r="BU136" s="48" t="n">
        <f aca="false">BU43*$D$19*$D$130/1000000</f>
        <v>6.99571314741036</v>
      </c>
      <c r="BV136" s="48" t="n">
        <f aca="false">BV43*$D$19*$D$130/1000000</f>
        <v>6.99571314741036</v>
      </c>
      <c r="BW136" s="48" t="n">
        <f aca="false">BW43*$D$19*$D$130/1000000</f>
        <v>0</v>
      </c>
      <c r="BX136" s="48" t="n">
        <f aca="false">BX43*$D$19*$D$130/1000000</f>
        <v>0</v>
      </c>
    </row>
    <row r="137" customFormat="false" ht="15" hidden="false" customHeight="false" outlineLevel="0" collapsed="false">
      <c r="A137" s="1"/>
      <c r="B137" s="4" t="s">
        <v>396</v>
      </c>
      <c r="C137" s="1"/>
      <c r="D137" s="46" t="n">
        <f aca="false">IFERROR(SUMIF($G$43:$BX$43,1,$G$135:$BX$135)/COUNTIF($G$43:$BX$43,1),0)</f>
        <v>78.0946344108143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</row>
    <row r="138" customFormat="false" ht="15" hidden="false" customHeight="false" outlineLevel="0" collapsed="false">
      <c r="A138" s="1"/>
      <c r="B138" s="8" t="s">
        <v>397</v>
      </c>
      <c r="C138" s="1"/>
      <c r="D138" s="48" t="n">
        <f aca="false">SUM($G$95:$BX$95)</f>
        <v>6188.01078260914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</row>
    <row r="139" customFormat="false" ht="15" hidden="false" customHeight="false" outlineLevel="0" collapsed="false">
      <c r="A139" s="1"/>
      <c r="B139" s="8" t="s">
        <v>398</v>
      </c>
      <c r="C139" s="1"/>
      <c r="D139" s="48" t="n">
        <f aca="false">SUM($G$70:$BX$70)</f>
        <v>0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</row>
    <row r="140" customFormat="false" ht="15" hidden="false" customHeight="false" outlineLevel="0" collapsed="false">
      <c r="A140" s="1"/>
      <c r="B140" s="8" t="s">
        <v>399</v>
      </c>
      <c r="C140" s="1"/>
      <c r="D140" s="48" t="n">
        <f aca="false">SUM($G$73:$BX$73)</f>
        <v>3841.78392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</row>
    <row r="141" customFormat="false" ht="15" hidden="false" customHeight="false" outlineLevel="0" collapsed="false">
      <c r="A141" s="1"/>
      <c r="B141" s="8" t="s">
        <v>400</v>
      </c>
      <c r="C141" s="1"/>
      <c r="D141" s="48" t="n">
        <f aca="false">SUM($G$63:$BX$63)</f>
        <v>0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</row>
    <row r="142" customFormat="false" ht="15" hidden="false" customHeight="false" outlineLevel="0" collapsed="false">
      <c r="A142" s="1"/>
      <c r="B142" s="8" t="s">
        <v>401</v>
      </c>
      <c r="C142" s="1"/>
      <c r="D142" s="48" t="n">
        <f aca="false">SUM($G$123:$BX$123)</f>
        <v>1368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</row>
    <row r="143" customFormat="false" ht="15" hidden="false" customHeight="false" outlineLevel="0" collapsed="false">
      <c r="A143" s="1"/>
      <c r="B143" s="8" t="s">
        <v>402</v>
      </c>
      <c r="C143" s="1"/>
      <c r="D143" s="48" t="n">
        <f aca="false">SUM($G$124:$BX$124)</f>
        <v>1368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</row>
    <row r="144" customFormat="false" ht="15" hidden="false" customHeight="false" outlineLevel="0" collapsed="false">
      <c r="A144" s="1"/>
      <c r="B144" s="8" t="s">
        <v>403</v>
      </c>
      <c r="C144" s="1"/>
      <c r="D144" s="48" t="n">
        <f aca="false">SUM($G$125:$BX$125)+SUM($G$126:$BX$126)+SUM($G$127:$BX$127)</f>
        <v>1823.83475697954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</row>
    <row r="145" customFormat="false" ht="15" hidden="false" customHeight="false" outlineLevel="0" collapsed="false">
      <c r="A145" s="1"/>
      <c r="B145" s="8" t="s">
        <v>404</v>
      </c>
      <c r="C145" s="1"/>
      <c r="D145" s="48" t="n">
        <f aca="false">SUM($G$132:$BX$132)+SUM($G$133:$BX$133)+SUM($G$134:$BX$134)</f>
        <v>136.618771419323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X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6" min="5" style="0" width="3"/>
    <col collapsed="false" customWidth="true" hidden="false" outlineLevel="0" max="76" min="7" style="0" width="10.51"/>
  </cols>
  <sheetData>
    <row r="1" customFormat="false" ht="15" hidden="false" customHeight="false" outlineLevel="0" collapsed="false">
      <c r="A1" s="1"/>
      <c r="B1" s="2" t="s">
        <v>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</row>
    <row r="2" customFormat="false" ht="15" hidden="false" customHeight="false" outlineLevel="0" collapsed="false">
      <c r="A2" s="1"/>
      <c r="B2" s="6" t="s">
        <v>273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</row>
    <row r="4" customFormat="false" ht="15" hidden="false" customHeight="false" outlineLevel="0" collapsed="false">
      <c r="A4" s="1"/>
      <c r="B4" s="4" t="s">
        <v>25</v>
      </c>
      <c r="C4" s="1"/>
      <c r="D4" s="1"/>
      <c r="E4" s="1"/>
      <c r="F4" s="1"/>
      <c r="G4" s="37" t="n">
        <v>2027</v>
      </c>
      <c r="H4" s="37" t="n">
        <v>2028</v>
      </c>
      <c r="I4" s="37" t="n">
        <v>2029</v>
      </c>
      <c r="J4" s="37" t="n">
        <v>2030</v>
      </c>
      <c r="K4" s="37" t="n">
        <v>2031</v>
      </c>
      <c r="L4" s="37" t="n">
        <v>2032</v>
      </c>
      <c r="M4" s="37" t="n">
        <v>2033</v>
      </c>
      <c r="N4" s="37" t="n">
        <v>2034</v>
      </c>
      <c r="O4" s="37" t="n">
        <v>2035</v>
      </c>
      <c r="P4" s="37" t="n">
        <v>2036</v>
      </c>
      <c r="Q4" s="37" t="n">
        <v>2037</v>
      </c>
      <c r="R4" s="37" t="n">
        <v>2038</v>
      </c>
      <c r="S4" s="37" t="n">
        <v>2039</v>
      </c>
      <c r="T4" s="37" t="n">
        <v>2040</v>
      </c>
      <c r="U4" s="37" t="n">
        <v>2041</v>
      </c>
      <c r="V4" s="37" t="n">
        <v>2042</v>
      </c>
      <c r="W4" s="37" t="n">
        <v>2043</v>
      </c>
      <c r="X4" s="37" t="n">
        <v>2044</v>
      </c>
      <c r="Y4" s="37" t="n">
        <v>2045</v>
      </c>
      <c r="Z4" s="37" t="n">
        <v>2046</v>
      </c>
      <c r="AA4" s="37" t="n">
        <v>2047</v>
      </c>
      <c r="AB4" s="37" t="n">
        <v>2048</v>
      </c>
      <c r="AC4" s="37" t="n">
        <v>2049</v>
      </c>
      <c r="AD4" s="37" t="n">
        <v>2050</v>
      </c>
      <c r="AE4" s="37" t="n">
        <v>2051</v>
      </c>
      <c r="AF4" s="37" t="n">
        <v>2052</v>
      </c>
      <c r="AG4" s="37" t="n">
        <v>2053</v>
      </c>
      <c r="AH4" s="37" t="n">
        <v>2054</v>
      </c>
      <c r="AI4" s="37" t="n">
        <v>2055</v>
      </c>
      <c r="AJ4" s="37" t="n">
        <v>2056</v>
      </c>
      <c r="AK4" s="37" t="n">
        <v>2057</v>
      </c>
      <c r="AL4" s="37" t="n">
        <v>2058</v>
      </c>
      <c r="AM4" s="37" t="n">
        <v>2059</v>
      </c>
      <c r="AN4" s="37" t="n">
        <v>2060</v>
      </c>
      <c r="AO4" s="37" t="n">
        <v>2061</v>
      </c>
      <c r="AP4" s="37" t="n">
        <v>2062</v>
      </c>
      <c r="AQ4" s="37" t="n">
        <v>2063</v>
      </c>
      <c r="AR4" s="37" t="n">
        <v>2064</v>
      </c>
      <c r="AS4" s="37" t="n">
        <v>2065</v>
      </c>
      <c r="AT4" s="37" t="n">
        <v>2066</v>
      </c>
      <c r="AU4" s="37" t="n">
        <v>2067</v>
      </c>
      <c r="AV4" s="37" t="n">
        <v>2068</v>
      </c>
      <c r="AW4" s="37" t="n">
        <v>2069</v>
      </c>
      <c r="AX4" s="37" t="n">
        <v>2070</v>
      </c>
      <c r="AY4" s="37" t="n">
        <v>2071</v>
      </c>
      <c r="AZ4" s="37" t="n">
        <v>2072</v>
      </c>
      <c r="BA4" s="37" t="n">
        <v>2073</v>
      </c>
      <c r="BB4" s="37" t="n">
        <v>2074</v>
      </c>
      <c r="BC4" s="37" t="n">
        <v>2075</v>
      </c>
      <c r="BD4" s="37" t="n">
        <v>2076</v>
      </c>
      <c r="BE4" s="37" t="n">
        <v>2077</v>
      </c>
      <c r="BF4" s="37" t="n">
        <v>2078</v>
      </c>
      <c r="BG4" s="37" t="n">
        <v>2079</v>
      </c>
      <c r="BH4" s="37" t="n">
        <v>2080</v>
      </c>
      <c r="BI4" s="37" t="n">
        <v>2081</v>
      </c>
      <c r="BJ4" s="37" t="n">
        <v>2082</v>
      </c>
      <c r="BK4" s="37" t="n">
        <v>2083</v>
      </c>
      <c r="BL4" s="37" t="n">
        <v>2084</v>
      </c>
      <c r="BM4" s="37" t="n">
        <v>2085</v>
      </c>
      <c r="BN4" s="37" t="n">
        <v>2086</v>
      </c>
      <c r="BO4" s="37" t="n">
        <v>2087</v>
      </c>
      <c r="BP4" s="37" t="n">
        <v>2088</v>
      </c>
      <c r="BQ4" s="37" t="n">
        <v>2089</v>
      </c>
      <c r="BR4" s="37" t="n">
        <v>2090</v>
      </c>
      <c r="BS4" s="37" t="n">
        <v>2091</v>
      </c>
      <c r="BT4" s="37" t="n">
        <v>2092</v>
      </c>
      <c r="BU4" s="37" t="n">
        <v>2093</v>
      </c>
      <c r="BV4" s="37" t="n">
        <v>2094</v>
      </c>
      <c r="BW4" s="37" t="n">
        <v>2095</v>
      </c>
      <c r="BX4" s="37" t="n">
        <v>2096</v>
      </c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</row>
    <row r="6" customFormat="false" ht="15" hidden="false" customHeight="false" outlineLevel="0" collapsed="false">
      <c r="A6" s="1"/>
      <c r="B6" s="13" t="s">
        <v>274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</row>
    <row r="7" customFormat="false" ht="15" hidden="false" customHeight="false" outlineLevel="0" collapsed="false">
      <c r="A7" s="1"/>
      <c r="B7" s="8" t="s">
        <v>275</v>
      </c>
      <c r="C7" s="1"/>
      <c r="D7" s="9" t="n">
        <f aca="false">Input!$H$52</f>
        <v>300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</row>
    <row r="8" customFormat="false" ht="15" hidden="false" customHeight="false" outlineLevel="0" collapsed="false">
      <c r="A8" s="1"/>
      <c r="B8" s="8" t="s">
        <v>276</v>
      </c>
      <c r="C8" s="1"/>
      <c r="D8" s="9" t="n">
        <f aca="false">Input!$H$53</f>
        <v>38000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</row>
    <row r="9" customFormat="false" ht="15" hidden="false" customHeight="false" outlineLevel="0" collapsed="false">
      <c r="A9" s="1"/>
      <c r="B9" s="8" t="s">
        <v>277</v>
      </c>
      <c r="C9" s="1"/>
      <c r="D9" s="38" t="n">
        <f aca="false">Input!$H$54</f>
        <v>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</row>
    <row r="10" customFormat="false" ht="15" hidden="false" customHeight="false" outlineLevel="0" collapsed="false">
      <c r="A10" s="1"/>
      <c r="B10" s="8" t="s">
        <v>278</v>
      </c>
      <c r="C10" s="1"/>
      <c r="D10" s="38" t="n">
        <f aca="false">Input!$H$55</f>
        <v>2035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</row>
    <row r="11" customFormat="false" ht="15" hidden="false" customHeight="false" outlineLevel="0" collapsed="false">
      <c r="A11" s="1"/>
      <c r="B11" s="8" t="s">
        <v>279</v>
      </c>
      <c r="C11" s="1"/>
      <c r="D11" s="38" t="n">
        <f aca="false">Input!$H$56</f>
        <v>60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</row>
    <row r="12" customFormat="false" ht="15" hidden="false" customHeight="false" outlineLevel="0" collapsed="false">
      <c r="A12" s="1"/>
      <c r="B12" s="8" t="s">
        <v>280</v>
      </c>
      <c r="C12" s="1"/>
      <c r="D12" s="39" t="n">
        <f aca="false">$D$10-$D$9</f>
        <v>2030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</row>
    <row r="13" customFormat="false" ht="15" hidden="false" customHeight="false" outlineLevel="0" collapsed="false">
      <c r="A13" s="1"/>
      <c r="B13" s="8" t="s">
        <v>281</v>
      </c>
      <c r="C13" s="1"/>
      <c r="D13" s="10" t="n">
        <f aca="false">Input!$H$16</f>
        <v>0.07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</row>
    <row r="14" customFormat="false" ht="15" hidden="false" customHeight="false" outlineLevel="0" collapsed="false">
      <c r="A14" s="1"/>
      <c r="B14" s="8" t="s">
        <v>282</v>
      </c>
      <c r="C14" s="1"/>
      <c r="D14" s="9" t="n">
        <f aca="false">Input!$H$60</f>
        <v>520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</row>
    <row r="15" customFormat="false" ht="15" hidden="false" customHeight="false" outlineLevel="0" collapsed="false">
      <c r="A15" s="1"/>
      <c r="B15" s="8" t="s">
        <v>283</v>
      </c>
      <c r="C15" s="1"/>
      <c r="D15" s="40" t="n">
        <f aca="false">Input!$H$66</f>
        <v>11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</row>
    <row r="16" customFormat="false" ht="15" hidden="false" customHeight="false" outlineLevel="0" collapsed="false">
      <c r="A16" s="1"/>
      <c r="B16" s="8" t="s">
        <v>57</v>
      </c>
      <c r="C16" s="1"/>
      <c r="D16" s="41" t="n">
        <f aca="false">Input!$H$10</f>
        <v>4.3633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</row>
    <row r="17" customFormat="false" ht="15" hidden="false" customHeight="false" outlineLevel="0" collapsed="false">
      <c r="A17" s="1"/>
      <c r="B17" s="8" t="s">
        <v>215</v>
      </c>
      <c r="C17" s="1"/>
      <c r="D17" s="10" t="n">
        <f aca="false">Input!$H$141</f>
        <v>0.19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</row>
    <row r="18" customFormat="false" ht="15" hidden="false" customHeight="false" outlineLevel="0" collapsed="false">
      <c r="A18" s="1"/>
      <c r="B18" s="8" t="s">
        <v>284</v>
      </c>
      <c r="C18" s="1"/>
      <c r="D18" s="42" t="n">
        <f aca="false">Input!$H$31</f>
        <v>0.005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</row>
    <row r="19" customFormat="false" ht="15" hidden="false" customHeight="false" outlineLevel="0" collapsed="false">
      <c r="A19" s="1"/>
      <c r="B19" s="8" t="s">
        <v>285</v>
      </c>
      <c r="C19" s="1"/>
      <c r="D19" s="9" t="n">
        <f aca="false">Input!$H$63</f>
        <v>180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</row>
    <row r="20" customFormat="false" ht="15" hidden="false" customHeight="false" outlineLevel="0" collapsed="false">
      <c r="A20" s="1"/>
      <c r="B20" s="8" t="s">
        <v>286</v>
      </c>
      <c r="C20" s="1"/>
      <c r="D20" s="9" t="n">
        <f aca="false">Input!$H$64</f>
        <v>290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</row>
    <row r="21" customFormat="false" ht="15" hidden="false" customHeight="false" outlineLevel="0" collapsed="false">
      <c r="A21" s="1"/>
      <c r="B21" s="8" t="s">
        <v>287</v>
      </c>
      <c r="C21" s="1"/>
      <c r="D21" s="10" t="n">
        <f aca="false">Input!$H$69</f>
        <v>0.2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</row>
    <row r="22" customFormat="false" ht="15" hidden="false" customHeight="false" outlineLevel="0" collapsed="false">
      <c r="A22" s="1"/>
      <c r="B22" s="8" t="s">
        <v>288</v>
      </c>
      <c r="C22" s="1"/>
      <c r="D22" s="43" t="n">
        <f aca="false">0.02</f>
        <v>0.02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</row>
    <row r="23" customFormat="false" ht="15" hidden="false" customHeight="false" outlineLevel="0" collapsed="false">
      <c r="A23" s="1"/>
      <c r="B23" s="8" t="s">
        <v>155</v>
      </c>
      <c r="C23" s="1"/>
      <c r="D23" s="43" t="n">
        <f aca="false">Input!$H$70</f>
        <v>0.5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</row>
    <row r="24" customFormat="false" ht="15" hidden="false" customHeight="false" outlineLevel="0" collapsed="false">
      <c r="A24" s="1"/>
      <c r="B24" s="4" t="s">
        <v>289</v>
      </c>
      <c r="C24" s="1"/>
      <c r="D24" s="44" t="n">
        <f aca="false">$D$8*$D$7*1000/1000000</f>
        <v>11400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</row>
    <row r="25" customFormat="false" ht="15" hidden="false" customHeight="false" outlineLevel="0" collapsed="false">
      <c r="A25" s="1"/>
      <c r="B25" s="8" t="s">
        <v>290</v>
      </c>
      <c r="C25" s="1"/>
      <c r="D25" s="40" t="n">
        <f aca="false">Input!$H$65</f>
        <v>31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</row>
    <row r="26" customFormat="false" ht="15" hidden="false" customHeight="false" outlineLevel="0" collapsed="false">
      <c r="A26" s="1"/>
      <c r="B26" s="8" t="s">
        <v>291</v>
      </c>
      <c r="C26" s="1"/>
      <c r="D26" s="40" t="n">
        <f aca="false">Input!$H$67</f>
        <v>26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</row>
    <row r="27" customFormat="false" ht="15" hidden="false" customHeight="false" outlineLevel="0" collapsed="false">
      <c r="A27" s="1"/>
      <c r="B27" s="8" t="s">
        <v>292</v>
      </c>
      <c r="C27" s="1"/>
      <c r="D27" s="40" t="n">
        <f aca="false">Input!$H$68</f>
        <v>25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</row>
    <row r="28" customFormat="false" ht="15" hidden="false" customHeight="false" outlineLevel="0" collapsed="false">
      <c r="A28" s="1"/>
      <c r="B28" s="8" t="s">
        <v>293</v>
      </c>
      <c r="C28" s="1"/>
      <c r="D28" s="9" t="n">
        <f aca="false">Input!$H$57</f>
        <v>500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</row>
    <row r="29" customFormat="false" ht="15" hidden="false" customHeight="false" outlineLevel="0" collapsed="false">
      <c r="A29" s="1"/>
      <c r="B29" s="8" t="s">
        <v>294</v>
      </c>
      <c r="C29" s="1"/>
      <c r="D29" s="9" t="n">
        <f aca="false">Input!$H$58</f>
        <v>550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</row>
    <row r="30" customFormat="false" ht="15" hidden="false" customHeight="false" outlineLevel="0" collapsed="false">
      <c r="A30" s="1"/>
      <c r="B30" s="8" t="s">
        <v>295</v>
      </c>
      <c r="C30" s="1"/>
      <c r="D30" s="9" t="n">
        <f aca="false">Input!$H$59</f>
        <v>125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</row>
    <row r="31" customFormat="false" ht="15" hidden="false" customHeight="false" outlineLevel="0" collapsed="false">
      <c r="A31" s="1"/>
      <c r="B31" s="8" t="s">
        <v>296</v>
      </c>
      <c r="C31" s="1"/>
      <c r="D31" s="45" t="n">
        <f aca="false">Input!$H$61</f>
        <v>1.5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</row>
    <row r="32" customFormat="false" ht="15" hidden="false" customHeight="false" outlineLevel="0" collapsed="false">
      <c r="A32" s="1"/>
      <c r="B32" s="8" t="s">
        <v>297</v>
      </c>
      <c r="C32" s="1"/>
      <c r="D32" s="38" t="n">
        <f aca="false">Input!$H$62</f>
        <v>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</row>
    <row r="33" customFormat="false" ht="15" hidden="false" customHeight="false" outlineLevel="0" collapsed="false">
      <c r="A33" s="1"/>
      <c r="B33" s="8" t="s">
        <v>298</v>
      </c>
      <c r="C33" s="1"/>
      <c r="D33" s="10" t="n">
        <f aca="false">Input!$H$71</f>
        <v>0.012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</row>
    <row r="34" customFormat="false" ht="15" hidden="false" customHeight="false" outlineLevel="0" collapsed="false">
      <c r="A34" s="1"/>
      <c r="B34" s="8" t="s">
        <v>159</v>
      </c>
      <c r="C34" s="1"/>
      <c r="D34" s="10" t="n">
        <f aca="false">Input!$H$72</f>
        <v>0.01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</row>
    <row r="35" customFormat="false" ht="15" hidden="false" customHeight="false" outlineLevel="0" collapsed="false">
      <c r="A35" s="1"/>
      <c r="B35" s="8" t="s">
        <v>299</v>
      </c>
      <c r="C35" s="1"/>
      <c r="D35" s="41" t="n">
        <f aca="false">Input!$H$25</f>
        <v>0.9383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</row>
    <row r="36" customFormat="false" ht="15" hidden="false" customHeight="false" outlineLevel="0" collapsed="false">
      <c r="A36" s="1"/>
      <c r="B36" s="8" t="s">
        <v>300</v>
      </c>
      <c r="C36" s="1"/>
      <c r="D36" s="9" t="n">
        <f aca="false">Input!$H$75</f>
        <v>1500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</row>
    <row r="37" customFormat="false" ht="15" hidden="false" customHeight="false" outlineLevel="0" collapsed="false">
      <c r="A37" s="1"/>
      <c r="B37" s="8" t="s">
        <v>304</v>
      </c>
      <c r="C37" s="1"/>
      <c r="D37" s="9" t="n">
        <f aca="false">Input!$H$23</f>
        <v>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</row>
    <row r="38" customFormat="false" ht="15" hidden="false" customHeight="false" outlineLevel="0" collapsed="false">
      <c r="A38" s="1"/>
      <c r="B38" s="8" t="s">
        <v>305</v>
      </c>
      <c r="C38" s="1"/>
      <c r="D38" s="38" t="n">
        <f aca="false">Input!$H$24</f>
        <v>17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</row>
    <row r="40" customFormat="false" ht="15" hidden="false" customHeight="false" outlineLevel="0" collapsed="false">
      <c r="A40" s="1"/>
      <c r="B40" s="13" t="s">
        <v>306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</row>
    <row r="41" customFormat="false" ht="15" hidden="false" customHeight="false" outlineLevel="0" collapsed="false">
      <c r="A41" s="1"/>
      <c r="B41" s="8" t="s">
        <v>307</v>
      </c>
      <c r="C41" s="8" t="s">
        <v>308</v>
      </c>
      <c r="D41" s="1"/>
      <c r="E41" s="1"/>
      <c r="F41" s="1"/>
      <c r="G41" s="39" t="n">
        <f aca="false">IF(AND(G$4&gt;=$D$12,G$4&lt;$D$10),1,0)</f>
        <v>0</v>
      </c>
      <c r="H41" s="39" t="n">
        <f aca="false">IF(AND(H$4&gt;=$D$12,H$4&lt;$D$10),1,0)</f>
        <v>0</v>
      </c>
      <c r="I41" s="39" t="n">
        <f aca="false">IF(AND(I$4&gt;=$D$12,I$4&lt;$D$10),1,0)</f>
        <v>0</v>
      </c>
      <c r="J41" s="39" t="n">
        <f aca="false">IF(AND(J$4&gt;=$D$12,J$4&lt;$D$10),1,0)</f>
        <v>1</v>
      </c>
      <c r="K41" s="39" t="n">
        <f aca="false">IF(AND(K$4&gt;=$D$12,K$4&lt;$D$10),1,0)</f>
        <v>1</v>
      </c>
      <c r="L41" s="39" t="n">
        <f aca="false">IF(AND(L$4&gt;=$D$12,L$4&lt;$D$10),1,0)</f>
        <v>1</v>
      </c>
      <c r="M41" s="39" t="n">
        <f aca="false">IF(AND(M$4&gt;=$D$12,M$4&lt;$D$10),1,0)</f>
        <v>1</v>
      </c>
      <c r="N41" s="39" t="n">
        <f aca="false">IF(AND(N$4&gt;=$D$12,N$4&lt;$D$10),1,0)</f>
        <v>1</v>
      </c>
      <c r="O41" s="39" t="n">
        <f aca="false">IF(AND(O$4&gt;=$D$12,O$4&lt;$D$10),1,0)</f>
        <v>0</v>
      </c>
      <c r="P41" s="39" t="n">
        <f aca="false">IF(AND(P$4&gt;=$D$12,P$4&lt;$D$10),1,0)</f>
        <v>0</v>
      </c>
      <c r="Q41" s="39" t="n">
        <f aca="false">IF(AND(Q$4&gt;=$D$12,Q$4&lt;$D$10),1,0)</f>
        <v>0</v>
      </c>
      <c r="R41" s="39" t="n">
        <f aca="false">IF(AND(R$4&gt;=$D$12,R$4&lt;$D$10),1,0)</f>
        <v>0</v>
      </c>
      <c r="S41" s="39" t="n">
        <f aca="false">IF(AND(S$4&gt;=$D$12,S$4&lt;$D$10),1,0)</f>
        <v>0</v>
      </c>
      <c r="T41" s="39" t="n">
        <f aca="false">IF(AND(T$4&gt;=$D$12,T$4&lt;$D$10),1,0)</f>
        <v>0</v>
      </c>
      <c r="U41" s="39" t="n">
        <f aca="false">IF(AND(U$4&gt;=$D$12,U$4&lt;$D$10),1,0)</f>
        <v>0</v>
      </c>
      <c r="V41" s="39" t="n">
        <f aca="false">IF(AND(V$4&gt;=$D$12,V$4&lt;$D$10),1,0)</f>
        <v>0</v>
      </c>
      <c r="W41" s="39" t="n">
        <f aca="false">IF(AND(W$4&gt;=$D$12,W$4&lt;$D$10),1,0)</f>
        <v>0</v>
      </c>
      <c r="X41" s="39" t="n">
        <f aca="false">IF(AND(X$4&gt;=$D$12,X$4&lt;$D$10),1,0)</f>
        <v>0</v>
      </c>
      <c r="Y41" s="39" t="n">
        <f aca="false">IF(AND(Y$4&gt;=$D$12,Y$4&lt;$D$10),1,0)</f>
        <v>0</v>
      </c>
      <c r="Z41" s="39" t="n">
        <f aca="false">IF(AND(Z$4&gt;=$D$12,Z$4&lt;$D$10),1,0)</f>
        <v>0</v>
      </c>
      <c r="AA41" s="39" t="n">
        <f aca="false">IF(AND(AA$4&gt;=$D$12,AA$4&lt;$D$10),1,0)</f>
        <v>0</v>
      </c>
      <c r="AB41" s="39" t="n">
        <f aca="false">IF(AND(AB$4&gt;=$D$12,AB$4&lt;$D$10),1,0)</f>
        <v>0</v>
      </c>
      <c r="AC41" s="39" t="n">
        <f aca="false">IF(AND(AC$4&gt;=$D$12,AC$4&lt;$D$10),1,0)</f>
        <v>0</v>
      </c>
      <c r="AD41" s="39" t="n">
        <f aca="false">IF(AND(AD$4&gt;=$D$12,AD$4&lt;$D$10),1,0)</f>
        <v>0</v>
      </c>
      <c r="AE41" s="39" t="n">
        <f aca="false">IF(AND(AE$4&gt;=$D$12,AE$4&lt;$D$10),1,0)</f>
        <v>0</v>
      </c>
      <c r="AF41" s="39" t="n">
        <f aca="false">IF(AND(AF$4&gt;=$D$12,AF$4&lt;$D$10),1,0)</f>
        <v>0</v>
      </c>
      <c r="AG41" s="39" t="n">
        <f aca="false">IF(AND(AG$4&gt;=$D$12,AG$4&lt;$D$10),1,0)</f>
        <v>0</v>
      </c>
      <c r="AH41" s="39" t="n">
        <f aca="false">IF(AND(AH$4&gt;=$D$12,AH$4&lt;$D$10),1,0)</f>
        <v>0</v>
      </c>
      <c r="AI41" s="39" t="n">
        <f aca="false">IF(AND(AI$4&gt;=$D$12,AI$4&lt;$D$10),1,0)</f>
        <v>0</v>
      </c>
      <c r="AJ41" s="39" t="n">
        <f aca="false">IF(AND(AJ$4&gt;=$D$12,AJ$4&lt;$D$10),1,0)</f>
        <v>0</v>
      </c>
      <c r="AK41" s="39" t="n">
        <f aca="false">IF(AND(AK$4&gt;=$D$12,AK$4&lt;$D$10),1,0)</f>
        <v>0</v>
      </c>
      <c r="AL41" s="39" t="n">
        <f aca="false">IF(AND(AL$4&gt;=$D$12,AL$4&lt;$D$10),1,0)</f>
        <v>0</v>
      </c>
      <c r="AM41" s="39" t="n">
        <f aca="false">IF(AND(AM$4&gt;=$D$12,AM$4&lt;$D$10),1,0)</f>
        <v>0</v>
      </c>
      <c r="AN41" s="39" t="n">
        <f aca="false">IF(AND(AN$4&gt;=$D$12,AN$4&lt;$D$10),1,0)</f>
        <v>0</v>
      </c>
      <c r="AO41" s="39" t="n">
        <f aca="false">IF(AND(AO$4&gt;=$D$12,AO$4&lt;$D$10),1,0)</f>
        <v>0</v>
      </c>
      <c r="AP41" s="39" t="n">
        <f aca="false">IF(AND(AP$4&gt;=$D$12,AP$4&lt;$D$10),1,0)</f>
        <v>0</v>
      </c>
      <c r="AQ41" s="39" t="n">
        <f aca="false">IF(AND(AQ$4&gt;=$D$12,AQ$4&lt;$D$10),1,0)</f>
        <v>0</v>
      </c>
      <c r="AR41" s="39" t="n">
        <f aca="false">IF(AND(AR$4&gt;=$D$12,AR$4&lt;$D$10),1,0)</f>
        <v>0</v>
      </c>
      <c r="AS41" s="39" t="n">
        <f aca="false">IF(AND(AS$4&gt;=$D$12,AS$4&lt;$D$10),1,0)</f>
        <v>0</v>
      </c>
      <c r="AT41" s="39" t="n">
        <f aca="false">IF(AND(AT$4&gt;=$D$12,AT$4&lt;$D$10),1,0)</f>
        <v>0</v>
      </c>
      <c r="AU41" s="39" t="n">
        <f aca="false">IF(AND(AU$4&gt;=$D$12,AU$4&lt;$D$10),1,0)</f>
        <v>0</v>
      </c>
      <c r="AV41" s="39" t="n">
        <f aca="false">IF(AND(AV$4&gt;=$D$12,AV$4&lt;$D$10),1,0)</f>
        <v>0</v>
      </c>
      <c r="AW41" s="39" t="n">
        <f aca="false">IF(AND(AW$4&gt;=$D$12,AW$4&lt;$D$10),1,0)</f>
        <v>0</v>
      </c>
      <c r="AX41" s="39" t="n">
        <f aca="false">IF(AND(AX$4&gt;=$D$12,AX$4&lt;$D$10),1,0)</f>
        <v>0</v>
      </c>
      <c r="AY41" s="39" t="n">
        <f aca="false">IF(AND(AY$4&gt;=$D$12,AY$4&lt;$D$10),1,0)</f>
        <v>0</v>
      </c>
      <c r="AZ41" s="39" t="n">
        <f aca="false">IF(AND(AZ$4&gt;=$D$12,AZ$4&lt;$D$10),1,0)</f>
        <v>0</v>
      </c>
      <c r="BA41" s="39" t="n">
        <f aca="false">IF(AND(BA$4&gt;=$D$12,BA$4&lt;$D$10),1,0)</f>
        <v>0</v>
      </c>
      <c r="BB41" s="39" t="n">
        <f aca="false">IF(AND(BB$4&gt;=$D$12,BB$4&lt;$D$10),1,0)</f>
        <v>0</v>
      </c>
      <c r="BC41" s="39" t="n">
        <f aca="false">IF(AND(BC$4&gt;=$D$12,BC$4&lt;$D$10),1,0)</f>
        <v>0</v>
      </c>
      <c r="BD41" s="39" t="n">
        <f aca="false">IF(AND(BD$4&gt;=$D$12,BD$4&lt;$D$10),1,0)</f>
        <v>0</v>
      </c>
      <c r="BE41" s="39" t="n">
        <f aca="false">IF(AND(BE$4&gt;=$D$12,BE$4&lt;$D$10),1,0)</f>
        <v>0</v>
      </c>
      <c r="BF41" s="39" t="n">
        <f aca="false">IF(AND(BF$4&gt;=$D$12,BF$4&lt;$D$10),1,0)</f>
        <v>0</v>
      </c>
      <c r="BG41" s="39" t="n">
        <f aca="false">IF(AND(BG$4&gt;=$D$12,BG$4&lt;$D$10),1,0)</f>
        <v>0</v>
      </c>
      <c r="BH41" s="39" t="n">
        <f aca="false">IF(AND(BH$4&gt;=$D$12,BH$4&lt;$D$10),1,0)</f>
        <v>0</v>
      </c>
      <c r="BI41" s="39" t="n">
        <f aca="false">IF(AND(BI$4&gt;=$D$12,BI$4&lt;$D$10),1,0)</f>
        <v>0</v>
      </c>
      <c r="BJ41" s="39" t="n">
        <f aca="false">IF(AND(BJ$4&gt;=$D$12,BJ$4&lt;$D$10),1,0)</f>
        <v>0</v>
      </c>
      <c r="BK41" s="39" t="n">
        <f aca="false">IF(AND(BK$4&gt;=$D$12,BK$4&lt;$D$10),1,0)</f>
        <v>0</v>
      </c>
      <c r="BL41" s="39" t="n">
        <f aca="false">IF(AND(BL$4&gt;=$D$12,BL$4&lt;$D$10),1,0)</f>
        <v>0</v>
      </c>
      <c r="BM41" s="39" t="n">
        <f aca="false">IF(AND(BM$4&gt;=$D$12,BM$4&lt;$D$10),1,0)</f>
        <v>0</v>
      </c>
      <c r="BN41" s="39" t="n">
        <f aca="false">IF(AND(BN$4&gt;=$D$12,BN$4&lt;$D$10),1,0)</f>
        <v>0</v>
      </c>
      <c r="BO41" s="39" t="n">
        <f aca="false">IF(AND(BO$4&gt;=$D$12,BO$4&lt;$D$10),1,0)</f>
        <v>0</v>
      </c>
      <c r="BP41" s="39" t="n">
        <f aca="false">IF(AND(BP$4&gt;=$D$12,BP$4&lt;$D$10),1,0)</f>
        <v>0</v>
      </c>
      <c r="BQ41" s="39" t="n">
        <f aca="false">IF(AND(BQ$4&gt;=$D$12,BQ$4&lt;$D$10),1,0)</f>
        <v>0</v>
      </c>
      <c r="BR41" s="39" t="n">
        <f aca="false">IF(AND(BR$4&gt;=$D$12,BR$4&lt;$D$10),1,0)</f>
        <v>0</v>
      </c>
      <c r="BS41" s="39" t="n">
        <f aca="false">IF(AND(BS$4&gt;=$D$12,BS$4&lt;$D$10),1,0)</f>
        <v>0</v>
      </c>
      <c r="BT41" s="39" t="n">
        <f aca="false">IF(AND(BT$4&gt;=$D$12,BT$4&lt;$D$10),1,0)</f>
        <v>0</v>
      </c>
      <c r="BU41" s="39" t="n">
        <f aca="false">IF(AND(BU$4&gt;=$D$12,BU$4&lt;$D$10),1,0)</f>
        <v>0</v>
      </c>
      <c r="BV41" s="39" t="n">
        <f aca="false">IF(AND(BV$4&gt;=$D$12,BV$4&lt;$D$10),1,0)</f>
        <v>0</v>
      </c>
      <c r="BW41" s="39" t="n">
        <f aca="false">IF(AND(BW$4&gt;=$D$12,BW$4&lt;$D$10),1,0)</f>
        <v>0</v>
      </c>
      <c r="BX41" s="39" t="n">
        <f aca="false">IF(AND(BX$4&gt;=$D$12,BX$4&lt;$D$10),1,0)</f>
        <v>0</v>
      </c>
    </row>
    <row r="42" customFormat="false" ht="15" hidden="false" customHeight="false" outlineLevel="0" collapsed="false">
      <c r="A42" s="1"/>
      <c r="B42" s="8" t="s">
        <v>309</v>
      </c>
      <c r="C42" s="8" t="s">
        <v>308</v>
      </c>
      <c r="D42" s="1"/>
      <c r="E42" s="1"/>
      <c r="F42" s="1"/>
      <c r="G42" s="39" t="n">
        <f aca="false">IF(AND(G$4&gt;=$D$10,G$4&lt;$D$10+$D$11),1,0)</f>
        <v>0</v>
      </c>
      <c r="H42" s="39" t="n">
        <f aca="false">IF(AND(H$4&gt;=$D$10,H$4&lt;$D$10+$D$11),1,0)</f>
        <v>0</v>
      </c>
      <c r="I42" s="39" t="n">
        <f aca="false">IF(AND(I$4&gt;=$D$10,I$4&lt;$D$10+$D$11),1,0)</f>
        <v>0</v>
      </c>
      <c r="J42" s="39" t="n">
        <f aca="false">IF(AND(J$4&gt;=$D$10,J$4&lt;$D$10+$D$11),1,0)</f>
        <v>0</v>
      </c>
      <c r="K42" s="39" t="n">
        <f aca="false">IF(AND(K$4&gt;=$D$10,K$4&lt;$D$10+$D$11),1,0)</f>
        <v>0</v>
      </c>
      <c r="L42" s="39" t="n">
        <f aca="false">IF(AND(L$4&gt;=$D$10,L$4&lt;$D$10+$D$11),1,0)</f>
        <v>0</v>
      </c>
      <c r="M42" s="39" t="n">
        <f aca="false">IF(AND(M$4&gt;=$D$10,M$4&lt;$D$10+$D$11),1,0)</f>
        <v>0</v>
      </c>
      <c r="N42" s="39" t="n">
        <f aca="false">IF(AND(N$4&gt;=$D$10,N$4&lt;$D$10+$D$11),1,0)</f>
        <v>0</v>
      </c>
      <c r="O42" s="39" t="n">
        <f aca="false">IF(AND(O$4&gt;=$D$10,O$4&lt;$D$10+$D$11),1,0)</f>
        <v>1</v>
      </c>
      <c r="P42" s="39" t="n">
        <f aca="false">IF(AND(P$4&gt;=$D$10,P$4&lt;$D$10+$D$11),1,0)</f>
        <v>1</v>
      </c>
      <c r="Q42" s="39" t="n">
        <f aca="false">IF(AND(Q$4&gt;=$D$10,Q$4&lt;$D$10+$D$11),1,0)</f>
        <v>1</v>
      </c>
      <c r="R42" s="39" t="n">
        <f aca="false">IF(AND(R$4&gt;=$D$10,R$4&lt;$D$10+$D$11),1,0)</f>
        <v>1</v>
      </c>
      <c r="S42" s="39" t="n">
        <f aca="false">IF(AND(S$4&gt;=$D$10,S$4&lt;$D$10+$D$11),1,0)</f>
        <v>1</v>
      </c>
      <c r="T42" s="39" t="n">
        <f aca="false">IF(AND(T$4&gt;=$D$10,T$4&lt;$D$10+$D$11),1,0)</f>
        <v>1</v>
      </c>
      <c r="U42" s="39" t="n">
        <f aca="false">IF(AND(U$4&gt;=$D$10,U$4&lt;$D$10+$D$11),1,0)</f>
        <v>1</v>
      </c>
      <c r="V42" s="39" t="n">
        <f aca="false">IF(AND(V$4&gt;=$D$10,V$4&lt;$D$10+$D$11),1,0)</f>
        <v>1</v>
      </c>
      <c r="W42" s="39" t="n">
        <f aca="false">IF(AND(W$4&gt;=$D$10,W$4&lt;$D$10+$D$11),1,0)</f>
        <v>1</v>
      </c>
      <c r="X42" s="39" t="n">
        <f aca="false">IF(AND(X$4&gt;=$D$10,X$4&lt;$D$10+$D$11),1,0)</f>
        <v>1</v>
      </c>
      <c r="Y42" s="39" t="n">
        <f aca="false">IF(AND(Y$4&gt;=$D$10,Y$4&lt;$D$10+$D$11),1,0)</f>
        <v>1</v>
      </c>
      <c r="Z42" s="39" t="n">
        <f aca="false">IF(AND(Z$4&gt;=$D$10,Z$4&lt;$D$10+$D$11),1,0)</f>
        <v>1</v>
      </c>
      <c r="AA42" s="39" t="n">
        <f aca="false">IF(AND(AA$4&gt;=$D$10,AA$4&lt;$D$10+$D$11),1,0)</f>
        <v>1</v>
      </c>
      <c r="AB42" s="39" t="n">
        <f aca="false">IF(AND(AB$4&gt;=$D$10,AB$4&lt;$D$10+$D$11),1,0)</f>
        <v>1</v>
      </c>
      <c r="AC42" s="39" t="n">
        <f aca="false">IF(AND(AC$4&gt;=$D$10,AC$4&lt;$D$10+$D$11),1,0)</f>
        <v>1</v>
      </c>
      <c r="AD42" s="39" t="n">
        <f aca="false">IF(AND(AD$4&gt;=$D$10,AD$4&lt;$D$10+$D$11),1,0)</f>
        <v>1</v>
      </c>
      <c r="AE42" s="39" t="n">
        <f aca="false">IF(AND(AE$4&gt;=$D$10,AE$4&lt;$D$10+$D$11),1,0)</f>
        <v>1</v>
      </c>
      <c r="AF42" s="39" t="n">
        <f aca="false">IF(AND(AF$4&gt;=$D$10,AF$4&lt;$D$10+$D$11),1,0)</f>
        <v>1</v>
      </c>
      <c r="AG42" s="39" t="n">
        <f aca="false">IF(AND(AG$4&gt;=$D$10,AG$4&lt;$D$10+$D$11),1,0)</f>
        <v>1</v>
      </c>
      <c r="AH42" s="39" t="n">
        <f aca="false">IF(AND(AH$4&gt;=$D$10,AH$4&lt;$D$10+$D$11),1,0)</f>
        <v>1</v>
      </c>
      <c r="AI42" s="39" t="n">
        <f aca="false">IF(AND(AI$4&gt;=$D$10,AI$4&lt;$D$10+$D$11),1,0)</f>
        <v>1</v>
      </c>
      <c r="AJ42" s="39" t="n">
        <f aca="false">IF(AND(AJ$4&gt;=$D$10,AJ$4&lt;$D$10+$D$11),1,0)</f>
        <v>1</v>
      </c>
      <c r="AK42" s="39" t="n">
        <f aca="false">IF(AND(AK$4&gt;=$D$10,AK$4&lt;$D$10+$D$11),1,0)</f>
        <v>1</v>
      </c>
      <c r="AL42" s="39" t="n">
        <f aca="false">IF(AND(AL$4&gt;=$D$10,AL$4&lt;$D$10+$D$11),1,0)</f>
        <v>1</v>
      </c>
      <c r="AM42" s="39" t="n">
        <f aca="false">IF(AND(AM$4&gt;=$D$10,AM$4&lt;$D$10+$D$11),1,0)</f>
        <v>1</v>
      </c>
      <c r="AN42" s="39" t="n">
        <f aca="false">IF(AND(AN$4&gt;=$D$10,AN$4&lt;$D$10+$D$11),1,0)</f>
        <v>1</v>
      </c>
      <c r="AO42" s="39" t="n">
        <f aca="false">IF(AND(AO$4&gt;=$D$10,AO$4&lt;$D$10+$D$11),1,0)</f>
        <v>1</v>
      </c>
      <c r="AP42" s="39" t="n">
        <f aca="false">IF(AND(AP$4&gt;=$D$10,AP$4&lt;$D$10+$D$11),1,0)</f>
        <v>1</v>
      </c>
      <c r="AQ42" s="39" t="n">
        <f aca="false">IF(AND(AQ$4&gt;=$D$10,AQ$4&lt;$D$10+$D$11),1,0)</f>
        <v>1</v>
      </c>
      <c r="AR42" s="39" t="n">
        <f aca="false">IF(AND(AR$4&gt;=$D$10,AR$4&lt;$D$10+$D$11),1,0)</f>
        <v>1</v>
      </c>
      <c r="AS42" s="39" t="n">
        <f aca="false">IF(AND(AS$4&gt;=$D$10,AS$4&lt;$D$10+$D$11),1,0)</f>
        <v>1</v>
      </c>
      <c r="AT42" s="39" t="n">
        <f aca="false">IF(AND(AT$4&gt;=$D$10,AT$4&lt;$D$10+$D$11),1,0)</f>
        <v>1</v>
      </c>
      <c r="AU42" s="39" t="n">
        <f aca="false">IF(AND(AU$4&gt;=$D$10,AU$4&lt;$D$10+$D$11),1,0)</f>
        <v>1</v>
      </c>
      <c r="AV42" s="39" t="n">
        <f aca="false">IF(AND(AV$4&gt;=$D$10,AV$4&lt;$D$10+$D$11),1,0)</f>
        <v>1</v>
      </c>
      <c r="AW42" s="39" t="n">
        <f aca="false">IF(AND(AW$4&gt;=$D$10,AW$4&lt;$D$10+$D$11),1,0)</f>
        <v>1</v>
      </c>
      <c r="AX42" s="39" t="n">
        <f aca="false">IF(AND(AX$4&gt;=$D$10,AX$4&lt;$D$10+$D$11),1,0)</f>
        <v>1</v>
      </c>
      <c r="AY42" s="39" t="n">
        <f aca="false">IF(AND(AY$4&gt;=$D$10,AY$4&lt;$D$10+$D$11),1,0)</f>
        <v>1</v>
      </c>
      <c r="AZ42" s="39" t="n">
        <f aca="false">IF(AND(AZ$4&gt;=$D$10,AZ$4&lt;$D$10+$D$11),1,0)</f>
        <v>1</v>
      </c>
      <c r="BA42" s="39" t="n">
        <f aca="false">IF(AND(BA$4&gt;=$D$10,BA$4&lt;$D$10+$D$11),1,0)</f>
        <v>1</v>
      </c>
      <c r="BB42" s="39" t="n">
        <f aca="false">IF(AND(BB$4&gt;=$D$10,BB$4&lt;$D$10+$D$11),1,0)</f>
        <v>1</v>
      </c>
      <c r="BC42" s="39" t="n">
        <f aca="false">IF(AND(BC$4&gt;=$D$10,BC$4&lt;$D$10+$D$11),1,0)</f>
        <v>1</v>
      </c>
      <c r="BD42" s="39" t="n">
        <f aca="false">IF(AND(BD$4&gt;=$D$10,BD$4&lt;$D$10+$D$11),1,0)</f>
        <v>1</v>
      </c>
      <c r="BE42" s="39" t="n">
        <f aca="false">IF(AND(BE$4&gt;=$D$10,BE$4&lt;$D$10+$D$11),1,0)</f>
        <v>1</v>
      </c>
      <c r="BF42" s="39" t="n">
        <f aca="false">IF(AND(BF$4&gt;=$D$10,BF$4&lt;$D$10+$D$11),1,0)</f>
        <v>1</v>
      </c>
      <c r="BG42" s="39" t="n">
        <f aca="false">IF(AND(BG$4&gt;=$D$10,BG$4&lt;$D$10+$D$11),1,0)</f>
        <v>1</v>
      </c>
      <c r="BH42" s="39" t="n">
        <f aca="false">IF(AND(BH$4&gt;=$D$10,BH$4&lt;$D$10+$D$11),1,0)</f>
        <v>1</v>
      </c>
      <c r="BI42" s="39" t="n">
        <f aca="false">IF(AND(BI$4&gt;=$D$10,BI$4&lt;$D$10+$D$11),1,0)</f>
        <v>1</v>
      </c>
      <c r="BJ42" s="39" t="n">
        <f aca="false">IF(AND(BJ$4&gt;=$D$10,BJ$4&lt;$D$10+$D$11),1,0)</f>
        <v>1</v>
      </c>
      <c r="BK42" s="39" t="n">
        <f aca="false">IF(AND(BK$4&gt;=$D$10,BK$4&lt;$D$10+$D$11),1,0)</f>
        <v>1</v>
      </c>
      <c r="BL42" s="39" t="n">
        <f aca="false">IF(AND(BL$4&gt;=$D$10,BL$4&lt;$D$10+$D$11),1,0)</f>
        <v>1</v>
      </c>
      <c r="BM42" s="39" t="n">
        <f aca="false">IF(AND(BM$4&gt;=$D$10,BM$4&lt;$D$10+$D$11),1,0)</f>
        <v>1</v>
      </c>
      <c r="BN42" s="39" t="n">
        <f aca="false">IF(AND(BN$4&gt;=$D$10,BN$4&lt;$D$10+$D$11),1,0)</f>
        <v>1</v>
      </c>
      <c r="BO42" s="39" t="n">
        <f aca="false">IF(AND(BO$4&gt;=$D$10,BO$4&lt;$D$10+$D$11),1,0)</f>
        <v>1</v>
      </c>
      <c r="BP42" s="39" t="n">
        <f aca="false">IF(AND(BP$4&gt;=$D$10,BP$4&lt;$D$10+$D$11),1,0)</f>
        <v>1</v>
      </c>
      <c r="BQ42" s="39" t="n">
        <f aca="false">IF(AND(BQ$4&gt;=$D$10,BQ$4&lt;$D$10+$D$11),1,0)</f>
        <v>1</v>
      </c>
      <c r="BR42" s="39" t="n">
        <f aca="false">IF(AND(BR$4&gt;=$D$10,BR$4&lt;$D$10+$D$11),1,0)</f>
        <v>1</v>
      </c>
      <c r="BS42" s="39" t="n">
        <f aca="false">IF(AND(BS$4&gt;=$D$10,BS$4&lt;$D$10+$D$11),1,0)</f>
        <v>1</v>
      </c>
      <c r="BT42" s="39" t="n">
        <f aca="false">IF(AND(BT$4&gt;=$D$10,BT$4&lt;$D$10+$D$11),1,0)</f>
        <v>1</v>
      </c>
      <c r="BU42" s="39" t="n">
        <f aca="false">IF(AND(BU$4&gt;=$D$10,BU$4&lt;$D$10+$D$11),1,0)</f>
        <v>1</v>
      </c>
      <c r="BV42" s="39" t="n">
        <f aca="false">IF(AND(BV$4&gt;=$D$10,BV$4&lt;$D$10+$D$11),1,0)</f>
        <v>1</v>
      </c>
      <c r="BW42" s="39" t="n">
        <f aca="false">IF(AND(BW$4&gt;=$D$10,BW$4&lt;$D$10+$D$11),1,0)</f>
        <v>0</v>
      </c>
      <c r="BX42" s="39" t="n">
        <f aca="false">IF(AND(BX$4&gt;=$D$10,BX$4&lt;$D$10+$D$11),1,0)</f>
        <v>0</v>
      </c>
    </row>
    <row r="43" customFormat="false" ht="15" hidden="false" customHeight="false" outlineLevel="0" collapsed="false">
      <c r="A43" s="1"/>
      <c r="B43" s="8" t="s">
        <v>310</v>
      </c>
      <c r="C43" s="8" t="s">
        <v>46</v>
      </c>
      <c r="D43" s="1"/>
      <c r="E43" s="1"/>
      <c r="F43" s="1"/>
      <c r="G43" s="39" t="n">
        <f aca="false">IF(G42=1,G$4-$D$10+1,0)</f>
        <v>0</v>
      </c>
      <c r="H43" s="39" t="n">
        <f aca="false">IF(H42=1,H$4-$D$10+1,0)</f>
        <v>0</v>
      </c>
      <c r="I43" s="39" t="n">
        <f aca="false">IF(I42=1,I$4-$D$10+1,0)</f>
        <v>0</v>
      </c>
      <c r="J43" s="39" t="n">
        <f aca="false">IF(J42=1,J$4-$D$10+1,0)</f>
        <v>0</v>
      </c>
      <c r="K43" s="39" t="n">
        <f aca="false">IF(K42=1,K$4-$D$10+1,0)</f>
        <v>0</v>
      </c>
      <c r="L43" s="39" t="n">
        <f aca="false">IF(L42=1,L$4-$D$10+1,0)</f>
        <v>0</v>
      </c>
      <c r="M43" s="39" t="n">
        <f aca="false">IF(M42=1,M$4-$D$10+1,0)</f>
        <v>0</v>
      </c>
      <c r="N43" s="39" t="n">
        <f aca="false">IF(N42=1,N$4-$D$10+1,0)</f>
        <v>0</v>
      </c>
      <c r="O43" s="39" t="n">
        <f aca="false">IF(O42=1,O$4-$D$10+1,0)</f>
        <v>1</v>
      </c>
      <c r="P43" s="39" t="n">
        <f aca="false">IF(P42=1,P$4-$D$10+1,0)</f>
        <v>2</v>
      </c>
      <c r="Q43" s="39" t="n">
        <f aca="false">IF(Q42=1,Q$4-$D$10+1,0)</f>
        <v>3</v>
      </c>
      <c r="R43" s="39" t="n">
        <f aca="false">IF(R42=1,R$4-$D$10+1,0)</f>
        <v>4</v>
      </c>
      <c r="S43" s="39" t="n">
        <f aca="false">IF(S42=1,S$4-$D$10+1,0)</f>
        <v>5</v>
      </c>
      <c r="T43" s="39" t="n">
        <f aca="false">IF(T42=1,T$4-$D$10+1,0)</f>
        <v>6</v>
      </c>
      <c r="U43" s="39" t="n">
        <f aca="false">IF(U42=1,U$4-$D$10+1,0)</f>
        <v>7</v>
      </c>
      <c r="V43" s="39" t="n">
        <f aca="false">IF(V42=1,V$4-$D$10+1,0)</f>
        <v>8</v>
      </c>
      <c r="W43" s="39" t="n">
        <f aca="false">IF(W42=1,W$4-$D$10+1,0)</f>
        <v>9</v>
      </c>
      <c r="X43" s="39" t="n">
        <f aca="false">IF(X42=1,X$4-$D$10+1,0)</f>
        <v>10</v>
      </c>
      <c r="Y43" s="39" t="n">
        <f aca="false">IF(Y42=1,Y$4-$D$10+1,0)</f>
        <v>11</v>
      </c>
      <c r="Z43" s="39" t="n">
        <f aca="false">IF(Z42=1,Z$4-$D$10+1,0)</f>
        <v>12</v>
      </c>
      <c r="AA43" s="39" t="n">
        <f aca="false">IF(AA42=1,AA$4-$D$10+1,0)</f>
        <v>13</v>
      </c>
      <c r="AB43" s="39" t="n">
        <f aca="false">IF(AB42=1,AB$4-$D$10+1,0)</f>
        <v>14</v>
      </c>
      <c r="AC43" s="39" t="n">
        <f aca="false">IF(AC42=1,AC$4-$D$10+1,0)</f>
        <v>15</v>
      </c>
      <c r="AD43" s="39" t="n">
        <f aca="false">IF(AD42=1,AD$4-$D$10+1,0)</f>
        <v>16</v>
      </c>
      <c r="AE43" s="39" t="n">
        <f aca="false">IF(AE42=1,AE$4-$D$10+1,0)</f>
        <v>17</v>
      </c>
      <c r="AF43" s="39" t="n">
        <f aca="false">IF(AF42=1,AF$4-$D$10+1,0)</f>
        <v>18</v>
      </c>
      <c r="AG43" s="39" t="n">
        <f aca="false">IF(AG42=1,AG$4-$D$10+1,0)</f>
        <v>19</v>
      </c>
      <c r="AH43" s="39" t="n">
        <f aca="false">IF(AH42=1,AH$4-$D$10+1,0)</f>
        <v>20</v>
      </c>
      <c r="AI43" s="39" t="n">
        <f aca="false">IF(AI42=1,AI$4-$D$10+1,0)</f>
        <v>21</v>
      </c>
      <c r="AJ43" s="39" t="n">
        <f aca="false">IF(AJ42=1,AJ$4-$D$10+1,0)</f>
        <v>22</v>
      </c>
      <c r="AK43" s="39" t="n">
        <f aca="false">IF(AK42=1,AK$4-$D$10+1,0)</f>
        <v>23</v>
      </c>
      <c r="AL43" s="39" t="n">
        <f aca="false">IF(AL42=1,AL$4-$D$10+1,0)</f>
        <v>24</v>
      </c>
      <c r="AM43" s="39" t="n">
        <f aca="false">IF(AM42=1,AM$4-$D$10+1,0)</f>
        <v>25</v>
      </c>
      <c r="AN43" s="39" t="n">
        <f aca="false">IF(AN42=1,AN$4-$D$10+1,0)</f>
        <v>26</v>
      </c>
      <c r="AO43" s="39" t="n">
        <f aca="false">IF(AO42=1,AO$4-$D$10+1,0)</f>
        <v>27</v>
      </c>
      <c r="AP43" s="39" t="n">
        <f aca="false">IF(AP42=1,AP$4-$D$10+1,0)</f>
        <v>28</v>
      </c>
      <c r="AQ43" s="39" t="n">
        <f aca="false">IF(AQ42=1,AQ$4-$D$10+1,0)</f>
        <v>29</v>
      </c>
      <c r="AR43" s="39" t="n">
        <f aca="false">IF(AR42=1,AR$4-$D$10+1,0)</f>
        <v>30</v>
      </c>
      <c r="AS43" s="39" t="n">
        <f aca="false">IF(AS42=1,AS$4-$D$10+1,0)</f>
        <v>31</v>
      </c>
      <c r="AT43" s="39" t="n">
        <f aca="false">IF(AT42=1,AT$4-$D$10+1,0)</f>
        <v>32</v>
      </c>
      <c r="AU43" s="39" t="n">
        <f aca="false">IF(AU42=1,AU$4-$D$10+1,0)</f>
        <v>33</v>
      </c>
      <c r="AV43" s="39" t="n">
        <f aca="false">IF(AV42=1,AV$4-$D$10+1,0)</f>
        <v>34</v>
      </c>
      <c r="AW43" s="39" t="n">
        <f aca="false">IF(AW42=1,AW$4-$D$10+1,0)</f>
        <v>35</v>
      </c>
      <c r="AX43" s="39" t="n">
        <f aca="false">IF(AX42=1,AX$4-$D$10+1,0)</f>
        <v>36</v>
      </c>
      <c r="AY43" s="39" t="n">
        <f aca="false">IF(AY42=1,AY$4-$D$10+1,0)</f>
        <v>37</v>
      </c>
      <c r="AZ43" s="39" t="n">
        <f aca="false">IF(AZ42=1,AZ$4-$D$10+1,0)</f>
        <v>38</v>
      </c>
      <c r="BA43" s="39" t="n">
        <f aca="false">IF(BA42=1,BA$4-$D$10+1,0)</f>
        <v>39</v>
      </c>
      <c r="BB43" s="39" t="n">
        <f aca="false">IF(BB42=1,BB$4-$D$10+1,0)</f>
        <v>40</v>
      </c>
      <c r="BC43" s="39" t="n">
        <f aca="false">IF(BC42=1,BC$4-$D$10+1,0)</f>
        <v>41</v>
      </c>
      <c r="BD43" s="39" t="n">
        <f aca="false">IF(BD42=1,BD$4-$D$10+1,0)</f>
        <v>42</v>
      </c>
      <c r="BE43" s="39" t="n">
        <f aca="false">IF(BE42=1,BE$4-$D$10+1,0)</f>
        <v>43</v>
      </c>
      <c r="BF43" s="39" t="n">
        <f aca="false">IF(BF42=1,BF$4-$D$10+1,0)</f>
        <v>44</v>
      </c>
      <c r="BG43" s="39" t="n">
        <f aca="false">IF(BG42=1,BG$4-$D$10+1,0)</f>
        <v>45</v>
      </c>
      <c r="BH43" s="39" t="n">
        <f aca="false">IF(BH42=1,BH$4-$D$10+1,0)</f>
        <v>46</v>
      </c>
      <c r="BI43" s="39" t="n">
        <f aca="false">IF(BI42=1,BI$4-$D$10+1,0)</f>
        <v>47</v>
      </c>
      <c r="BJ43" s="39" t="n">
        <f aca="false">IF(BJ42=1,BJ$4-$D$10+1,0)</f>
        <v>48</v>
      </c>
      <c r="BK43" s="39" t="n">
        <f aca="false">IF(BK42=1,BK$4-$D$10+1,0)</f>
        <v>49</v>
      </c>
      <c r="BL43" s="39" t="n">
        <f aca="false">IF(BL42=1,BL$4-$D$10+1,0)</f>
        <v>50</v>
      </c>
      <c r="BM43" s="39" t="n">
        <f aca="false">IF(BM42=1,BM$4-$D$10+1,0)</f>
        <v>51</v>
      </c>
      <c r="BN43" s="39" t="n">
        <f aca="false">IF(BN42=1,BN$4-$D$10+1,0)</f>
        <v>52</v>
      </c>
      <c r="BO43" s="39" t="n">
        <f aca="false">IF(BO42=1,BO$4-$D$10+1,0)</f>
        <v>53</v>
      </c>
      <c r="BP43" s="39" t="n">
        <f aca="false">IF(BP42=1,BP$4-$D$10+1,0)</f>
        <v>54</v>
      </c>
      <c r="BQ43" s="39" t="n">
        <f aca="false">IF(BQ42=1,BQ$4-$D$10+1,0)</f>
        <v>55</v>
      </c>
      <c r="BR43" s="39" t="n">
        <f aca="false">IF(BR42=1,BR$4-$D$10+1,0)</f>
        <v>56</v>
      </c>
      <c r="BS43" s="39" t="n">
        <f aca="false">IF(BS42=1,BS$4-$D$10+1,0)</f>
        <v>57</v>
      </c>
      <c r="BT43" s="39" t="n">
        <f aca="false">IF(BT42=1,BT$4-$D$10+1,0)</f>
        <v>58</v>
      </c>
      <c r="BU43" s="39" t="n">
        <f aca="false">IF(BU42=1,BU$4-$D$10+1,0)</f>
        <v>59</v>
      </c>
      <c r="BV43" s="39" t="n">
        <f aca="false">IF(BV42=1,BV$4-$D$10+1,0)</f>
        <v>60</v>
      </c>
      <c r="BW43" s="39" t="n">
        <f aca="false">IF(BW42=1,BW$4-$D$10+1,0)</f>
        <v>0</v>
      </c>
      <c r="BX43" s="39" t="n">
        <f aca="false">IF(BX42=1,BX$4-$D$10+1,0)</f>
        <v>0</v>
      </c>
    </row>
    <row r="44" customFormat="false" ht="15" hidden="false" customHeight="false" outlineLevel="0" collapsed="false">
      <c r="A44" s="1"/>
      <c r="B44" s="8" t="s">
        <v>311</v>
      </c>
      <c r="C44" s="8" t="s">
        <v>46</v>
      </c>
      <c r="D44" s="1"/>
      <c r="E44" s="1"/>
      <c r="F44" s="1"/>
      <c r="G44" s="39" t="n">
        <f aca="false">G$4-$D$12</f>
        <v>-3</v>
      </c>
      <c r="H44" s="39" t="n">
        <f aca="false">H$4-$D$12</f>
        <v>-2</v>
      </c>
      <c r="I44" s="39" t="n">
        <f aca="false">I$4-$D$12</f>
        <v>-1</v>
      </c>
      <c r="J44" s="39" t="n">
        <f aca="false">J$4-$D$12</f>
        <v>0</v>
      </c>
      <c r="K44" s="39" t="n">
        <f aca="false">K$4-$D$12</f>
        <v>1</v>
      </c>
      <c r="L44" s="39" t="n">
        <f aca="false">L$4-$D$12</f>
        <v>2</v>
      </c>
      <c r="M44" s="39" t="n">
        <f aca="false">M$4-$D$12</f>
        <v>3</v>
      </c>
      <c r="N44" s="39" t="n">
        <f aca="false">N$4-$D$12</f>
        <v>4</v>
      </c>
      <c r="O44" s="39" t="n">
        <f aca="false">O$4-$D$12</f>
        <v>5</v>
      </c>
      <c r="P44" s="39" t="n">
        <f aca="false">P$4-$D$12</f>
        <v>6</v>
      </c>
      <c r="Q44" s="39" t="n">
        <f aca="false">Q$4-$D$12</f>
        <v>7</v>
      </c>
      <c r="R44" s="39" t="n">
        <f aca="false">R$4-$D$12</f>
        <v>8</v>
      </c>
      <c r="S44" s="39" t="n">
        <f aca="false">S$4-$D$12</f>
        <v>9</v>
      </c>
      <c r="T44" s="39" t="n">
        <f aca="false">T$4-$D$12</f>
        <v>10</v>
      </c>
      <c r="U44" s="39" t="n">
        <f aca="false">U$4-$D$12</f>
        <v>11</v>
      </c>
      <c r="V44" s="39" t="n">
        <f aca="false">V$4-$D$12</f>
        <v>12</v>
      </c>
      <c r="W44" s="39" t="n">
        <f aca="false">W$4-$D$12</f>
        <v>13</v>
      </c>
      <c r="X44" s="39" t="n">
        <f aca="false">X$4-$D$12</f>
        <v>14</v>
      </c>
      <c r="Y44" s="39" t="n">
        <f aca="false">Y$4-$D$12</f>
        <v>15</v>
      </c>
      <c r="Z44" s="39" t="n">
        <f aca="false">Z$4-$D$12</f>
        <v>16</v>
      </c>
      <c r="AA44" s="39" t="n">
        <f aca="false">AA$4-$D$12</f>
        <v>17</v>
      </c>
      <c r="AB44" s="39" t="n">
        <f aca="false">AB$4-$D$12</f>
        <v>18</v>
      </c>
      <c r="AC44" s="39" t="n">
        <f aca="false">AC$4-$D$12</f>
        <v>19</v>
      </c>
      <c r="AD44" s="39" t="n">
        <f aca="false">AD$4-$D$12</f>
        <v>20</v>
      </c>
      <c r="AE44" s="39" t="n">
        <f aca="false">AE$4-$D$12</f>
        <v>21</v>
      </c>
      <c r="AF44" s="39" t="n">
        <f aca="false">AF$4-$D$12</f>
        <v>22</v>
      </c>
      <c r="AG44" s="39" t="n">
        <f aca="false">AG$4-$D$12</f>
        <v>23</v>
      </c>
      <c r="AH44" s="39" t="n">
        <f aca="false">AH$4-$D$12</f>
        <v>24</v>
      </c>
      <c r="AI44" s="39" t="n">
        <f aca="false">AI$4-$D$12</f>
        <v>25</v>
      </c>
      <c r="AJ44" s="39" t="n">
        <f aca="false">AJ$4-$D$12</f>
        <v>26</v>
      </c>
      <c r="AK44" s="39" t="n">
        <f aca="false">AK$4-$D$12</f>
        <v>27</v>
      </c>
      <c r="AL44" s="39" t="n">
        <f aca="false">AL$4-$D$12</f>
        <v>28</v>
      </c>
      <c r="AM44" s="39" t="n">
        <f aca="false">AM$4-$D$12</f>
        <v>29</v>
      </c>
      <c r="AN44" s="39" t="n">
        <f aca="false">AN$4-$D$12</f>
        <v>30</v>
      </c>
      <c r="AO44" s="39" t="n">
        <f aca="false">AO$4-$D$12</f>
        <v>31</v>
      </c>
      <c r="AP44" s="39" t="n">
        <f aca="false">AP$4-$D$12</f>
        <v>32</v>
      </c>
      <c r="AQ44" s="39" t="n">
        <f aca="false">AQ$4-$D$12</f>
        <v>33</v>
      </c>
      <c r="AR44" s="39" t="n">
        <f aca="false">AR$4-$D$12</f>
        <v>34</v>
      </c>
      <c r="AS44" s="39" t="n">
        <f aca="false">AS$4-$D$12</f>
        <v>35</v>
      </c>
      <c r="AT44" s="39" t="n">
        <f aca="false">AT$4-$D$12</f>
        <v>36</v>
      </c>
      <c r="AU44" s="39" t="n">
        <f aca="false">AU$4-$D$12</f>
        <v>37</v>
      </c>
      <c r="AV44" s="39" t="n">
        <f aca="false">AV$4-$D$12</f>
        <v>38</v>
      </c>
      <c r="AW44" s="39" t="n">
        <f aca="false">AW$4-$D$12</f>
        <v>39</v>
      </c>
      <c r="AX44" s="39" t="n">
        <f aca="false">AX$4-$D$12</f>
        <v>40</v>
      </c>
      <c r="AY44" s="39" t="n">
        <f aca="false">AY$4-$D$12</f>
        <v>41</v>
      </c>
      <c r="AZ44" s="39" t="n">
        <f aca="false">AZ$4-$D$12</f>
        <v>42</v>
      </c>
      <c r="BA44" s="39" t="n">
        <f aca="false">BA$4-$D$12</f>
        <v>43</v>
      </c>
      <c r="BB44" s="39" t="n">
        <f aca="false">BB$4-$D$12</f>
        <v>44</v>
      </c>
      <c r="BC44" s="39" t="n">
        <f aca="false">BC$4-$D$12</f>
        <v>45</v>
      </c>
      <c r="BD44" s="39" t="n">
        <f aca="false">BD$4-$D$12</f>
        <v>46</v>
      </c>
      <c r="BE44" s="39" t="n">
        <f aca="false">BE$4-$D$12</f>
        <v>47</v>
      </c>
      <c r="BF44" s="39" t="n">
        <f aca="false">BF$4-$D$12</f>
        <v>48</v>
      </c>
      <c r="BG44" s="39" t="n">
        <f aca="false">BG$4-$D$12</f>
        <v>49</v>
      </c>
      <c r="BH44" s="39" t="n">
        <f aca="false">BH$4-$D$12</f>
        <v>50</v>
      </c>
      <c r="BI44" s="39" t="n">
        <f aca="false">BI$4-$D$12</f>
        <v>51</v>
      </c>
      <c r="BJ44" s="39" t="n">
        <f aca="false">BJ$4-$D$12</f>
        <v>52</v>
      </c>
      <c r="BK44" s="39" t="n">
        <f aca="false">BK$4-$D$12</f>
        <v>53</v>
      </c>
      <c r="BL44" s="39" t="n">
        <f aca="false">BL$4-$D$12</f>
        <v>54</v>
      </c>
      <c r="BM44" s="39" t="n">
        <f aca="false">BM$4-$D$12</f>
        <v>55</v>
      </c>
      <c r="BN44" s="39" t="n">
        <f aca="false">BN$4-$D$12</f>
        <v>56</v>
      </c>
      <c r="BO44" s="39" t="n">
        <f aca="false">BO$4-$D$12</f>
        <v>57</v>
      </c>
      <c r="BP44" s="39" t="n">
        <f aca="false">BP$4-$D$12</f>
        <v>58</v>
      </c>
      <c r="BQ44" s="39" t="n">
        <f aca="false">BQ$4-$D$12</f>
        <v>59</v>
      </c>
      <c r="BR44" s="39" t="n">
        <f aca="false">BR$4-$D$12</f>
        <v>60</v>
      </c>
      <c r="BS44" s="39" t="n">
        <f aca="false">BS$4-$D$12</f>
        <v>61</v>
      </c>
      <c r="BT44" s="39" t="n">
        <f aca="false">BT$4-$D$12</f>
        <v>62</v>
      </c>
      <c r="BU44" s="39" t="n">
        <f aca="false">BU$4-$D$12</f>
        <v>63</v>
      </c>
      <c r="BV44" s="39" t="n">
        <f aca="false">BV$4-$D$12</f>
        <v>64</v>
      </c>
      <c r="BW44" s="39" t="n">
        <f aca="false">BW$4-$D$12</f>
        <v>65</v>
      </c>
      <c r="BX44" s="39" t="n">
        <f aca="false">BX$4-$D$12</f>
        <v>66</v>
      </c>
    </row>
    <row r="45" customFormat="false" ht="15" hidden="false" customHeight="false" outlineLevel="0" collapsed="false">
      <c r="A45" s="1"/>
      <c r="B45" s="8" t="s">
        <v>312</v>
      </c>
      <c r="C45" s="8" t="s">
        <v>46</v>
      </c>
      <c r="D45" s="1"/>
      <c r="E45" s="1"/>
      <c r="F45" s="1"/>
      <c r="G45" s="47" t="n">
        <f aca="false">IF(G$4&gt;=$D$12,1/(1+$D$13)^G44,0)</f>
        <v>0</v>
      </c>
      <c r="H45" s="47" t="n">
        <f aca="false">IF(H$4&gt;=$D$12,1/(1+$D$13)^H44,0)</f>
        <v>0</v>
      </c>
      <c r="I45" s="47" t="n">
        <f aca="false">IF(I$4&gt;=$D$12,1/(1+$D$13)^I44,0)</f>
        <v>0</v>
      </c>
      <c r="J45" s="47" t="n">
        <f aca="false">IF(J$4&gt;=$D$12,1/(1+$D$13)^J44,0)</f>
        <v>1</v>
      </c>
      <c r="K45" s="47" t="n">
        <f aca="false">IF(K$4&gt;=$D$12,1/(1+$D$13)^K44,0)</f>
        <v>0.934579439252336</v>
      </c>
      <c r="L45" s="47" t="n">
        <f aca="false">IF(L$4&gt;=$D$12,1/(1+$D$13)^L44,0)</f>
        <v>0.873438728273212</v>
      </c>
      <c r="M45" s="47" t="n">
        <f aca="false">IF(M$4&gt;=$D$12,1/(1+$D$13)^M44,0)</f>
        <v>0.816297876890852</v>
      </c>
      <c r="N45" s="47" t="n">
        <f aca="false">IF(N$4&gt;=$D$12,1/(1+$D$13)^N44,0)</f>
        <v>0.762895212047525</v>
      </c>
      <c r="O45" s="47" t="n">
        <f aca="false">IF(O$4&gt;=$D$12,1/(1+$D$13)^O44,0)</f>
        <v>0.712986179483668</v>
      </c>
      <c r="P45" s="47" t="n">
        <f aca="false">IF(P$4&gt;=$D$12,1/(1+$D$13)^P44,0)</f>
        <v>0.666342223816512</v>
      </c>
      <c r="Q45" s="47" t="n">
        <f aca="false">IF(Q$4&gt;=$D$12,1/(1+$D$13)^Q44,0)</f>
        <v>0.622749741884591</v>
      </c>
      <c r="R45" s="47" t="n">
        <f aca="false">IF(R$4&gt;=$D$12,1/(1+$D$13)^R44,0)</f>
        <v>0.582009104565038</v>
      </c>
      <c r="S45" s="47" t="n">
        <f aca="false">IF(S$4&gt;=$D$12,1/(1+$D$13)^S44,0)</f>
        <v>0.543933742584148</v>
      </c>
      <c r="T45" s="47" t="n">
        <f aca="false">IF(T$4&gt;=$D$12,1/(1+$D$13)^T44,0)</f>
        <v>0.508349292134718</v>
      </c>
      <c r="U45" s="47" t="n">
        <f aca="false">IF(U$4&gt;=$D$12,1/(1+$D$13)^U44,0)</f>
        <v>0.475092796387586</v>
      </c>
      <c r="V45" s="47" t="n">
        <f aca="false">IF(V$4&gt;=$D$12,1/(1+$D$13)^V44,0)</f>
        <v>0.444011959240735</v>
      </c>
      <c r="W45" s="47" t="n">
        <f aca="false">IF(W$4&gt;=$D$12,1/(1+$D$13)^W44,0)</f>
        <v>0.414964447888537</v>
      </c>
      <c r="X45" s="47" t="n">
        <f aca="false">IF(X$4&gt;=$D$12,1/(1+$D$13)^X44,0)</f>
        <v>0.387817241017325</v>
      </c>
      <c r="Y45" s="47" t="n">
        <f aca="false">IF(Y$4&gt;=$D$12,1/(1+$D$13)^Y44,0)</f>
        <v>0.362446019642359</v>
      </c>
      <c r="Z45" s="47" t="n">
        <f aca="false">IF(Z$4&gt;=$D$12,1/(1+$D$13)^Z44,0)</f>
        <v>0.338734597796598</v>
      </c>
      <c r="AA45" s="47" t="n">
        <f aca="false">IF(AA$4&gt;=$D$12,1/(1+$D$13)^AA44,0)</f>
        <v>0.31657439046411</v>
      </c>
      <c r="AB45" s="47" t="n">
        <f aca="false">IF(AB$4&gt;=$D$12,1/(1+$D$13)^AB44,0)</f>
        <v>0.295863916321598</v>
      </c>
      <c r="AC45" s="47" t="n">
        <f aca="false">IF(AC$4&gt;=$D$12,1/(1+$D$13)^AC44,0)</f>
        <v>0.276508333010839</v>
      </c>
      <c r="AD45" s="47" t="n">
        <f aca="false">IF(AD$4&gt;=$D$12,1/(1+$D$13)^AD44,0)</f>
        <v>0.258419002813868</v>
      </c>
      <c r="AE45" s="47" t="n">
        <f aca="false">IF(AE$4&gt;=$D$12,1/(1+$D$13)^AE44,0)</f>
        <v>0.241513086741933</v>
      </c>
      <c r="AF45" s="47" t="n">
        <f aca="false">IF(AF$4&gt;=$D$12,1/(1+$D$13)^AF44,0)</f>
        <v>0.225713165179377</v>
      </c>
      <c r="AG45" s="47" t="n">
        <f aca="false">IF(AG$4&gt;=$D$12,1/(1+$D$13)^AG44,0)</f>
        <v>0.210946883345212</v>
      </c>
      <c r="AH45" s="47" t="n">
        <f aca="false">IF(AH$4&gt;=$D$12,1/(1+$D$13)^AH44,0)</f>
        <v>0.197146619948796</v>
      </c>
      <c r="AI45" s="47" t="n">
        <f aca="false">IF(AI$4&gt;=$D$12,1/(1+$D$13)^AI44,0)</f>
        <v>0.184249177522239</v>
      </c>
      <c r="AJ45" s="47" t="n">
        <f aca="false">IF(AJ$4&gt;=$D$12,1/(1+$D$13)^AJ44,0)</f>
        <v>0.172195493011439</v>
      </c>
      <c r="AK45" s="47" t="n">
        <f aca="false">IF(AK$4&gt;=$D$12,1/(1+$D$13)^AK44,0)</f>
        <v>0.16093036730041</v>
      </c>
      <c r="AL45" s="47" t="n">
        <f aca="false">IF(AL$4&gt;=$D$12,1/(1+$D$13)^AL44,0)</f>
        <v>0.15040221243029</v>
      </c>
      <c r="AM45" s="47" t="n">
        <f aca="false">IF(AM$4&gt;=$D$12,1/(1+$D$13)^AM44,0)</f>
        <v>0.140562815355411</v>
      </c>
      <c r="AN45" s="47" t="n">
        <f aca="false">IF(AN$4&gt;=$D$12,1/(1+$D$13)^AN44,0)</f>
        <v>0.13136711715459</v>
      </c>
      <c r="AO45" s="47" t="n">
        <f aca="false">IF(AO$4&gt;=$D$12,1/(1+$D$13)^AO44,0)</f>
        <v>0.122773006686532</v>
      </c>
      <c r="AP45" s="47" t="n">
        <f aca="false">IF(AP$4&gt;=$D$12,1/(1+$D$13)^AP44,0)</f>
        <v>0.114741127744423</v>
      </c>
      <c r="AQ45" s="47" t="n">
        <f aca="false">IF(AQ$4&gt;=$D$12,1/(1+$D$13)^AQ44,0)</f>
        <v>0.107234698826563</v>
      </c>
      <c r="AR45" s="47" t="n">
        <f aca="false">IF(AR$4&gt;=$D$12,1/(1+$D$13)^AR44,0)</f>
        <v>0.100219344697723</v>
      </c>
      <c r="AS45" s="47" t="n">
        <f aca="false">IF(AS$4&gt;=$D$12,1/(1+$D$13)^AS44,0)</f>
        <v>0.0936629389698343</v>
      </c>
      <c r="AT45" s="47" t="n">
        <f aca="false">IF(AT$4&gt;=$D$12,1/(1+$D$13)^AT44,0)</f>
        <v>0.0875354569811535</v>
      </c>
      <c r="AU45" s="47" t="n">
        <f aca="false">IF(AU$4&gt;=$D$12,1/(1+$D$13)^AU44,0)</f>
        <v>0.0818088383001435</v>
      </c>
      <c r="AV45" s="47" t="n">
        <f aca="false">IF(AV$4&gt;=$D$12,1/(1+$D$13)^AV44,0)</f>
        <v>0.0764568582244332</v>
      </c>
      <c r="AW45" s="47" t="n">
        <f aca="false">IF(AW$4&gt;=$D$12,1/(1+$D$13)^AW44,0)</f>
        <v>0.0714550076863861</v>
      </c>
      <c r="AX45" s="47" t="n">
        <f aca="false">IF(AX$4&gt;=$D$12,1/(1+$D$13)^AX44,0)</f>
        <v>0.0667803810153141</v>
      </c>
      <c r="AY45" s="47" t="n">
        <f aca="false">IF(AY$4&gt;=$D$12,1/(1+$D$13)^AY44,0)</f>
        <v>0.0624115710423497</v>
      </c>
      <c r="AZ45" s="47" t="n">
        <f aca="false">IF(AZ$4&gt;=$D$12,1/(1+$D$13)^AZ44,0)</f>
        <v>0.0583285710676165</v>
      </c>
      <c r="BA45" s="47" t="n">
        <f aca="false">IF(BA$4&gt;=$D$12,1/(1+$D$13)^BA44,0)</f>
        <v>0.0545126832407631</v>
      </c>
      <c r="BB45" s="47" t="n">
        <f aca="false">IF(BB$4&gt;=$D$12,1/(1+$D$13)^BB44,0)</f>
        <v>0.0509464329352926</v>
      </c>
      <c r="BC45" s="47" t="n">
        <f aca="false">IF(BC$4&gt;=$D$12,1/(1+$D$13)^BC44,0)</f>
        <v>0.0476134887245725</v>
      </c>
      <c r="BD45" s="47" t="n">
        <f aca="false">IF(BD$4&gt;=$D$12,1/(1+$D$13)^BD44,0)</f>
        <v>0.0444985875930584</v>
      </c>
      <c r="BE45" s="47" t="n">
        <f aca="false">IF(BE$4&gt;=$D$12,1/(1+$D$13)^BE44,0)</f>
        <v>0.0415874650402415</v>
      </c>
      <c r="BF45" s="47" t="n">
        <f aca="false">IF(BF$4&gt;=$D$12,1/(1+$D$13)^BF44,0)</f>
        <v>0.0388667897572351</v>
      </c>
      <c r="BG45" s="47" t="n">
        <f aca="false">IF(BG$4&gt;=$D$12,1/(1+$D$13)^BG44,0)</f>
        <v>0.0363241025768552</v>
      </c>
      <c r="BH45" s="47" t="n">
        <f aca="false">IF(BH$4&gt;=$D$12,1/(1+$D$13)^BH44,0)</f>
        <v>0.0339477594176217</v>
      </c>
      <c r="BI45" s="47" t="n">
        <f aca="false">IF(BI$4&gt;=$D$12,1/(1+$D$13)^BI44,0)</f>
        <v>0.0317268779603941</v>
      </c>
      <c r="BJ45" s="47" t="n">
        <f aca="false">IF(BJ$4&gt;=$D$12,1/(1+$D$13)^BJ44,0)</f>
        <v>0.0296512878134524</v>
      </c>
      <c r="BK45" s="47" t="n">
        <f aca="false">IF(BK$4&gt;=$D$12,1/(1+$D$13)^BK44,0)</f>
        <v>0.027711483937806</v>
      </c>
      <c r="BL45" s="47" t="n">
        <f aca="false">IF(BL$4&gt;=$D$12,1/(1+$D$13)^BL44,0)</f>
        <v>0.0258985831194449</v>
      </c>
      <c r="BM45" s="47" t="n">
        <f aca="false">IF(BM$4&gt;=$D$12,1/(1+$D$13)^BM44,0)</f>
        <v>0.0242042832892008</v>
      </c>
      <c r="BN45" s="47" t="n">
        <f aca="false">IF(BN$4&gt;=$D$12,1/(1+$D$13)^BN44,0)</f>
        <v>0.022620825503926</v>
      </c>
      <c r="BO45" s="47" t="n">
        <f aca="false">IF(BO$4&gt;=$D$12,1/(1+$D$13)^BO44,0)</f>
        <v>0.0211409584148841</v>
      </c>
      <c r="BP45" s="47" t="n">
        <f aca="false">IF(BP$4&gt;=$D$12,1/(1+$D$13)^BP44,0)</f>
        <v>0.0197579050606393</v>
      </c>
      <c r="BQ45" s="47" t="n">
        <f aca="false">IF(BQ$4&gt;=$D$12,1/(1+$D$13)^BQ44,0)</f>
        <v>0.0184653318323732</v>
      </c>
      <c r="BR45" s="47" t="n">
        <f aca="false">IF(BR$4&gt;=$D$12,1/(1+$D$13)^BR44,0)</f>
        <v>0.0172573194695077</v>
      </c>
      <c r="BS45" s="47" t="n">
        <f aca="false">IF(BS$4&gt;=$D$12,1/(1+$D$13)^BS44,0)</f>
        <v>0.0161283359528109</v>
      </c>
      <c r="BT45" s="47" t="n">
        <f aca="false">IF(BT$4&gt;=$D$12,1/(1+$D$13)^BT44,0)</f>
        <v>0.0150732111708513</v>
      </c>
      <c r="BU45" s="47" t="n">
        <f aca="false">IF(BU$4&gt;=$D$12,1/(1+$D$13)^BU44,0)</f>
        <v>0.0140871132437863</v>
      </c>
      <c r="BV45" s="47" t="n">
        <f aca="false">IF(BV$4&gt;=$D$12,1/(1+$D$13)^BV44,0)</f>
        <v>0.0131655263960619</v>
      </c>
      <c r="BW45" s="47" t="n">
        <f aca="false">IF(BW$4&gt;=$D$12,1/(1+$D$13)^BW44,0)</f>
        <v>0.0123042302766934</v>
      </c>
      <c r="BX45" s="47" t="n">
        <f aca="false">IF(BX$4&gt;=$D$12,1/(1+$D$13)^BX44,0)</f>
        <v>0.0114992806324237</v>
      </c>
    </row>
    <row r="46" customFormat="false" ht="15" hidden="false" customHeight="false" outlineLevel="0" collapsed="false">
      <c r="A46" s="1"/>
      <c r="B46" s="8" t="s">
        <v>313</v>
      </c>
      <c r="C46" s="8" t="s">
        <v>66</v>
      </c>
      <c r="D46" s="1"/>
      <c r="E46" s="1"/>
      <c r="F46" s="1"/>
      <c r="G46" s="43" t="n">
        <f aca="false">IF(G41=1,1+1.7*SIN(PI()*((G$4-$D$12+0.5)/$D$9))^2,0)</f>
        <v>0</v>
      </c>
      <c r="H46" s="43" t="n">
        <f aca="false">IF(H41=1,1+1.7*SIN(PI()*((H$4-$D$12+0.5)/$D$9))^2,0)</f>
        <v>0</v>
      </c>
      <c r="I46" s="43" t="n">
        <f aca="false">IF(I41=1,1+1.7*SIN(PI()*((I$4-$D$12+0.5)/$D$9))^2,0)</f>
        <v>0</v>
      </c>
      <c r="J46" s="43" t="n">
        <f aca="false">IF(J41=1,1+1.7*SIN(PI()*((J$4-$D$12+0.5)/$D$9))^2,0)</f>
        <v>1.16233555478129</v>
      </c>
      <c r="K46" s="43" t="n">
        <f aca="false">IF(K41=1,1+1.7*SIN(PI()*((K$4-$D$12+0.5)/$D$9))^2,0)</f>
        <v>2.11266444521871</v>
      </c>
      <c r="L46" s="43" t="n">
        <f aca="false">IF(L41=1,1+1.7*SIN(PI()*((L$4-$D$12+0.5)/$D$9))^2,0)</f>
        <v>2.7</v>
      </c>
      <c r="M46" s="43" t="n">
        <f aca="false">IF(M41=1,1+1.7*SIN(PI()*((M$4-$D$12+0.5)/$D$9))^2,0)</f>
        <v>2.11266444521871</v>
      </c>
      <c r="N46" s="43" t="n">
        <f aca="false">IF(N41=1,1+1.7*SIN(PI()*((N$4-$D$12+0.5)/$D$9))^2,0)</f>
        <v>1.16233555478129</v>
      </c>
      <c r="O46" s="43" t="n">
        <f aca="false">IF(O41=1,1+1.7*SIN(PI()*((O$4-$D$12+0.5)/$D$9))^2,0)</f>
        <v>0</v>
      </c>
      <c r="P46" s="43" t="n">
        <f aca="false">IF(P41=1,1+1.7*SIN(PI()*((P$4-$D$12+0.5)/$D$9))^2,0)</f>
        <v>0</v>
      </c>
      <c r="Q46" s="43" t="n">
        <f aca="false">IF(Q41=1,1+1.7*SIN(PI()*((Q$4-$D$12+0.5)/$D$9))^2,0)</f>
        <v>0</v>
      </c>
      <c r="R46" s="43" t="n">
        <f aca="false">IF(R41=1,1+1.7*SIN(PI()*((R$4-$D$12+0.5)/$D$9))^2,0)</f>
        <v>0</v>
      </c>
      <c r="S46" s="43" t="n">
        <f aca="false">IF(S41=1,1+1.7*SIN(PI()*((S$4-$D$12+0.5)/$D$9))^2,0)</f>
        <v>0</v>
      </c>
      <c r="T46" s="43" t="n">
        <f aca="false">IF(T41=1,1+1.7*SIN(PI()*((T$4-$D$12+0.5)/$D$9))^2,0)</f>
        <v>0</v>
      </c>
      <c r="U46" s="43" t="n">
        <f aca="false">IF(U41=1,1+1.7*SIN(PI()*((U$4-$D$12+0.5)/$D$9))^2,0)</f>
        <v>0</v>
      </c>
      <c r="V46" s="43" t="n">
        <f aca="false">IF(V41=1,1+1.7*SIN(PI()*((V$4-$D$12+0.5)/$D$9))^2,0)</f>
        <v>0</v>
      </c>
      <c r="W46" s="43" t="n">
        <f aca="false">IF(W41=1,1+1.7*SIN(PI()*((W$4-$D$12+0.5)/$D$9))^2,0)</f>
        <v>0</v>
      </c>
      <c r="X46" s="43" t="n">
        <f aca="false">IF(X41=1,1+1.7*SIN(PI()*((X$4-$D$12+0.5)/$D$9))^2,0)</f>
        <v>0</v>
      </c>
      <c r="Y46" s="43" t="n">
        <f aca="false">IF(Y41=1,1+1.7*SIN(PI()*((Y$4-$D$12+0.5)/$D$9))^2,0)</f>
        <v>0</v>
      </c>
      <c r="Z46" s="43" t="n">
        <f aca="false">IF(Z41=1,1+1.7*SIN(PI()*((Z$4-$D$12+0.5)/$D$9))^2,0)</f>
        <v>0</v>
      </c>
      <c r="AA46" s="43" t="n">
        <f aca="false">IF(AA41=1,1+1.7*SIN(PI()*((AA$4-$D$12+0.5)/$D$9))^2,0)</f>
        <v>0</v>
      </c>
      <c r="AB46" s="43" t="n">
        <f aca="false">IF(AB41=1,1+1.7*SIN(PI()*((AB$4-$D$12+0.5)/$D$9))^2,0)</f>
        <v>0</v>
      </c>
      <c r="AC46" s="43" t="n">
        <f aca="false">IF(AC41=1,1+1.7*SIN(PI()*((AC$4-$D$12+0.5)/$D$9))^2,0)</f>
        <v>0</v>
      </c>
      <c r="AD46" s="43" t="n">
        <f aca="false">IF(AD41=1,1+1.7*SIN(PI()*((AD$4-$D$12+0.5)/$D$9))^2,0)</f>
        <v>0</v>
      </c>
      <c r="AE46" s="43" t="n">
        <f aca="false">IF(AE41=1,1+1.7*SIN(PI()*((AE$4-$D$12+0.5)/$D$9))^2,0)</f>
        <v>0</v>
      </c>
      <c r="AF46" s="43" t="n">
        <f aca="false">IF(AF41=1,1+1.7*SIN(PI()*((AF$4-$D$12+0.5)/$D$9))^2,0)</f>
        <v>0</v>
      </c>
      <c r="AG46" s="43" t="n">
        <f aca="false">IF(AG41=1,1+1.7*SIN(PI()*((AG$4-$D$12+0.5)/$D$9))^2,0)</f>
        <v>0</v>
      </c>
      <c r="AH46" s="43" t="n">
        <f aca="false">IF(AH41=1,1+1.7*SIN(PI()*((AH$4-$D$12+0.5)/$D$9))^2,0)</f>
        <v>0</v>
      </c>
      <c r="AI46" s="43" t="n">
        <f aca="false">IF(AI41=1,1+1.7*SIN(PI()*((AI$4-$D$12+0.5)/$D$9))^2,0)</f>
        <v>0</v>
      </c>
      <c r="AJ46" s="43" t="n">
        <f aca="false">IF(AJ41=1,1+1.7*SIN(PI()*((AJ$4-$D$12+0.5)/$D$9))^2,0)</f>
        <v>0</v>
      </c>
      <c r="AK46" s="43" t="n">
        <f aca="false">IF(AK41=1,1+1.7*SIN(PI()*((AK$4-$D$12+0.5)/$D$9))^2,0)</f>
        <v>0</v>
      </c>
      <c r="AL46" s="43" t="n">
        <f aca="false">IF(AL41=1,1+1.7*SIN(PI()*((AL$4-$D$12+0.5)/$D$9))^2,0)</f>
        <v>0</v>
      </c>
      <c r="AM46" s="43" t="n">
        <f aca="false">IF(AM41=1,1+1.7*SIN(PI()*((AM$4-$D$12+0.5)/$D$9))^2,0)</f>
        <v>0</v>
      </c>
      <c r="AN46" s="43" t="n">
        <f aca="false">IF(AN41=1,1+1.7*SIN(PI()*((AN$4-$D$12+0.5)/$D$9))^2,0)</f>
        <v>0</v>
      </c>
      <c r="AO46" s="43" t="n">
        <f aca="false">IF(AO41=1,1+1.7*SIN(PI()*((AO$4-$D$12+0.5)/$D$9))^2,0)</f>
        <v>0</v>
      </c>
      <c r="AP46" s="43" t="n">
        <f aca="false">IF(AP41=1,1+1.7*SIN(PI()*((AP$4-$D$12+0.5)/$D$9))^2,0)</f>
        <v>0</v>
      </c>
      <c r="AQ46" s="43" t="n">
        <f aca="false">IF(AQ41=1,1+1.7*SIN(PI()*((AQ$4-$D$12+0.5)/$D$9))^2,0)</f>
        <v>0</v>
      </c>
      <c r="AR46" s="43" t="n">
        <f aca="false">IF(AR41=1,1+1.7*SIN(PI()*((AR$4-$D$12+0.5)/$D$9))^2,0)</f>
        <v>0</v>
      </c>
      <c r="AS46" s="43" t="n">
        <f aca="false">IF(AS41=1,1+1.7*SIN(PI()*((AS$4-$D$12+0.5)/$D$9))^2,0)</f>
        <v>0</v>
      </c>
      <c r="AT46" s="43" t="n">
        <f aca="false">IF(AT41=1,1+1.7*SIN(PI()*((AT$4-$D$12+0.5)/$D$9))^2,0)</f>
        <v>0</v>
      </c>
      <c r="AU46" s="43" t="n">
        <f aca="false">IF(AU41=1,1+1.7*SIN(PI()*((AU$4-$D$12+0.5)/$D$9))^2,0)</f>
        <v>0</v>
      </c>
      <c r="AV46" s="43" t="n">
        <f aca="false">IF(AV41=1,1+1.7*SIN(PI()*((AV$4-$D$12+0.5)/$D$9))^2,0)</f>
        <v>0</v>
      </c>
      <c r="AW46" s="43" t="n">
        <f aca="false">IF(AW41=1,1+1.7*SIN(PI()*((AW$4-$D$12+0.5)/$D$9))^2,0)</f>
        <v>0</v>
      </c>
      <c r="AX46" s="43" t="n">
        <f aca="false">IF(AX41=1,1+1.7*SIN(PI()*((AX$4-$D$12+0.5)/$D$9))^2,0)</f>
        <v>0</v>
      </c>
      <c r="AY46" s="43" t="n">
        <f aca="false">IF(AY41=1,1+1.7*SIN(PI()*((AY$4-$D$12+0.5)/$D$9))^2,0)</f>
        <v>0</v>
      </c>
      <c r="AZ46" s="43" t="n">
        <f aca="false">IF(AZ41=1,1+1.7*SIN(PI()*((AZ$4-$D$12+0.5)/$D$9))^2,0)</f>
        <v>0</v>
      </c>
      <c r="BA46" s="43" t="n">
        <f aca="false">IF(BA41=1,1+1.7*SIN(PI()*((BA$4-$D$12+0.5)/$D$9))^2,0)</f>
        <v>0</v>
      </c>
      <c r="BB46" s="43" t="n">
        <f aca="false">IF(BB41=1,1+1.7*SIN(PI()*((BB$4-$D$12+0.5)/$D$9))^2,0)</f>
        <v>0</v>
      </c>
      <c r="BC46" s="43" t="n">
        <f aca="false">IF(BC41=1,1+1.7*SIN(PI()*((BC$4-$D$12+0.5)/$D$9))^2,0)</f>
        <v>0</v>
      </c>
      <c r="BD46" s="43" t="n">
        <f aca="false">IF(BD41=1,1+1.7*SIN(PI()*((BD$4-$D$12+0.5)/$D$9))^2,0)</f>
        <v>0</v>
      </c>
      <c r="BE46" s="43" t="n">
        <f aca="false">IF(BE41=1,1+1.7*SIN(PI()*((BE$4-$D$12+0.5)/$D$9))^2,0)</f>
        <v>0</v>
      </c>
      <c r="BF46" s="43" t="n">
        <f aca="false">IF(BF41=1,1+1.7*SIN(PI()*((BF$4-$D$12+0.5)/$D$9))^2,0)</f>
        <v>0</v>
      </c>
      <c r="BG46" s="43" t="n">
        <f aca="false">IF(BG41=1,1+1.7*SIN(PI()*((BG$4-$D$12+0.5)/$D$9))^2,0)</f>
        <v>0</v>
      </c>
      <c r="BH46" s="43" t="n">
        <f aca="false">IF(BH41=1,1+1.7*SIN(PI()*((BH$4-$D$12+0.5)/$D$9))^2,0)</f>
        <v>0</v>
      </c>
      <c r="BI46" s="43" t="n">
        <f aca="false">IF(BI41=1,1+1.7*SIN(PI()*((BI$4-$D$12+0.5)/$D$9))^2,0)</f>
        <v>0</v>
      </c>
      <c r="BJ46" s="43" t="n">
        <f aca="false">IF(BJ41=1,1+1.7*SIN(PI()*((BJ$4-$D$12+0.5)/$D$9))^2,0)</f>
        <v>0</v>
      </c>
      <c r="BK46" s="43" t="n">
        <f aca="false">IF(BK41=1,1+1.7*SIN(PI()*((BK$4-$D$12+0.5)/$D$9))^2,0)</f>
        <v>0</v>
      </c>
      <c r="BL46" s="43" t="n">
        <f aca="false">IF(BL41=1,1+1.7*SIN(PI()*((BL$4-$D$12+0.5)/$D$9))^2,0)</f>
        <v>0</v>
      </c>
      <c r="BM46" s="43" t="n">
        <f aca="false">IF(BM41=1,1+1.7*SIN(PI()*((BM$4-$D$12+0.5)/$D$9))^2,0)</f>
        <v>0</v>
      </c>
      <c r="BN46" s="43" t="n">
        <f aca="false">IF(BN41=1,1+1.7*SIN(PI()*((BN$4-$D$12+0.5)/$D$9))^2,0)</f>
        <v>0</v>
      </c>
      <c r="BO46" s="43" t="n">
        <f aca="false">IF(BO41=1,1+1.7*SIN(PI()*((BO$4-$D$12+0.5)/$D$9))^2,0)</f>
        <v>0</v>
      </c>
      <c r="BP46" s="43" t="n">
        <f aca="false">IF(BP41=1,1+1.7*SIN(PI()*((BP$4-$D$12+0.5)/$D$9))^2,0)</f>
        <v>0</v>
      </c>
      <c r="BQ46" s="43" t="n">
        <f aca="false">IF(BQ41=1,1+1.7*SIN(PI()*((BQ$4-$D$12+0.5)/$D$9))^2,0)</f>
        <v>0</v>
      </c>
      <c r="BR46" s="43" t="n">
        <f aca="false">IF(BR41=1,1+1.7*SIN(PI()*((BR$4-$D$12+0.5)/$D$9))^2,0)</f>
        <v>0</v>
      </c>
      <c r="BS46" s="43" t="n">
        <f aca="false">IF(BS41=1,1+1.7*SIN(PI()*((BS$4-$D$12+0.5)/$D$9))^2,0)</f>
        <v>0</v>
      </c>
      <c r="BT46" s="43" t="n">
        <f aca="false">IF(BT41=1,1+1.7*SIN(PI()*((BT$4-$D$12+0.5)/$D$9))^2,0)</f>
        <v>0</v>
      </c>
      <c r="BU46" s="43" t="n">
        <f aca="false">IF(BU41=1,1+1.7*SIN(PI()*((BU$4-$D$12+0.5)/$D$9))^2,0)</f>
        <v>0</v>
      </c>
      <c r="BV46" s="43" t="n">
        <f aca="false">IF(BV41=1,1+1.7*SIN(PI()*((BV$4-$D$12+0.5)/$D$9))^2,0)</f>
        <v>0</v>
      </c>
      <c r="BW46" s="43" t="n">
        <f aca="false">IF(BW41=1,1+1.7*SIN(PI()*((BW$4-$D$12+0.5)/$D$9))^2,0)</f>
        <v>0</v>
      </c>
      <c r="BX46" s="43" t="n">
        <f aca="false">IF(BX41=1,1+1.7*SIN(PI()*((BX$4-$D$12+0.5)/$D$9))^2,0)</f>
        <v>0</v>
      </c>
    </row>
    <row r="47" customFormat="false" ht="15" hidden="false" customHeight="false" outlineLevel="0" collapsed="false">
      <c r="A47" s="1"/>
      <c r="B47" s="8" t="s">
        <v>314</v>
      </c>
      <c r="C47" s="8" t="s">
        <v>66</v>
      </c>
      <c r="D47" s="1"/>
      <c r="E47" s="1"/>
      <c r="F47" s="1"/>
      <c r="G47" s="43" t="n">
        <f aca="false">IF(SUM($G46:$BX46)&gt;0,G46/SUM($G46:$BX46),0)</f>
        <v>0</v>
      </c>
      <c r="H47" s="43" t="n">
        <f aca="false">IF(SUM($G46:$BX46)&gt;0,H46/SUM($G46:$BX46),0)</f>
        <v>0</v>
      </c>
      <c r="I47" s="43" t="n">
        <f aca="false">IF(SUM($G46:$BX46)&gt;0,I46/SUM($G46:$BX46),0)</f>
        <v>0</v>
      </c>
      <c r="J47" s="43" t="n">
        <f aca="false">IF(SUM($G46:$BX46)&gt;0,J46/SUM($G46:$BX46),0)</f>
        <v>0.125657897814194</v>
      </c>
      <c r="K47" s="43" t="n">
        <f aca="false">IF(SUM($G46:$BX46)&gt;0,K46/SUM($G46:$BX46),0)</f>
        <v>0.22839615623986</v>
      </c>
      <c r="L47" s="43" t="n">
        <f aca="false">IF(SUM($G46:$BX46)&gt;0,L46/SUM($G46:$BX46),0)</f>
        <v>0.291891891891892</v>
      </c>
      <c r="M47" s="43" t="n">
        <f aca="false">IF(SUM($G46:$BX46)&gt;0,M46/SUM($G46:$BX46),0)</f>
        <v>0.22839615623986</v>
      </c>
      <c r="N47" s="43" t="n">
        <f aca="false">IF(SUM($G46:$BX46)&gt;0,N46/SUM($G46:$BX46),0)</f>
        <v>0.125657897814194</v>
      </c>
      <c r="O47" s="43" t="n">
        <f aca="false">IF(SUM($G46:$BX46)&gt;0,O46/SUM($G46:$BX46),0)</f>
        <v>0</v>
      </c>
      <c r="P47" s="43" t="n">
        <f aca="false">IF(SUM($G46:$BX46)&gt;0,P46/SUM($G46:$BX46),0)</f>
        <v>0</v>
      </c>
      <c r="Q47" s="43" t="n">
        <f aca="false">IF(SUM($G46:$BX46)&gt;0,Q46/SUM($G46:$BX46),0)</f>
        <v>0</v>
      </c>
      <c r="R47" s="43" t="n">
        <f aca="false">IF(SUM($G46:$BX46)&gt;0,R46/SUM($G46:$BX46),0)</f>
        <v>0</v>
      </c>
      <c r="S47" s="43" t="n">
        <f aca="false">IF(SUM($G46:$BX46)&gt;0,S46/SUM($G46:$BX46),0)</f>
        <v>0</v>
      </c>
      <c r="T47" s="43" t="n">
        <f aca="false">IF(SUM($G46:$BX46)&gt;0,T46/SUM($G46:$BX46),0)</f>
        <v>0</v>
      </c>
      <c r="U47" s="43" t="n">
        <f aca="false">IF(SUM($G46:$BX46)&gt;0,U46/SUM($G46:$BX46),0)</f>
        <v>0</v>
      </c>
      <c r="V47" s="43" t="n">
        <f aca="false">IF(SUM($G46:$BX46)&gt;0,V46/SUM($G46:$BX46),0)</f>
        <v>0</v>
      </c>
      <c r="W47" s="43" t="n">
        <f aca="false">IF(SUM($G46:$BX46)&gt;0,W46/SUM($G46:$BX46),0)</f>
        <v>0</v>
      </c>
      <c r="X47" s="43" t="n">
        <f aca="false">IF(SUM($G46:$BX46)&gt;0,X46/SUM($G46:$BX46),0)</f>
        <v>0</v>
      </c>
      <c r="Y47" s="43" t="n">
        <f aca="false">IF(SUM($G46:$BX46)&gt;0,Y46/SUM($G46:$BX46),0)</f>
        <v>0</v>
      </c>
      <c r="Z47" s="43" t="n">
        <f aca="false">IF(SUM($G46:$BX46)&gt;0,Z46/SUM($G46:$BX46),0)</f>
        <v>0</v>
      </c>
      <c r="AA47" s="43" t="n">
        <f aca="false">IF(SUM($G46:$BX46)&gt;0,AA46/SUM($G46:$BX46),0)</f>
        <v>0</v>
      </c>
      <c r="AB47" s="43" t="n">
        <f aca="false">IF(SUM($G46:$BX46)&gt;0,AB46/SUM($G46:$BX46),0)</f>
        <v>0</v>
      </c>
      <c r="AC47" s="43" t="n">
        <f aca="false">IF(SUM($G46:$BX46)&gt;0,AC46/SUM($G46:$BX46),0)</f>
        <v>0</v>
      </c>
      <c r="AD47" s="43" t="n">
        <f aca="false">IF(SUM($G46:$BX46)&gt;0,AD46/SUM($G46:$BX46),0)</f>
        <v>0</v>
      </c>
      <c r="AE47" s="43" t="n">
        <f aca="false">IF(SUM($G46:$BX46)&gt;0,AE46/SUM($G46:$BX46),0)</f>
        <v>0</v>
      </c>
      <c r="AF47" s="43" t="n">
        <f aca="false">IF(SUM($G46:$BX46)&gt;0,AF46/SUM($G46:$BX46),0)</f>
        <v>0</v>
      </c>
      <c r="AG47" s="43" t="n">
        <f aca="false">IF(SUM($G46:$BX46)&gt;0,AG46/SUM($G46:$BX46),0)</f>
        <v>0</v>
      </c>
      <c r="AH47" s="43" t="n">
        <f aca="false">IF(SUM($G46:$BX46)&gt;0,AH46/SUM($G46:$BX46),0)</f>
        <v>0</v>
      </c>
      <c r="AI47" s="43" t="n">
        <f aca="false">IF(SUM($G46:$BX46)&gt;0,AI46/SUM($G46:$BX46),0)</f>
        <v>0</v>
      </c>
      <c r="AJ47" s="43" t="n">
        <f aca="false">IF(SUM($G46:$BX46)&gt;0,AJ46/SUM($G46:$BX46),0)</f>
        <v>0</v>
      </c>
      <c r="AK47" s="43" t="n">
        <f aca="false">IF(SUM($G46:$BX46)&gt;0,AK46/SUM($G46:$BX46),0)</f>
        <v>0</v>
      </c>
      <c r="AL47" s="43" t="n">
        <f aca="false">IF(SUM($G46:$BX46)&gt;0,AL46/SUM($G46:$BX46),0)</f>
        <v>0</v>
      </c>
      <c r="AM47" s="43" t="n">
        <f aca="false">IF(SUM($G46:$BX46)&gt;0,AM46/SUM($G46:$BX46),0)</f>
        <v>0</v>
      </c>
      <c r="AN47" s="43" t="n">
        <f aca="false">IF(SUM($G46:$BX46)&gt;0,AN46/SUM($G46:$BX46),0)</f>
        <v>0</v>
      </c>
      <c r="AO47" s="43" t="n">
        <f aca="false">IF(SUM($G46:$BX46)&gt;0,AO46/SUM($G46:$BX46),0)</f>
        <v>0</v>
      </c>
      <c r="AP47" s="43" t="n">
        <f aca="false">IF(SUM($G46:$BX46)&gt;0,AP46/SUM($G46:$BX46),0)</f>
        <v>0</v>
      </c>
      <c r="AQ47" s="43" t="n">
        <f aca="false">IF(SUM($G46:$BX46)&gt;0,AQ46/SUM($G46:$BX46),0)</f>
        <v>0</v>
      </c>
      <c r="AR47" s="43" t="n">
        <f aca="false">IF(SUM($G46:$BX46)&gt;0,AR46/SUM($G46:$BX46),0)</f>
        <v>0</v>
      </c>
      <c r="AS47" s="43" t="n">
        <f aca="false">IF(SUM($G46:$BX46)&gt;0,AS46/SUM($G46:$BX46),0)</f>
        <v>0</v>
      </c>
      <c r="AT47" s="43" t="n">
        <f aca="false">IF(SUM($G46:$BX46)&gt;0,AT46/SUM($G46:$BX46),0)</f>
        <v>0</v>
      </c>
      <c r="AU47" s="43" t="n">
        <f aca="false">IF(SUM($G46:$BX46)&gt;0,AU46/SUM($G46:$BX46),0)</f>
        <v>0</v>
      </c>
      <c r="AV47" s="43" t="n">
        <f aca="false">IF(SUM($G46:$BX46)&gt;0,AV46/SUM($G46:$BX46),0)</f>
        <v>0</v>
      </c>
      <c r="AW47" s="43" t="n">
        <f aca="false">IF(SUM($G46:$BX46)&gt;0,AW46/SUM($G46:$BX46),0)</f>
        <v>0</v>
      </c>
      <c r="AX47" s="43" t="n">
        <f aca="false">IF(SUM($G46:$BX46)&gt;0,AX46/SUM($G46:$BX46),0)</f>
        <v>0</v>
      </c>
      <c r="AY47" s="43" t="n">
        <f aca="false">IF(SUM($G46:$BX46)&gt;0,AY46/SUM($G46:$BX46),0)</f>
        <v>0</v>
      </c>
      <c r="AZ47" s="43" t="n">
        <f aca="false">IF(SUM($G46:$BX46)&gt;0,AZ46/SUM($G46:$BX46),0)</f>
        <v>0</v>
      </c>
      <c r="BA47" s="43" t="n">
        <f aca="false">IF(SUM($G46:$BX46)&gt;0,BA46/SUM($G46:$BX46),0)</f>
        <v>0</v>
      </c>
      <c r="BB47" s="43" t="n">
        <f aca="false">IF(SUM($G46:$BX46)&gt;0,BB46/SUM($G46:$BX46),0)</f>
        <v>0</v>
      </c>
      <c r="BC47" s="43" t="n">
        <f aca="false">IF(SUM($G46:$BX46)&gt;0,BC46/SUM($G46:$BX46),0)</f>
        <v>0</v>
      </c>
      <c r="BD47" s="43" t="n">
        <f aca="false">IF(SUM($G46:$BX46)&gt;0,BD46/SUM($G46:$BX46),0)</f>
        <v>0</v>
      </c>
      <c r="BE47" s="43" t="n">
        <f aca="false">IF(SUM($G46:$BX46)&gt;0,BE46/SUM($G46:$BX46),0)</f>
        <v>0</v>
      </c>
      <c r="BF47" s="43" t="n">
        <f aca="false">IF(SUM($G46:$BX46)&gt;0,BF46/SUM($G46:$BX46),0)</f>
        <v>0</v>
      </c>
      <c r="BG47" s="43" t="n">
        <f aca="false">IF(SUM($G46:$BX46)&gt;0,BG46/SUM($G46:$BX46),0)</f>
        <v>0</v>
      </c>
      <c r="BH47" s="43" t="n">
        <f aca="false">IF(SUM($G46:$BX46)&gt;0,BH46/SUM($G46:$BX46),0)</f>
        <v>0</v>
      </c>
      <c r="BI47" s="43" t="n">
        <f aca="false">IF(SUM($G46:$BX46)&gt;0,BI46/SUM($G46:$BX46),0)</f>
        <v>0</v>
      </c>
      <c r="BJ47" s="43" t="n">
        <f aca="false">IF(SUM($G46:$BX46)&gt;0,BJ46/SUM($G46:$BX46),0)</f>
        <v>0</v>
      </c>
      <c r="BK47" s="43" t="n">
        <f aca="false">IF(SUM($G46:$BX46)&gt;0,BK46/SUM($G46:$BX46),0)</f>
        <v>0</v>
      </c>
      <c r="BL47" s="43" t="n">
        <f aca="false">IF(SUM($G46:$BX46)&gt;0,BL46/SUM($G46:$BX46),0)</f>
        <v>0</v>
      </c>
      <c r="BM47" s="43" t="n">
        <f aca="false">IF(SUM($G46:$BX46)&gt;0,BM46/SUM($G46:$BX46),0)</f>
        <v>0</v>
      </c>
      <c r="BN47" s="43" t="n">
        <f aca="false">IF(SUM($G46:$BX46)&gt;0,BN46/SUM($G46:$BX46),0)</f>
        <v>0</v>
      </c>
      <c r="BO47" s="43" t="n">
        <f aca="false">IF(SUM($G46:$BX46)&gt;0,BO46/SUM($G46:$BX46),0)</f>
        <v>0</v>
      </c>
      <c r="BP47" s="43" t="n">
        <f aca="false">IF(SUM($G46:$BX46)&gt;0,BP46/SUM($G46:$BX46),0)</f>
        <v>0</v>
      </c>
      <c r="BQ47" s="43" t="n">
        <f aca="false">IF(SUM($G46:$BX46)&gt;0,BQ46/SUM($G46:$BX46),0)</f>
        <v>0</v>
      </c>
      <c r="BR47" s="43" t="n">
        <f aca="false">IF(SUM($G46:$BX46)&gt;0,BR46/SUM($G46:$BX46),0)</f>
        <v>0</v>
      </c>
      <c r="BS47" s="43" t="n">
        <f aca="false">IF(SUM($G46:$BX46)&gt;0,BS46/SUM($G46:$BX46),0)</f>
        <v>0</v>
      </c>
      <c r="BT47" s="43" t="n">
        <f aca="false">IF(SUM($G46:$BX46)&gt;0,BT46/SUM($G46:$BX46),0)</f>
        <v>0</v>
      </c>
      <c r="BU47" s="43" t="n">
        <f aca="false">IF(SUM($G46:$BX46)&gt;0,BU46/SUM($G46:$BX46),0)</f>
        <v>0</v>
      </c>
      <c r="BV47" s="43" t="n">
        <f aca="false">IF(SUM($G46:$BX46)&gt;0,BV46/SUM($G46:$BX46),0)</f>
        <v>0</v>
      </c>
      <c r="BW47" s="43" t="n">
        <f aca="false">IF(SUM($G46:$BX46)&gt;0,BW46/SUM($G46:$BX46),0)</f>
        <v>0</v>
      </c>
      <c r="BX47" s="43" t="n">
        <f aca="false">IF(SUM($G46:$BX46)&gt;0,BX46/SUM($G46:$BX46),0)</f>
        <v>0</v>
      </c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</row>
    <row r="49" customFormat="false" ht="15" hidden="false" customHeight="false" outlineLevel="0" collapsed="false">
      <c r="A49" s="1"/>
      <c r="B49" s="13" t="s">
        <v>315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</row>
    <row r="50" customFormat="false" ht="15" hidden="false" customHeight="false" outlineLevel="0" collapsed="false">
      <c r="A50" s="1"/>
      <c r="B50" s="8" t="s">
        <v>316</v>
      </c>
      <c r="C50" s="8" t="s">
        <v>126</v>
      </c>
      <c r="D50" s="44" t="n">
        <f aca="false">SUM(G50:BX50)</f>
        <v>11400</v>
      </c>
      <c r="E50" s="1"/>
      <c r="F50" s="1"/>
      <c r="G50" s="48" t="n">
        <f aca="false">$D$24*G47</f>
        <v>0</v>
      </c>
      <c r="H50" s="48" t="n">
        <f aca="false">$D$24*H47</f>
        <v>0</v>
      </c>
      <c r="I50" s="48" t="n">
        <f aca="false">$D$24*I47</f>
        <v>0</v>
      </c>
      <c r="J50" s="48" t="n">
        <f aca="false">$D$24*J47</f>
        <v>1432.50003508181</v>
      </c>
      <c r="K50" s="48" t="n">
        <f aca="false">$D$24*K47</f>
        <v>2603.7161811344</v>
      </c>
      <c r="L50" s="48" t="n">
        <f aca="false">$D$24*L47</f>
        <v>3327.56756756757</v>
      </c>
      <c r="M50" s="48" t="n">
        <f aca="false">$D$24*M47</f>
        <v>2603.7161811344</v>
      </c>
      <c r="N50" s="48" t="n">
        <f aca="false">$D$24*N47</f>
        <v>1432.50003508181</v>
      </c>
      <c r="O50" s="48" t="n">
        <f aca="false">$D$24*O47</f>
        <v>0</v>
      </c>
      <c r="P50" s="48" t="n">
        <f aca="false">$D$24*P47</f>
        <v>0</v>
      </c>
      <c r="Q50" s="48" t="n">
        <f aca="false">$D$24*Q47</f>
        <v>0</v>
      </c>
      <c r="R50" s="48" t="n">
        <f aca="false">$D$24*R47</f>
        <v>0</v>
      </c>
      <c r="S50" s="48" t="n">
        <f aca="false">$D$24*S47</f>
        <v>0</v>
      </c>
      <c r="T50" s="48" t="n">
        <f aca="false">$D$24*T47</f>
        <v>0</v>
      </c>
      <c r="U50" s="48" t="n">
        <f aca="false">$D$24*U47</f>
        <v>0</v>
      </c>
      <c r="V50" s="48" t="n">
        <f aca="false">$D$24*V47</f>
        <v>0</v>
      </c>
      <c r="W50" s="48" t="n">
        <f aca="false">$D$24*W47</f>
        <v>0</v>
      </c>
      <c r="X50" s="48" t="n">
        <f aca="false">$D$24*X47</f>
        <v>0</v>
      </c>
      <c r="Y50" s="48" t="n">
        <f aca="false">$D$24*Y47</f>
        <v>0</v>
      </c>
      <c r="Z50" s="48" t="n">
        <f aca="false">$D$24*Z47</f>
        <v>0</v>
      </c>
      <c r="AA50" s="48" t="n">
        <f aca="false">$D$24*AA47</f>
        <v>0</v>
      </c>
      <c r="AB50" s="48" t="n">
        <f aca="false">$D$24*AB47</f>
        <v>0</v>
      </c>
      <c r="AC50" s="48" t="n">
        <f aca="false">$D$24*AC47</f>
        <v>0</v>
      </c>
      <c r="AD50" s="48" t="n">
        <f aca="false">$D$24*AD47</f>
        <v>0</v>
      </c>
      <c r="AE50" s="48" t="n">
        <f aca="false">$D$24*AE47</f>
        <v>0</v>
      </c>
      <c r="AF50" s="48" t="n">
        <f aca="false">$D$24*AF47</f>
        <v>0</v>
      </c>
      <c r="AG50" s="48" t="n">
        <f aca="false">$D$24*AG47</f>
        <v>0</v>
      </c>
      <c r="AH50" s="48" t="n">
        <f aca="false">$D$24*AH47</f>
        <v>0</v>
      </c>
      <c r="AI50" s="48" t="n">
        <f aca="false">$D$24*AI47</f>
        <v>0</v>
      </c>
      <c r="AJ50" s="48" t="n">
        <f aca="false">$D$24*AJ47</f>
        <v>0</v>
      </c>
      <c r="AK50" s="48" t="n">
        <f aca="false">$D$24*AK47</f>
        <v>0</v>
      </c>
      <c r="AL50" s="48" t="n">
        <f aca="false">$D$24*AL47</f>
        <v>0</v>
      </c>
      <c r="AM50" s="48" t="n">
        <f aca="false">$D$24*AM47</f>
        <v>0</v>
      </c>
      <c r="AN50" s="48" t="n">
        <f aca="false">$D$24*AN47</f>
        <v>0</v>
      </c>
      <c r="AO50" s="48" t="n">
        <f aca="false">$D$24*AO47</f>
        <v>0</v>
      </c>
      <c r="AP50" s="48" t="n">
        <f aca="false">$D$24*AP47</f>
        <v>0</v>
      </c>
      <c r="AQ50" s="48" t="n">
        <f aca="false">$D$24*AQ47</f>
        <v>0</v>
      </c>
      <c r="AR50" s="48" t="n">
        <f aca="false">$D$24*AR47</f>
        <v>0</v>
      </c>
      <c r="AS50" s="48" t="n">
        <f aca="false">$D$24*AS47</f>
        <v>0</v>
      </c>
      <c r="AT50" s="48" t="n">
        <f aca="false">$D$24*AT47</f>
        <v>0</v>
      </c>
      <c r="AU50" s="48" t="n">
        <f aca="false">$D$24*AU47</f>
        <v>0</v>
      </c>
      <c r="AV50" s="48" t="n">
        <f aca="false">$D$24*AV47</f>
        <v>0</v>
      </c>
      <c r="AW50" s="48" t="n">
        <f aca="false">$D$24*AW47</f>
        <v>0</v>
      </c>
      <c r="AX50" s="48" t="n">
        <f aca="false">$D$24*AX47</f>
        <v>0</v>
      </c>
      <c r="AY50" s="48" t="n">
        <f aca="false">$D$24*AY47</f>
        <v>0</v>
      </c>
      <c r="AZ50" s="48" t="n">
        <f aca="false">$D$24*AZ47</f>
        <v>0</v>
      </c>
      <c r="BA50" s="48" t="n">
        <f aca="false">$D$24*BA47</f>
        <v>0</v>
      </c>
      <c r="BB50" s="48" t="n">
        <f aca="false">$D$24*BB47</f>
        <v>0</v>
      </c>
      <c r="BC50" s="48" t="n">
        <f aca="false">$D$24*BC47</f>
        <v>0</v>
      </c>
      <c r="BD50" s="48" t="n">
        <f aca="false">$D$24*BD47</f>
        <v>0</v>
      </c>
      <c r="BE50" s="48" t="n">
        <f aca="false">$D$24*BE47</f>
        <v>0</v>
      </c>
      <c r="BF50" s="48" t="n">
        <f aca="false">$D$24*BF47</f>
        <v>0</v>
      </c>
      <c r="BG50" s="48" t="n">
        <f aca="false">$D$24*BG47</f>
        <v>0</v>
      </c>
      <c r="BH50" s="48" t="n">
        <f aca="false">$D$24*BH47</f>
        <v>0</v>
      </c>
      <c r="BI50" s="48" t="n">
        <f aca="false">$D$24*BI47</f>
        <v>0</v>
      </c>
      <c r="BJ50" s="48" t="n">
        <f aca="false">$D$24*BJ47</f>
        <v>0</v>
      </c>
      <c r="BK50" s="48" t="n">
        <f aca="false">$D$24*BK47</f>
        <v>0</v>
      </c>
      <c r="BL50" s="48" t="n">
        <f aca="false">$D$24*BL47</f>
        <v>0</v>
      </c>
      <c r="BM50" s="48" t="n">
        <f aca="false">$D$24*BM47</f>
        <v>0</v>
      </c>
      <c r="BN50" s="48" t="n">
        <f aca="false">$D$24*BN47</f>
        <v>0</v>
      </c>
      <c r="BO50" s="48" t="n">
        <f aca="false">$D$24*BO47</f>
        <v>0</v>
      </c>
      <c r="BP50" s="48" t="n">
        <f aca="false">$D$24*BP47</f>
        <v>0</v>
      </c>
      <c r="BQ50" s="48" t="n">
        <f aca="false">$D$24*BQ47</f>
        <v>0</v>
      </c>
      <c r="BR50" s="48" t="n">
        <f aca="false">$D$24*BR47</f>
        <v>0</v>
      </c>
      <c r="BS50" s="48" t="n">
        <f aca="false">$D$24*BS47</f>
        <v>0</v>
      </c>
      <c r="BT50" s="48" t="n">
        <f aca="false">$D$24*BT47</f>
        <v>0</v>
      </c>
      <c r="BU50" s="48" t="n">
        <f aca="false">$D$24*BU47</f>
        <v>0</v>
      </c>
      <c r="BV50" s="48" t="n">
        <f aca="false">$D$24*BV47</f>
        <v>0</v>
      </c>
      <c r="BW50" s="48" t="n">
        <f aca="false">$D$24*BW47</f>
        <v>0</v>
      </c>
      <c r="BX50" s="48" t="n">
        <f aca="false">$D$24*BX47</f>
        <v>0</v>
      </c>
    </row>
    <row r="51" customFormat="false" ht="15" hidden="false" customHeight="false" outlineLevel="0" collapsed="false">
      <c r="A51" s="1"/>
      <c r="B51" s="8" t="s">
        <v>317</v>
      </c>
      <c r="C51" s="8" t="s">
        <v>126</v>
      </c>
      <c r="D51" s="44" t="n">
        <f aca="false">SUM(G51:BX51)</f>
        <v>1175</v>
      </c>
      <c r="E51" s="1"/>
      <c r="F51" s="1"/>
      <c r="G51" s="48" t="n">
        <f aca="false">IF(G$4=$D$12,$D$28,0)+IF(G$4=$D$10-1,$D$29,0)+$D$30*G47</f>
        <v>0</v>
      </c>
      <c r="H51" s="48" t="n">
        <f aca="false">IF(H$4=$D$12,$D$28,0)+IF(H$4=$D$10-1,$D$29,0)+$D$30*H47</f>
        <v>0</v>
      </c>
      <c r="I51" s="48" t="n">
        <f aca="false">IF(I$4=$D$12,$D$28,0)+IF(I$4=$D$10-1,$D$29,0)+$D$30*I47</f>
        <v>0</v>
      </c>
      <c r="J51" s="48" t="n">
        <f aca="false">IF(J$4=$D$12,$D$28,0)+IF(J$4=$D$10-1,$D$29,0)+$D$30*J47</f>
        <v>515.707237226774</v>
      </c>
      <c r="K51" s="48" t="n">
        <f aca="false">IF(K$4=$D$12,$D$28,0)+IF(K$4=$D$10-1,$D$29,0)+$D$30*K47</f>
        <v>28.5495195299825</v>
      </c>
      <c r="L51" s="48" t="n">
        <f aca="false">IF(L$4=$D$12,$D$28,0)+IF(L$4=$D$10-1,$D$29,0)+$D$30*L47</f>
        <v>36.4864864864865</v>
      </c>
      <c r="M51" s="48" t="n">
        <f aca="false">IF(M$4=$D$12,$D$28,0)+IF(M$4=$D$10-1,$D$29,0)+$D$30*M47</f>
        <v>28.5495195299825</v>
      </c>
      <c r="N51" s="48" t="n">
        <f aca="false">IF(N$4=$D$12,$D$28,0)+IF(N$4=$D$10-1,$D$29,0)+$D$30*N47</f>
        <v>565.707237226774</v>
      </c>
      <c r="O51" s="48" t="n">
        <f aca="false">IF(O$4=$D$12,$D$28,0)+IF(O$4=$D$10-1,$D$29,0)+$D$30*O47</f>
        <v>0</v>
      </c>
      <c r="P51" s="48" t="n">
        <f aca="false">IF(P$4=$D$12,$D$28,0)+IF(P$4=$D$10-1,$D$29,0)+$D$30*P47</f>
        <v>0</v>
      </c>
      <c r="Q51" s="48" t="n">
        <f aca="false">IF(Q$4=$D$12,$D$28,0)+IF(Q$4=$D$10-1,$D$29,0)+$D$30*Q47</f>
        <v>0</v>
      </c>
      <c r="R51" s="48" t="n">
        <f aca="false">IF(R$4=$D$12,$D$28,0)+IF(R$4=$D$10-1,$D$29,0)+$D$30*R47</f>
        <v>0</v>
      </c>
      <c r="S51" s="48" t="n">
        <f aca="false">IF(S$4=$D$12,$D$28,0)+IF(S$4=$D$10-1,$D$29,0)+$D$30*S47</f>
        <v>0</v>
      </c>
      <c r="T51" s="48" t="n">
        <f aca="false">IF(T$4=$D$12,$D$28,0)+IF(T$4=$D$10-1,$D$29,0)+$D$30*T47</f>
        <v>0</v>
      </c>
      <c r="U51" s="48" t="n">
        <f aca="false">IF(U$4=$D$12,$D$28,0)+IF(U$4=$D$10-1,$D$29,0)+$D$30*U47</f>
        <v>0</v>
      </c>
      <c r="V51" s="48" t="n">
        <f aca="false">IF(V$4=$D$12,$D$28,0)+IF(V$4=$D$10-1,$D$29,0)+$D$30*V47</f>
        <v>0</v>
      </c>
      <c r="W51" s="48" t="n">
        <f aca="false">IF(W$4=$D$12,$D$28,0)+IF(W$4=$D$10-1,$D$29,0)+$D$30*W47</f>
        <v>0</v>
      </c>
      <c r="X51" s="48" t="n">
        <f aca="false">IF(X$4=$D$12,$D$28,0)+IF(X$4=$D$10-1,$D$29,0)+$D$30*X47</f>
        <v>0</v>
      </c>
      <c r="Y51" s="48" t="n">
        <f aca="false">IF(Y$4=$D$12,$D$28,0)+IF(Y$4=$D$10-1,$D$29,0)+$D$30*Y47</f>
        <v>0</v>
      </c>
      <c r="Z51" s="48" t="n">
        <f aca="false">IF(Z$4=$D$12,$D$28,0)+IF(Z$4=$D$10-1,$D$29,0)+$D$30*Z47</f>
        <v>0</v>
      </c>
      <c r="AA51" s="48" t="n">
        <f aca="false">IF(AA$4=$D$12,$D$28,0)+IF(AA$4=$D$10-1,$D$29,0)+$D$30*AA47</f>
        <v>0</v>
      </c>
      <c r="AB51" s="48" t="n">
        <f aca="false">IF(AB$4=$D$12,$D$28,0)+IF(AB$4=$D$10-1,$D$29,0)+$D$30*AB47</f>
        <v>0</v>
      </c>
      <c r="AC51" s="48" t="n">
        <f aca="false">IF(AC$4=$D$12,$D$28,0)+IF(AC$4=$D$10-1,$D$29,0)+$D$30*AC47</f>
        <v>0</v>
      </c>
      <c r="AD51" s="48" t="n">
        <f aca="false">IF(AD$4=$D$12,$D$28,0)+IF(AD$4=$D$10-1,$D$29,0)+$D$30*AD47</f>
        <v>0</v>
      </c>
      <c r="AE51" s="48" t="n">
        <f aca="false">IF(AE$4=$D$12,$D$28,0)+IF(AE$4=$D$10-1,$D$29,0)+$D$30*AE47</f>
        <v>0</v>
      </c>
      <c r="AF51" s="48" t="n">
        <f aca="false">IF(AF$4=$D$12,$D$28,0)+IF(AF$4=$D$10-1,$D$29,0)+$D$30*AF47</f>
        <v>0</v>
      </c>
      <c r="AG51" s="48" t="n">
        <f aca="false">IF(AG$4=$D$12,$D$28,0)+IF(AG$4=$D$10-1,$D$29,0)+$D$30*AG47</f>
        <v>0</v>
      </c>
      <c r="AH51" s="48" t="n">
        <f aca="false">IF(AH$4=$D$12,$D$28,0)+IF(AH$4=$D$10-1,$D$29,0)+$D$30*AH47</f>
        <v>0</v>
      </c>
      <c r="AI51" s="48" t="n">
        <f aca="false">IF(AI$4=$D$12,$D$28,0)+IF(AI$4=$D$10-1,$D$29,0)+$D$30*AI47</f>
        <v>0</v>
      </c>
      <c r="AJ51" s="48" t="n">
        <f aca="false">IF(AJ$4=$D$12,$D$28,0)+IF(AJ$4=$D$10-1,$D$29,0)+$D$30*AJ47</f>
        <v>0</v>
      </c>
      <c r="AK51" s="48" t="n">
        <f aca="false">IF(AK$4=$D$12,$D$28,0)+IF(AK$4=$D$10-1,$D$29,0)+$D$30*AK47</f>
        <v>0</v>
      </c>
      <c r="AL51" s="48" t="n">
        <f aca="false">IF(AL$4=$D$12,$D$28,0)+IF(AL$4=$D$10-1,$D$29,0)+$D$30*AL47</f>
        <v>0</v>
      </c>
      <c r="AM51" s="48" t="n">
        <f aca="false">IF(AM$4=$D$12,$D$28,0)+IF(AM$4=$D$10-1,$D$29,0)+$D$30*AM47</f>
        <v>0</v>
      </c>
      <c r="AN51" s="48" t="n">
        <f aca="false">IF(AN$4=$D$12,$D$28,0)+IF(AN$4=$D$10-1,$D$29,0)+$D$30*AN47</f>
        <v>0</v>
      </c>
      <c r="AO51" s="48" t="n">
        <f aca="false">IF(AO$4=$D$12,$D$28,0)+IF(AO$4=$D$10-1,$D$29,0)+$D$30*AO47</f>
        <v>0</v>
      </c>
      <c r="AP51" s="48" t="n">
        <f aca="false">IF(AP$4=$D$12,$D$28,0)+IF(AP$4=$D$10-1,$D$29,0)+$D$30*AP47</f>
        <v>0</v>
      </c>
      <c r="AQ51" s="48" t="n">
        <f aca="false">IF(AQ$4=$D$12,$D$28,0)+IF(AQ$4=$D$10-1,$D$29,0)+$D$30*AQ47</f>
        <v>0</v>
      </c>
      <c r="AR51" s="48" t="n">
        <f aca="false">IF(AR$4=$D$12,$D$28,0)+IF(AR$4=$D$10-1,$D$29,0)+$D$30*AR47</f>
        <v>0</v>
      </c>
      <c r="AS51" s="48" t="n">
        <f aca="false">IF(AS$4=$D$12,$D$28,0)+IF(AS$4=$D$10-1,$D$29,0)+$D$30*AS47</f>
        <v>0</v>
      </c>
      <c r="AT51" s="48" t="n">
        <f aca="false">IF(AT$4=$D$12,$D$28,0)+IF(AT$4=$D$10-1,$D$29,0)+$D$30*AT47</f>
        <v>0</v>
      </c>
      <c r="AU51" s="48" t="n">
        <f aca="false">IF(AU$4=$D$12,$D$28,0)+IF(AU$4=$D$10-1,$D$29,0)+$D$30*AU47</f>
        <v>0</v>
      </c>
      <c r="AV51" s="48" t="n">
        <f aca="false">IF(AV$4=$D$12,$D$28,0)+IF(AV$4=$D$10-1,$D$29,0)+$D$30*AV47</f>
        <v>0</v>
      </c>
      <c r="AW51" s="48" t="n">
        <f aca="false">IF(AW$4=$D$12,$D$28,0)+IF(AW$4=$D$10-1,$D$29,0)+$D$30*AW47</f>
        <v>0</v>
      </c>
      <c r="AX51" s="48" t="n">
        <f aca="false">IF(AX$4=$D$12,$D$28,0)+IF(AX$4=$D$10-1,$D$29,0)+$D$30*AX47</f>
        <v>0</v>
      </c>
      <c r="AY51" s="48" t="n">
        <f aca="false">IF(AY$4=$D$12,$D$28,0)+IF(AY$4=$D$10-1,$D$29,0)+$D$30*AY47</f>
        <v>0</v>
      </c>
      <c r="AZ51" s="48" t="n">
        <f aca="false">IF(AZ$4=$D$12,$D$28,0)+IF(AZ$4=$D$10-1,$D$29,0)+$D$30*AZ47</f>
        <v>0</v>
      </c>
      <c r="BA51" s="48" t="n">
        <f aca="false">IF(BA$4=$D$12,$D$28,0)+IF(BA$4=$D$10-1,$D$29,0)+$D$30*BA47</f>
        <v>0</v>
      </c>
      <c r="BB51" s="48" t="n">
        <f aca="false">IF(BB$4=$D$12,$D$28,0)+IF(BB$4=$D$10-1,$D$29,0)+$D$30*BB47</f>
        <v>0</v>
      </c>
      <c r="BC51" s="48" t="n">
        <f aca="false">IF(BC$4=$D$12,$D$28,0)+IF(BC$4=$D$10-1,$D$29,0)+$D$30*BC47</f>
        <v>0</v>
      </c>
      <c r="BD51" s="48" t="n">
        <f aca="false">IF(BD$4=$D$12,$D$28,0)+IF(BD$4=$D$10-1,$D$29,0)+$D$30*BD47</f>
        <v>0</v>
      </c>
      <c r="BE51" s="48" t="n">
        <f aca="false">IF(BE$4=$D$12,$D$28,0)+IF(BE$4=$D$10-1,$D$29,0)+$D$30*BE47</f>
        <v>0</v>
      </c>
      <c r="BF51" s="48" t="n">
        <f aca="false">IF(BF$4=$D$12,$D$28,0)+IF(BF$4=$D$10-1,$D$29,0)+$D$30*BF47</f>
        <v>0</v>
      </c>
      <c r="BG51" s="48" t="n">
        <f aca="false">IF(BG$4=$D$12,$D$28,0)+IF(BG$4=$D$10-1,$D$29,0)+$D$30*BG47</f>
        <v>0</v>
      </c>
      <c r="BH51" s="48" t="n">
        <f aca="false">IF(BH$4=$D$12,$D$28,0)+IF(BH$4=$D$10-1,$D$29,0)+$D$30*BH47</f>
        <v>0</v>
      </c>
      <c r="BI51" s="48" t="n">
        <f aca="false">IF(BI$4=$D$12,$D$28,0)+IF(BI$4=$D$10-1,$D$29,0)+$D$30*BI47</f>
        <v>0</v>
      </c>
      <c r="BJ51" s="48" t="n">
        <f aca="false">IF(BJ$4=$D$12,$D$28,0)+IF(BJ$4=$D$10-1,$D$29,0)+$D$30*BJ47</f>
        <v>0</v>
      </c>
      <c r="BK51" s="48" t="n">
        <f aca="false">IF(BK$4=$D$12,$D$28,0)+IF(BK$4=$D$10-1,$D$29,0)+$D$30*BK47</f>
        <v>0</v>
      </c>
      <c r="BL51" s="48" t="n">
        <f aca="false">IF(BL$4=$D$12,$D$28,0)+IF(BL$4=$D$10-1,$D$29,0)+$D$30*BL47</f>
        <v>0</v>
      </c>
      <c r="BM51" s="48" t="n">
        <f aca="false">IF(BM$4=$D$12,$D$28,0)+IF(BM$4=$D$10-1,$D$29,0)+$D$30*BM47</f>
        <v>0</v>
      </c>
      <c r="BN51" s="48" t="n">
        <f aca="false">IF(BN$4=$D$12,$D$28,0)+IF(BN$4=$D$10-1,$D$29,0)+$D$30*BN47</f>
        <v>0</v>
      </c>
      <c r="BO51" s="48" t="n">
        <f aca="false">IF(BO$4=$D$12,$D$28,0)+IF(BO$4=$D$10-1,$D$29,0)+$D$30*BO47</f>
        <v>0</v>
      </c>
      <c r="BP51" s="48" t="n">
        <f aca="false">IF(BP$4=$D$12,$D$28,0)+IF(BP$4=$D$10-1,$D$29,0)+$D$30*BP47</f>
        <v>0</v>
      </c>
      <c r="BQ51" s="48" t="n">
        <f aca="false">IF(BQ$4=$D$12,$D$28,0)+IF(BQ$4=$D$10-1,$D$29,0)+$D$30*BQ47</f>
        <v>0</v>
      </c>
      <c r="BR51" s="48" t="n">
        <f aca="false">IF(BR$4=$D$12,$D$28,0)+IF(BR$4=$D$10-1,$D$29,0)+$D$30*BR47</f>
        <v>0</v>
      </c>
      <c r="BS51" s="48" t="n">
        <f aca="false">IF(BS$4=$D$12,$D$28,0)+IF(BS$4=$D$10-1,$D$29,0)+$D$30*BS47</f>
        <v>0</v>
      </c>
      <c r="BT51" s="48" t="n">
        <f aca="false">IF(BT$4=$D$12,$D$28,0)+IF(BT$4=$D$10-1,$D$29,0)+$D$30*BT47</f>
        <v>0</v>
      </c>
      <c r="BU51" s="48" t="n">
        <f aca="false">IF(BU$4=$D$12,$D$28,0)+IF(BU$4=$D$10-1,$D$29,0)+$D$30*BU47</f>
        <v>0</v>
      </c>
      <c r="BV51" s="48" t="n">
        <f aca="false">IF(BV$4=$D$12,$D$28,0)+IF(BV$4=$D$10-1,$D$29,0)+$D$30*BV47</f>
        <v>0</v>
      </c>
      <c r="BW51" s="48" t="n">
        <f aca="false">IF(BW$4=$D$12,$D$28,0)+IF(BW$4=$D$10-1,$D$29,0)+$D$30*BW47</f>
        <v>0</v>
      </c>
      <c r="BX51" s="48" t="n">
        <f aca="false">IF(BX$4=$D$12,$D$28,0)+IF(BX$4=$D$10-1,$D$29,0)+$D$30*BX47</f>
        <v>0</v>
      </c>
    </row>
    <row r="52" customFormat="false" ht="15" hidden="false" customHeight="false" outlineLevel="0" collapsed="false">
      <c r="A52" s="1"/>
      <c r="B52" s="4" t="s">
        <v>318</v>
      </c>
      <c r="C52" s="8" t="s">
        <v>126</v>
      </c>
      <c r="D52" s="44" t="n">
        <f aca="false">SUM(G52:BX52)</f>
        <v>12575</v>
      </c>
      <c r="E52" s="1"/>
      <c r="F52" s="1"/>
      <c r="G52" s="44" t="n">
        <f aca="false">G50+G51</f>
        <v>0</v>
      </c>
      <c r="H52" s="44" t="n">
        <f aca="false">H50+H51</f>
        <v>0</v>
      </c>
      <c r="I52" s="44" t="n">
        <f aca="false">I50+I51</f>
        <v>0</v>
      </c>
      <c r="J52" s="44" t="n">
        <f aca="false">J50+J51</f>
        <v>1948.20727230859</v>
      </c>
      <c r="K52" s="44" t="n">
        <f aca="false">K50+K51</f>
        <v>2632.26570066439</v>
      </c>
      <c r="L52" s="44" t="n">
        <f aca="false">L50+L51</f>
        <v>3364.05405405405</v>
      </c>
      <c r="M52" s="44" t="n">
        <f aca="false">M50+M51</f>
        <v>2632.26570066439</v>
      </c>
      <c r="N52" s="44" t="n">
        <f aca="false">N50+N51</f>
        <v>1998.20727230859</v>
      </c>
      <c r="O52" s="44" t="n">
        <f aca="false">O50+O51</f>
        <v>0</v>
      </c>
      <c r="P52" s="44" t="n">
        <f aca="false">P50+P51</f>
        <v>0</v>
      </c>
      <c r="Q52" s="44" t="n">
        <f aca="false">Q50+Q51</f>
        <v>0</v>
      </c>
      <c r="R52" s="44" t="n">
        <f aca="false">R50+R51</f>
        <v>0</v>
      </c>
      <c r="S52" s="44" t="n">
        <f aca="false">S50+S51</f>
        <v>0</v>
      </c>
      <c r="T52" s="44" t="n">
        <f aca="false">T50+T51</f>
        <v>0</v>
      </c>
      <c r="U52" s="44" t="n">
        <f aca="false">U50+U51</f>
        <v>0</v>
      </c>
      <c r="V52" s="44" t="n">
        <f aca="false">V50+V51</f>
        <v>0</v>
      </c>
      <c r="W52" s="44" t="n">
        <f aca="false">W50+W51</f>
        <v>0</v>
      </c>
      <c r="X52" s="44" t="n">
        <f aca="false">X50+X51</f>
        <v>0</v>
      </c>
      <c r="Y52" s="44" t="n">
        <f aca="false">Y50+Y51</f>
        <v>0</v>
      </c>
      <c r="Z52" s="44" t="n">
        <f aca="false">Z50+Z51</f>
        <v>0</v>
      </c>
      <c r="AA52" s="44" t="n">
        <f aca="false">AA50+AA51</f>
        <v>0</v>
      </c>
      <c r="AB52" s="44" t="n">
        <f aca="false">AB50+AB51</f>
        <v>0</v>
      </c>
      <c r="AC52" s="44" t="n">
        <f aca="false">AC50+AC51</f>
        <v>0</v>
      </c>
      <c r="AD52" s="44" t="n">
        <f aca="false">AD50+AD51</f>
        <v>0</v>
      </c>
      <c r="AE52" s="44" t="n">
        <f aca="false">AE50+AE51</f>
        <v>0</v>
      </c>
      <c r="AF52" s="44" t="n">
        <f aca="false">AF50+AF51</f>
        <v>0</v>
      </c>
      <c r="AG52" s="44" t="n">
        <f aca="false">AG50+AG51</f>
        <v>0</v>
      </c>
      <c r="AH52" s="44" t="n">
        <f aca="false">AH50+AH51</f>
        <v>0</v>
      </c>
      <c r="AI52" s="44" t="n">
        <f aca="false">AI50+AI51</f>
        <v>0</v>
      </c>
      <c r="AJ52" s="44" t="n">
        <f aca="false">AJ50+AJ51</f>
        <v>0</v>
      </c>
      <c r="AK52" s="44" t="n">
        <f aca="false">AK50+AK51</f>
        <v>0</v>
      </c>
      <c r="AL52" s="44" t="n">
        <f aca="false">AL50+AL51</f>
        <v>0</v>
      </c>
      <c r="AM52" s="44" t="n">
        <f aca="false">AM50+AM51</f>
        <v>0</v>
      </c>
      <c r="AN52" s="44" t="n">
        <f aca="false">AN50+AN51</f>
        <v>0</v>
      </c>
      <c r="AO52" s="44" t="n">
        <f aca="false">AO50+AO51</f>
        <v>0</v>
      </c>
      <c r="AP52" s="44" t="n">
        <f aca="false">AP50+AP51</f>
        <v>0</v>
      </c>
      <c r="AQ52" s="44" t="n">
        <f aca="false">AQ50+AQ51</f>
        <v>0</v>
      </c>
      <c r="AR52" s="44" t="n">
        <f aca="false">AR50+AR51</f>
        <v>0</v>
      </c>
      <c r="AS52" s="44" t="n">
        <f aca="false">AS50+AS51</f>
        <v>0</v>
      </c>
      <c r="AT52" s="44" t="n">
        <f aca="false">AT50+AT51</f>
        <v>0</v>
      </c>
      <c r="AU52" s="44" t="n">
        <f aca="false">AU50+AU51</f>
        <v>0</v>
      </c>
      <c r="AV52" s="44" t="n">
        <f aca="false">AV50+AV51</f>
        <v>0</v>
      </c>
      <c r="AW52" s="44" t="n">
        <f aca="false">AW50+AW51</f>
        <v>0</v>
      </c>
      <c r="AX52" s="44" t="n">
        <f aca="false">AX50+AX51</f>
        <v>0</v>
      </c>
      <c r="AY52" s="44" t="n">
        <f aca="false">AY50+AY51</f>
        <v>0</v>
      </c>
      <c r="AZ52" s="44" t="n">
        <f aca="false">AZ50+AZ51</f>
        <v>0</v>
      </c>
      <c r="BA52" s="44" t="n">
        <f aca="false">BA50+BA51</f>
        <v>0</v>
      </c>
      <c r="BB52" s="44" t="n">
        <f aca="false">BB50+BB51</f>
        <v>0</v>
      </c>
      <c r="BC52" s="44" t="n">
        <f aca="false">BC50+BC51</f>
        <v>0</v>
      </c>
      <c r="BD52" s="44" t="n">
        <f aca="false">BD50+BD51</f>
        <v>0</v>
      </c>
      <c r="BE52" s="44" t="n">
        <f aca="false">BE50+BE51</f>
        <v>0</v>
      </c>
      <c r="BF52" s="44" t="n">
        <f aca="false">BF50+BF51</f>
        <v>0</v>
      </c>
      <c r="BG52" s="44" t="n">
        <f aca="false">BG50+BG51</f>
        <v>0</v>
      </c>
      <c r="BH52" s="44" t="n">
        <f aca="false">BH50+BH51</f>
        <v>0</v>
      </c>
      <c r="BI52" s="44" t="n">
        <f aca="false">BI50+BI51</f>
        <v>0</v>
      </c>
      <c r="BJ52" s="44" t="n">
        <f aca="false">BJ50+BJ51</f>
        <v>0</v>
      </c>
      <c r="BK52" s="44" t="n">
        <f aca="false">BK50+BK51</f>
        <v>0</v>
      </c>
      <c r="BL52" s="44" t="n">
        <f aca="false">BL50+BL51</f>
        <v>0</v>
      </c>
      <c r="BM52" s="44" t="n">
        <f aca="false">BM50+BM51</f>
        <v>0</v>
      </c>
      <c r="BN52" s="44" t="n">
        <f aca="false">BN50+BN51</f>
        <v>0</v>
      </c>
      <c r="BO52" s="44" t="n">
        <f aca="false">BO50+BO51</f>
        <v>0</v>
      </c>
      <c r="BP52" s="44" t="n">
        <f aca="false">BP50+BP51</f>
        <v>0</v>
      </c>
      <c r="BQ52" s="44" t="n">
        <f aca="false">BQ50+BQ51</f>
        <v>0</v>
      </c>
      <c r="BR52" s="44" t="n">
        <f aca="false">BR50+BR51</f>
        <v>0</v>
      </c>
      <c r="BS52" s="44" t="n">
        <f aca="false">BS50+BS51</f>
        <v>0</v>
      </c>
      <c r="BT52" s="44" t="n">
        <f aca="false">BT50+BT51</f>
        <v>0</v>
      </c>
      <c r="BU52" s="44" t="n">
        <f aca="false">BU50+BU51</f>
        <v>0</v>
      </c>
      <c r="BV52" s="44" t="n">
        <f aca="false">BV50+BV51</f>
        <v>0</v>
      </c>
      <c r="BW52" s="44" t="n">
        <f aca="false">BW50+BW51</f>
        <v>0</v>
      </c>
      <c r="BX52" s="44" t="n">
        <f aca="false">BX50+BX51</f>
        <v>0</v>
      </c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</row>
    <row r="54" customFormat="false" ht="15" hidden="false" customHeight="false" outlineLevel="0" collapsed="false">
      <c r="A54" s="1"/>
      <c r="B54" s="13" t="s">
        <v>319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</row>
    <row r="55" customFormat="false" ht="15" hidden="false" customHeight="false" outlineLevel="0" collapsed="false">
      <c r="A55" s="1"/>
      <c r="B55" s="8" t="s">
        <v>320</v>
      </c>
      <c r="C55" s="8" t="s">
        <v>76</v>
      </c>
      <c r="D55" s="1"/>
      <c r="E55" s="1"/>
      <c r="F55" s="1"/>
      <c r="G55" s="49" t="n">
        <f aca="false">Input!J36</f>
        <v>496</v>
      </c>
      <c r="H55" s="49" t="n">
        <f aca="false">Input!K36</f>
        <v>445</v>
      </c>
      <c r="I55" s="49" t="n">
        <f aca="false">Input!L36</f>
        <v>420</v>
      </c>
      <c r="J55" s="49" t="n">
        <f aca="false">Input!M36</f>
        <v>410</v>
      </c>
      <c r="K55" s="49" t="n">
        <f aca="false">Input!N36</f>
        <v>408</v>
      </c>
      <c r="L55" s="49" t="n">
        <f aca="false">Input!O36</f>
        <v>406</v>
      </c>
      <c r="M55" s="49" t="n">
        <f aca="false">Input!P36</f>
        <v>404</v>
      </c>
      <c r="N55" s="49" t="n">
        <f aca="false">Input!Q36</f>
        <v>402</v>
      </c>
      <c r="O55" s="49" t="n">
        <f aca="false">Input!R36</f>
        <v>400</v>
      </c>
      <c r="P55" s="49" t="n">
        <f aca="false">Input!S36</f>
        <v>398</v>
      </c>
      <c r="Q55" s="49" t="n">
        <f aca="false">Input!T36</f>
        <v>396</v>
      </c>
      <c r="R55" s="49" t="n">
        <f aca="false">Input!U36</f>
        <v>394</v>
      </c>
      <c r="S55" s="49" t="n">
        <f aca="false">Input!V36</f>
        <v>392</v>
      </c>
      <c r="T55" s="49" t="n">
        <f aca="false">Input!W36</f>
        <v>390</v>
      </c>
      <c r="U55" s="49" t="n">
        <f aca="false">Input!X36</f>
        <v>389</v>
      </c>
      <c r="V55" s="49" t="n">
        <f aca="false">Input!Y36</f>
        <v>388</v>
      </c>
      <c r="W55" s="49" t="n">
        <f aca="false">Input!Z36</f>
        <v>387</v>
      </c>
      <c r="X55" s="49" t="n">
        <f aca="false">Input!AA36</f>
        <v>386</v>
      </c>
      <c r="Y55" s="49" t="n">
        <f aca="false">Input!AB36</f>
        <v>385</v>
      </c>
      <c r="Z55" s="49" t="n">
        <f aca="false">Input!AC36</f>
        <v>384</v>
      </c>
      <c r="AA55" s="49" t="n">
        <f aca="false">Input!AD36</f>
        <v>383</v>
      </c>
      <c r="AB55" s="49" t="n">
        <f aca="false">Input!AE36</f>
        <v>382</v>
      </c>
      <c r="AC55" s="49" t="n">
        <f aca="false">Input!AF36</f>
        <v>381</v>
      </c>
      <c r="AD55" s="49" t="n">
        <f aca="false">Input!AG36</f>
        <v>380</v>
      </c>
      <c r="AE55" s="49" t="n">
        <f aca="false">Input!AH36</f>
        <v>380</v>
      </c>
      <c r="AF55" s="49" t="n">
        <f aca="false">Input!AI36</f>
        <v>380</v>
      </c>
      <c r="AG55" s="49" t="n">
        <f aca="false">Input!AJ36</f>
        <v>380</v>
      </c>
      <c r="AH55" s="49" t="n">
        <f aca="false">Input!AK36</f>
        <v>380</v>
      </c>
      <c r="AI55" s="49" t="n">
        <f aca="false">Input!AL36</f>
        <v>380</v>
      </c>
      <c r="AJ55" s="49" t="n">
        <f aca="false">Input!AM36</f>
        <v>380</v>
      </c>
      <c r="AK55" s="49" t="n">
        <f aca="false">Input!AN36</f>
        <v>380</v>
      </c>
      <c r="AL55" s="49" t="n">
        <f aca="false">Input!AO36</f>
        <v>380</v>
      </c>
      <c r="AM55" s="49" t="n">
        <f aca="false">Input!AP36</f>
        <v>380</v>
      </c>
      <c r="AN55" s="49" t="n">
        <f aca="false">Input!AQ36</f>
        <v>380</v>
      </c>
      <c r="AO55" s="49" t="n">
        <f aca="false">Input!AR36</f>
        <v>380</v>
      </c>
      <c r="AP55" s="49" t="n">
        <f aca="false">Input!AS36</f>
        <v>380</v>
      </c>
      <c r="AQ55" s="49" t="n">
        <f aca="false">Input!AT36</f>
        <v>380</v>
      </c>
      <c r="AR55" s="49" t="n">
        <f aca="false">Input!AU36</f>
        <v>380</v>
      </c>
      <c r="AS55" s="49" t="n">
        <f aca="false">Input!AV36</f>
        <v>380</v>
      </c>
      <c r="AT55" s="49" t="n">
        <f aca="false">Input!AW36</f>
        <v>380</v>
      </c>
      <c r="AU55" s="49" t="n">
        <f aca="false">Input!AX36</f>
        <v>380</v>
      </c>
      <c r="AV55" s="49" t="n">
        <f aca="false">Input!AY36</f>
        <v>380</v>
      </c>
      <c r="AW55" s="49" t="n">
        <f aca="false">Input!AZ36</f>
        <v>380</v>
      </c>
      <c r="AX55" s="49" t="n">
        <f aca="false">Input!BA36</f>
        <v>380</v>
      </c>
      <c r="AY55" s="49" t="n">
        <f aca="false">Input!BB36</f>
        <v>380</v>
      </c>
      <c r="AZ55" s="49" t="n">
        <f aca="false">Input!BC36</f>
        <v>380</v>
      </c>
      <c r="BA55" s="49" t="n">
        <f aca="false">Input!BD36</f>
        <v>380</v>
      </c>
      <c r="BB55" s="49" t="n">
        <f aca="false">Input!BE36</f>
        <v>380</v>
      </c>
      <c r="BC55" s="49" t="n">
        <f aca="false">Input!BF36</f>
        <v>380</v>
      </c>
      <c r="BD55" s="49" t="n">
        <f aca="false">Input!BG36</f>
        <v>380</v>
      </c>
      <c r="BE55" s="49" t="n">
        <f aca="false">Input!BH36</f>
        <v>380</v>
      </c>
      <c r="BF55" s="49" t="n">
        <f aca="false">Input!BI36</f>
        <v>380</v>
      </c>
      <c r="BG55" s="49" t="n">
        <f aca="false">Input!BJ36</f>
        <v>380</v>
      </c>
      <c r="BH55" s="49" t="n">
        <f aca="false">Input!BK36</f>
        <v>380</v>
      </c>
      <c r="BI55" s="49" t="n">
        <f aca="false">Input!BL36</f>
        <v>380</v>
      </c>
      <c r="BJ55" s="49" t="n">
        <f aca="false">Input!BM36</f>
        <v>380</v>
      </c>
      <c r="BK55" s="49" t="n">
        <f aca="false">Input!BN36</f>
        <v>380</v>
      </c>
      <c r="BL55" s="49" t="n">
        <f aca="false">Input!BO36</f>
        <v>380</v>
      </c>
      <c r="BM55" s="49" t="n">
        <f aca="false">Input!BP36</f>
        <v>380</v>
      </c>
      <c r="BN55" s="49" t="n">
        <f aca="false">Input!BQ36</f>
        <v>380</v>
      </c>
      <c r="BO55" s="49" t="n">
        <f aca="false">Input!BR36</f>
        <v>380</v>
      </c>
      <c r="BP55" s="49" t="n">
        <f aca="false">Input!BS36</f>
        <v>380</v>
      </c>
      <c r="BQ55" s="49" t="n">
        <f aca="false">Input!BT36</f>
        <v>380</v>
      </c>
      <c r="BR55" s="49" t="n">
        <f aca="false">Input!BU36</f>
        <v>380</v>
      </c>
      <c r="BS55" s="49" t="n">
        <f aca="false">Input!BV36</f>
        <v>380</v>
      </c>
      <c r="BT55" s="49" t="n">
        <f aca="false">Input!BW36</f>
        <v>380</v>
      </c>
      <c r="BU55" s="49" t="n">
        <f aca="false">Input!BX36</f>
        <v>380</v>
      </c>
      <c r="BV55" s="49" t="n">
        <f aca="false">Input!BY36</f>
        <v>380</v>
      </c>
      <c r="BW55" s="49" t="n">
        <f aca="false">Input!BZ36</f>
        <v>380</v>
      </c>
      <c r="BX55" s="49" t="n">
        <f aca="false">Input!CA36</f>
        <v>380</v>
      </c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</row>
    <row r="57" customFormat="false" ht="15" hidden="false" customHeight="false" outlineLevel="0" collapsed="false">
      <c r="A57" s="1"/>
      <c r="B57" s="13" t="s">
        <v>321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</row>
    <row r="58" customFormat="false" ht="15" hidden="false" customHeight="false" outlineLevel="0" collapsed="false">
      <c r="A58" s="1"/>
      <c r="B58" s="8" t="s">
        <v>322</v>
      </c>
      <c r="C58" s="8" t="s">
        <v>66</v>
      </c>
      <c r="D58" s="1"/>
      <c r="E58" s="1"/>
      <c r="F58" s="1"/>
      <c r="G58" s="43" t="n">
        <f aca="false">IF(G42=1,IFERROR(INDEX(Twin!$G$37:$BN$37,1,G43),0),0)</f>
        <v>0</v>
      </c>
      <c r="H58" s="43" t="n">
        <f aca="false">IF(H42=1,IFERROR(INDEX(Twin!$G$37:$BN$37,1,H43),0),0)</f>
        <v>0</v>
      </c>
      <c r="I58" s="43" t="n">
        <f aca="false">IF(I42=1,IFERROR(INDEX(Twin!$G$37:$BN$37,1,I43),0),0)</f>
        <v>0</v>
      </c>
      <c r="J58" s="43" t="n">
        <f aca="false">IF(J42=1,IFERROR(INDEX(Twin!$G$37:$BN$37,1,J43),0),0)</f>
        <v>0</v>
      </c>
      <c r="K58" s="43" t="n">
        <f aca="false">IF(K42=1,IFERROR(INDEX(Twin!$G$37:$BN$37,1,K43),0),0)</f>
        <v>0</v>
      </c>
      <c r="L58" s="43" t="n">
        <f aca="false">IF(L42=1,IFERROR(INDEX(Twin!$G$37:$BN$37,1,L43),0),0)</f>
        <v>0</v>
      </c>
      <c r="M58" s="43" t="n">
        <f aca="false">IF(M42=1,IFERROR(INDEX(Twin!$G$37:$BN$37,1,M43),0),0)</f>
        <v>0</v>
      </c>
      <c r="N58" s="43" t="n">
        <f aca="false">IF(N42=1,IFERROR(INDEX(Twin!$G$37:$BN$37,1,N43),0),0)</f>
        <v>0</v>
      </c>
      <c r="O58" s="43" t="n">
        <f aca="false">IF(O42=1,IFERROR(INDEX(Twin!$G$37:$BN$37,1,O43),0),0)</f>
        <v>0.895151684931507</v>
      </c>
      <c r="P58" s="43" t="n">
        <f aca="false">IF(P42=1,IFERROR(INDEX(Twin!$G$37:$BN$37,1,P43),0),0)</f>
        <v>0.856879091324201</v>
      </c>
      <c r="Q58" s="43" t="n">
        <f aca="false">IF(Q42=1,IFERROR(INDEX(Twin!$G$37:$BN$37,1,Q43),0),0)</f>
        <v>0.856771945205479</v>
      </c>
      <c r="R58" s="43" t="n">
        <f aca="false">IF(R42=1,IFERROR(INDEX(Twin!$G$37:$BN$37,1,R43),0),0)</f>
        <v>0.923557812785388</v>
      </c>
      <c r="S58" s="43" t="n">
        <f aca="false">IF(S42=1,IFERROR(INDEX(Twin!$G$37:$BN$37,1,S43),0),0)</f>
        <v>0.884142703196347</v>
      </c>
      <c r="T58" s="43" t="n">
        <f aca="false">IF(T42=1,IFERROR(INDEX(Twin!$G$37:$BN$37,1,T43),0),0)</f>
        <v>0.88403950456621</v>
      </c>
      <c r="U58" s="43" t="n">
        <f aca="false">IF(U42=1,IFERROR(INDEX(Twin!$G$37:$BN$37,1,U43),0),0)</f>
        <v>0.923424162100457</v>
      </c>
      <c r="V58" s="43" t="n">
        <f aca="false">IF(V42=1,IFERROR(INDEX(Twin!$G$37:$BN$37,1,V43),0),0)</f>
        <v>0.883963374429224</v>
      </c>
      <c r="W58" s="43" t="n">
        <f aca="false">IF(W42=1,IFERROR(INDEX(Twin!$G$37:$BN$37,1,W43),0),0)</f>
        <v>0.883932922374429</v>
      </c>
      <c r="X58" s="43" t="n">
        <f aca="false">IF(X42=1,IFERROR(INDEX(Twin!$G$37:$BN$37,1,X43),0),0)</f>
        <v>0.857567082191781</v>
      </c>
      <c r="Y58" s="43" t="n">
        <f aca="false">IF(Y42=1,IFERROR(INDEX(Twin!$G$37:$BN$37,1,Y43),0),0)</f>
        <v>0.883753593607306</v>
      </c>
      <c r="Z58" s="43" t="n">
        <f aca="false">IF(Z42=1,IFERROR(INDEX(Twin!$G$37:$BN$37,1,Z43),0),0)</f>
        <v>0.883674643835616</v>
      </c>
      <c r="AA58" s="43" t="n">
        <f aca="false">IF(AA42=1,IFERROR(INDEX(Twin!$G$37:$BN$37,1,AA43),0),0)</f>
        <v>0.922980351598174</v>
      </c>
      <c r="AB58" s="43" t="n">
        <f aca="false">IF(AB42=1,IFERROR(INDEX(Twin!$G$37:$BN$37,1,AB43),0),0)</f>
        <v>0.883595694063927</v>
      </c>
      <c r="AC58" s="43" t="n">
        <f aca="false">IF(AC42=1,IFERROR(INDEX(Twin!$G$37:$BN$37,1,AC43),0),0)</f>
        <v>0.883358844748859</v>
      </c>
      <c r="AD58" s="43" t="n">
        <f aca="false">IF(AD42=1,IFERROR(INDEX(Twin!$G$37:$BN$37,1,AD43),0),0)</f>
        <v>0.922713050228311</v>
      </c>
      <c r="AE58" s="43" t="n">
        <f aca="false">IF(AE42=1,IFERROR(INDEX(Twin!$G$37:$BN$37,1,AE43),0),0)</f>
        <v>0.883091543378995</v>
      </c>
      <c r="AF58" s="43" t="n">
        <f aca="false">IF(AF42=1,IFERROR(INDEX(Twin!$G$37:$BN$37,1,AF43),0),0)</f>
        <v>0.882988344748859</v>
      </c>
      <c r="AG58" s="43" t="n">
        <f aca="false">IF(AG42=1,IFERROR(INDEX(Twin!$G$37:$BN$37,1,AG43),0),0)</f>
        <v>0.922339730593607</v>
      </c>
      <c r="AH58" s="43" t="n">
        <f aca="false">IF(AH42=1,IFERROR(INDEX(Twin!$G$37:$BN$37,1,AH43),0),0)</f>
        <v>0.843476239726028</v>
      </c>
      <c r="AI58" s="43" t="n">
        <f aca="false">IF(AI42=1,IFERROR(INDEX(Twin!$G$37:$BN$37,1,AI43),0),0)</f>
        <v>0.88283044520548</v>
      </c>
      <c r="AJ58" s="43" t="n">
        <f aca="false">IF(AJ42=1,IFERROR(INDEX(Twin!$G$37:$BN$37,1,AJ43),0),0)</f>
        <v>0.922005321917808</v>
      </c>
      <c r="AK58" s="43" t="n">
        <f aca="false">IF(AK42=1,IFERROR(INDEX(Twin!$G$37:$BN$37,1,AK43),0),0)</f>
        <v>0.882456561643836</v>
      </c>
      <c r="AL58" s="43" t="n">
        <f aca="false">IF(AL42=1,IFERROR(INDEX(Twin!$G$37:$BN$37,1,AL43),0),0)</f>
        <v>0.882456561643836</v>
      </c>
      <c r="AM58" s="43" t="n">
        <f aca="false">IF(AM42=1,IFERROR(INDEX(Twin!$G$37:$BN$37,1,AM43),0),0)</f>
        <v>0.92178651826484</v>
      </c>
      <c r="AN58" s="43" t="n">
        <f aca="false">IF(AN42=1,IFERROR(INDEX(Twin!$G$37:$BN$37,1,AN43),0),0)</f>
        <v>0.882268210045662</v>
      </c>
      <c r="AO58" s="43" t="n">
        <f aca="false">IF(AO42=1,IFERROR(INDEX(Twin!$G$37:$BN$37,1,AO43),0),0)</f>
        <v>0.882262006849315</v>
      </c>
      <c r="AP58" s="43" t="n">
        <f aca="false">IF(AP42=1,IFERROR(INDEX(Twin!$G$37:$BN$37,1,AP43),0),0)</f>
        <v>0.921646664383562</v>
      </c>
      <c r="AQ58" s="43" t="n">
        <f aca="false">IF(AQ42=1,IFERROR(INDEX(Twin!$G$37:$BN$37,1,AQ43),0),0)</f>
        <v>0.882262006849315</v>
      </c>
      <c r="AR58" s="43" t="n">
        <f aca="false">IF(AR42=1,IFERROR(INDEX(Twin!$G$37:$BN$37,1,AR43),0),0)</f>
        <v>0.842877349315069</v>
      </c>
      <c r="AS58" s="43" t="n">
        <f aca="false">IF(AS42=1,IFERROR(INDEX(Twin!$G$37:$BN$37,1,AS43),0),0)</f>
        <v>0.921646664383562</v>
      </c>
      <c r="AT58" s="43" t="n">
        <f aca="false">IF(AT42=1,IFERROR(INDEX(Twin!$G$37:$BN$37,1,AT43),0),0)</f>
        <v>0.882262006849315</v>
      </c>
      <c r="AU58" s="43" t="n">
        <f aca="false">IF(AU42=1,IFERROR(INDEX(Twin!$G$37:$BN$37,1,AU43),0),0)</f>
        <v>0.882262006849315</v>
      </c>
      <c r="AV58" s="43" t="n">
        <f aca="false">IF(AV42=1,IFERROR(INDEX(Twin!$G$37:$BN$37,1,AV43),0),0)</f>
        <v>0.921646664383562</v>
      </c>
      <c r="AW58" s="43" t="n">
        <f aca="false">IF(AW42=1,IFERROR(INDEX(Twin!$G$37:$BN$37,1,AW43),0),0)</f>
        <v>0.882262006849315</v>
      </c>
      <c r="AX58" s="43" t="n">
        <f aca="false">IF(AX42=1,IFERROR(INDEX(Twin!$G$37:$BN$37,1,AX43),0),0)</f>
        <v>0.882262006849315</v>
      </c>
      <c r="AY58" s="43" t="n">
        <f aca="false">IF(AY42=1,IFERROR(INDEX(Twin!$G$37:$BN$37,1,AY43),0),0)</f>
        <v>0.921646664383562</v>
      </c>
      <c r="AZ58" s="43" t="n">
        <f aca="false">IF(AZ42=1,IFERROR(INDEX(Twin!$G$37:$BN$37,1,AZ43),0),0)</f>
        <v>0.882262006849315</v>
      </c>
      <c r="BA58" s="43" t="n">
        <f aca="false">IF(BA42=1,IFERROR(INDEX(Twin!$G$37:$BN$37,1,BA43),0),0)</f>
        <v>0.882262006849315</v>
      </c>
      <c r="BB58" s="43" t="n">
        <f aca="false">IF(BB42=1,IFERROR(INDEX(Twin!$G$37:$BN$37,1,BB43),0),0)</f>
        <v>0.856005568493151</v>
      </c>
      <c r="BC58" s="43" t="n">
        <f aca="false">IF(BC42=1,IFERROR(INDEX(Twin!$G$37:$BN$37,1,BC43),0),0)</f>
        <v>0.882262006849315</v>
      </c>
      <c r="BD58" s="43" t="n">
        <f aca="false">IF(BD42=1,IFERROR(INDEX(Twin!$G$37:$BN$37,1,BD43),0),0)</f>
        <v>0.882262006849315</v>
      </c>
      <c r="BE58" s="43" t="n">
        <f aca="false">IF(BE42=1,IFERROR(INDEX(Twin!$G$37:$BN$37,1,BE43),0),0)</f>
        <v>0.921646664383562</v>
      </c>
      <c r="BF58" s="43" t="n">
        <f aca="false">IF(BF42=1,IFERROR(INDEX(Twin!$G$37:$BN$37,1,BF43),0),0)</f>
        <v>0.882262006849315</v>
      </c>
      <c r="BG58" s="43" t="n">
        <f aca="false">IF(BG42=1,IFERROR(INDEX(Twin!$G$37:$BN$37,1,BG43),0),0)</f>
        <v>0.882262006849315</v>
      </c>
      <c r="BH58" s="43" t="n">
        <f aca="false">IF(BH42=1,IFERROR(INDEX(Twin!$G$37:$BN$37,1,BH43),0),0)</f>
        <v>0.921646664383562</v>
      </c>
      <c r="BI58" s="43" t="n">
        <f aca="false">IF(BI42=1,IFERROR(INDEX(Twin!$G$37:$BN$37,1,BI43),0),0)</f>
        <v>0.882262006849315</v>
      </c>
      <c r="BJ58" s="43" t="n">
        <f aca="false">IF(BJ42=1,IFERROR(INDEX(Twin!$G$37:$BN$37,1,BJ43),0),0)</f>
        <v>0.882262006849315</v>
      </c>
      <c r="BK58" s="43" t="n">
        <f aca="false">IF(BK42=1,IFERROR(INDEX(Twin!$G$37:$BN$37,1,BK43),0),0)</f>
        <v>0.921646664383562</v>
      </c>
      <c r="BL58" s="43" t="n">
        <f aca="false">IF(BL42=1,IFERROR(INDEX(Twin!$G$37:$BN$37,1,BL43),0),0)</f>
        <v>0.842877349315069</v>
      </c>
      <c r="BM58" s="43" t="n">
        <f aca="false">IF(BM42=1,IFERROR(INDEX(Twin!$G$37:$BN$37,1,BM43),0),0)</f>
        <v>0.882262006849315</v>
      </c>
      <c r="BN58" s="43" t="n">
        <f aca="false">IF(BN42=1,IFERROR(INDEX(Twin!$G$37:$BN$37,1,BN43),0),0)</f>
        <v>0.921646664383562</v>
      </c>
      <c r="BO58" s="43" t="n">
        <f aca="false">IF(BO42=1,IFERROR(INDEX(Twin!$G$37:$BN$37,1,BO43),0),0)</f>
        <v>0.882262006849315</v>
      </c>
      <c r="BP58" s="43" t="n">
        <f aca="false">IF(BP42=1,IFERROR(INDEX(Twin!$G$37:$BN$37,1,BP43),0),0)</f>
        <v>0.882262006849315</v>
      </c>
      <c r="BQ58" s="43" t="n">
        <f aca="false">IF(BQ42=1,IFERROR(INDEX(Twin!$G$37:$BN$37,1,BQ43),0),0)</f>
        <v>0.921646664383562</v>
      </c>
      <c r="BR58" s="43" t="n">
        <f aca="false">IF(BR42=1,IFERROR(INDEX(Twin!$G$37:$BN$37,1,BR43),0),0)</f>
        <v>0.882262006849315</v>
      </c>
      <c r="BS58" s="43" t="n">
        <f aca="false">IF(BS42=1,IFERROR(INDEX(Twin!$G$37:$BN$37,1,BS43),0),0)</f>
        <v>0.882262006849315</v>
      </c>
      <c r="BT58" s="43" t="n">
        <f aca="false">IF(BT42=1,IFERROR(INDEX(Twin!$G$37:$BN$37,1,BT43),0),0)</f>
        <v>0.921646664383562</v>
      </c>
      <c r="BU58" s="43" t="n">
        <f aca="false">IF(BU42=1,IFERROR(INDEX(Twin!$G$37:$BN$37,1,BU43),0),0)</f>
        <v>0.882262006849315</v>
      </c>
      <c r="BV58" s="43" t="n">
        <f aca="false">IF(BV42=1,IFERROR(INDEX(Twin!$G$37:$BN$37,1,BV43),0),0)</f>
        <v>0.842877349315069</v>
      </c>
      <c r="BW58" s="43" t="n">
        <f aca="false">IF(BW42=1,IFERROR(INDEX(Twin!$G$37:$BN$37,1,BW43),0),0)</f>
        <v>0</v>
      </c>
      <c r="BX58" s="43" t="n">
        <f aca="false">IF(BX42=1,IFERROR(INDEX(Twin!$G$37:$BN$37,1,BX43),0),0)</f>
        <v>0</v>
      </c>
    </row>
    <row r="59" customFormat="false" ht="15" hidden="false" customHeight="false" outlineLevel="0" collapsed="false">
      <c r="A59" s="1"/>
      <c r="B59" s="8" t="s">
        <v>323</v>
      </c>
      <c r="C59" s="8" t="s">
        <v>324</v>
      </c>
      <c r="D59" s="44" t="n">
        <f aca="false">SUM(G59:BX59)</f>
        <v>140286714.282</v>
      </c>
      <c r="E59" s="1"/>
      <c r="F59" s="1"/>
      <c r="G59" s="48" t="n">
        <f aca="false">G58*$D$7*8760</f>
        <v>0</v>
      </c>
      <c r="H59" s="48" t="n">
        <f aca="false">H58*$D$7*8760</f>
        <v>0</v>
      </c>
      <c r="I59" s="48" t="n">
        <f aca="false">I58*$D$7*8760</f>
        <v>0</v>
      </c>
      <c r="J59" s="48" t="n">
        <f aca="false">J58*$D$7*8760</f>
        <v>0</v>
      </c>
      <c r="K59" s="48" t="n">
        <f aca="false">K58*$D$7*8760</f>
        <v>0</v>
      </c>
      <c r="L59" s="48" t="n">
        <f aca="false">L58*$D$7*8760</f>
        <v>0</v>
      </c>
      <c r="M59" s="48" t="n">
        <f aca="false">M58*$D$7*8760</f>
        <v>0</v>
      </c>
      <c r="N59" s="48" t="n">
        <f aca="false">N58*$D$7*8760</f>
        <v>0</v>
      </c>
      <c r="O59" s="48" t="n">
        <f aca="false">O58*$D$7*8760</f>
        <v>2352458.628</v>
      </c>
      <c r="P59" s="48" t="n">
        <f aca="false">P58*$D$7*8760</f>
        <v>2251878.252</v>
      </c>
      <c r="Q59" s="48" t="n">
        <f aca="false">Q58*$D$7*8760</f>
        <v>2251596.672</v>
      </c>
      <c r="R59" s="48" t="n">
        <f aca="false">R58*$D$7*8760</f>
        <v>2427109.932</v>
      </c>
      <c r="S59" s="48" t="n">
        <f aca="false">S58*$D$7*8760</f>
        <v>2323527.024</v>
      </c>
      <c r="T59" s="48" t="n">
        <f aca="false">T58*$D$7*8760</f>
        <v>2323255.818</v>
      </c>
      <c r="U59" s="48" t="n">
        <f aca="false">U58*$D$7*8760</f>
        <v>2426758.698</v>
      </c>
      <c r="V59" s="48" t="n">
        <f aca="false">V58*$D$7*8760</f>
        <v>2323055.748</v>
      </c>
      <c r="W59" s="48" t="n">
        <f aca="false">W58*$D$7*8760</f>
        <v>2322975.72</v>
      </c>
      <c r="X59" s="48" t="n">
        <f aca="false">X58*$D$7*8760</f>
        <v>2253686.292</v>
      </c>
      <c r="Y59" s="48" t="n">
        <f aca="false">Y58*$D$7*8760</f>
        <v>2322504.444</v>
      </c>
      <c r="Z59" s="48" t="n">
        <f aca="false">Z58*$D$7*8760</f>
        <v>2322296.964</v>
      </c>
      <c r="AA59" s="48" t="n">
        <f aca="false">AA58*$D$7*8760</f>
        <v>2425592.364</v>
      </c>
      <c r="AB59" s="48" t="n">
        <f aca="false">AB58*$D$7*8760</f>
        <v>2322089.484</v>
      </c>
      <c r="AC59" s="48" t="n">
        <f aca="false">AC58*$D$7*8760</f>
        <v>2321467.044</v>
      </c>
      <c r="AD59" s="48" t="n">
        <f aca="false">AD58*$D$7*8760</f>
        <v>2424889.896</v>
      </c>
      <c r="AE59" s="48" t="n">
        <f aca="false">AE58*$D$7*8760</f>
        <v>2320764.576</v>
      </c>
      <c r="AF59" s="48" t="n">
        <f aca="false">AF58*$D$7*8760</f>
        <v>2320493.37</v>
      </c>
      <c r="AG59" s="48" t="n">
        <f aca="false">AG58*$D$7*8760</f>
        <v>2423908.812</v>
      </c>
      <c r="AH59" s="48" t="n">
        <f aca="false">AH58*$D$7*8760</f>
        <v>2216655.558</v>
      </c>
      <c r="AI59" s="48" t="n">
        <f aca="false">AI58*$D$7*8760</f>
        <v>2320078.41</v>
      </c>
      <c r="AJ59" s="48" t="n">
        <f aca="false">AJ58*$D$7*8760</f>
        <v>2423029.986</v>
      </c>
      <c r="AK59" s="48" t="n">
        <f aca="false">AK58*$D$7*8760</f>
        <v>2319095.844</v>
      </c>
      <c r="AL59" s="48" t="n">
        <f aca="false">AL58*$D$7*8760</f>
        <v>2319095.844</v>
      </c>
      <c r="AM59" s="48" t="n">
        <f aca="false">AM58*$D$7*8760</f>
        <v>2422454.97</v>
      </c>
      <c r="AN59" s="48" t="n">
        <f aca="false">AN58*$D$7*8760</f>
        <v>2318600.856</v>
      </c>
      <c r="AO59" s="48" t="n">
        <f aca="false">AO58*$D$7*8760</f>
        <v>2318584.554</v>
      </c>
      <c r="AP59" s="48" t="n">
        <f aca="false">AP58*$D$7*8760</f>
        <v>2422087.434</v>
      </c>
      <c r="AQ59" s="48" t="n">
        <f aca="false">AQ58*$D$7*8760</f>
        <v>2318584.554</v>
      </c>
      <c r="AR59" s="48" t="n">
        <f aca="false">AR58*$D$7*8760</f>
        <v>2215081.674</v>
      </c>
      <c r="AS59" s="48" t="n">
        <f aca="false">AS58*$D$7*8760</f>
        <v>2422087.434</v>
      </c>
      <c r="AT59" s="48" t="n">
        <f aca="false">AT58*$D$7*8760</f>
        <v>2318584.554</v>
      </c>
      <c r="AU59" s="48" t="n">
        <f aca="false">AU58*$D$7*8760</f>
        <v>2318584.554</v>
      </c>
      <c r="AV59" s="48" t="n">
        <f aca="false">AV58*$D$7*8760</f>
        <v>2422087.434</v>
      </c>
      <c r="AW59" s="48" t="n">
        <f aca="false">AW58*$D$7*8760</f>
        <v>2318584.554</v>
      </c>
      <c r="AX59" s="48" t="n">
        <f aca="false">AX58*$D$7*8760</f>
        <v>2318584.554</v>
      </c>
      <c r="AY59" s="48" t="n">
        <f aca="false">AY58*$D$7*8760</f>
        <v>2422087.434</v>
      </c>
      <c r="AZ59" s="48" t="n">
        <f aca="false">AZ58*$D$7*8760</f>
        <v>2318584.554</v>
      </c>
      <c r="BA59" s="48" t="n">
        <f aca="false">BA58*$D$7*8760</f>
        <v>2318584.554</v>
      </c>
      <c r="BB59" s="48" t="n">
        <f aca="false">BB58*$D$7*8760</f>
        <v>2249582.634</v>
      </c>
      <c r="BC59" s="48" t="n">
        <f aca="false">BC58*$D$7*8760</f>
        <v>2318584.554</v>
      </c>
      <c r="BD59" s="48" t="n">
        <f aca="false">BD58*$D$7*8760</f>
        <v>2318584.554</v>
      </c>
      <c r="BE59" s="48" t="n">
        <f aca="false">BE58*$D$7*8760</f>
        <v>2422087.434</v>
      </c>
      <c r="BF59" s="48" t="n">
        <f aca="false">BF58*$D$7*8760</f>
        <v>2318584.554</v>
      </c>
      <c r="BG59" s="48" t="n">
        <f aca="false">BG58*$D$7*8760</f>
        <v>2318584.554</v>
      </c>
      <c r="BH59" s="48" t="n">
        <f aca="false">BH58*$D$7*8760</f>
        <v>2422087.434</v>
      </c>
      <c r="BI59" s="48" t="n">
        <f aca="false">BI58*$D$7*8760</f>
        <v>2318584.554</v>
      </c>
      <c r="BJ59" s="48" t="n">
        <f aca="false">BJ58*$D$7*8760</f>
        <v>2318584.554</v>
      </c>
      <c r="BK59" s="48" t="n">
        <f aca="false">BK58*$D$7*8760</f>
        <v>2422087.434</v>
      </c>
      <c r="BL59" s="48" t="n">
        <f aca="false">BL58*$D$7*8760</f>
        <v>2215081.674</v>
      </c>
      <c r="BM59" s="48" t="n">
        <f aca="false">BM58*$D$7*8760</f>
        <v>2318584.554</v>
      </c>
      <c r="BN59" s="48" t="n">
        <f aca="false">BN58*$D$7*8760</f>
        <v>2422087.434</v>
      </c>
      <c r="BO59" s="48" t="n">
        <f aca="false">BO58*$D$7*8760</f>
        <v>2318584.554</v>
      </c>
      <c r="BP59" s="48" t="n">
        <f aca="false">BP58*$D$7*8760</f>
        <v>2318584.554</v>
      </c>
      <c r="BQ59" s="48" t="n">
        <f aca="false">BQ58*$D$7*8760</f>
        <v>2422087.434</v>
      </c>
      <c r="BR59" s="48" t="n">
        <f aca="false">BR58*$D$7*8760</f>
        <v>2318584.554</v>
      </c>
      <c r="BS59" s="48" t="n">
        <f aca="false">BS58*$D$7*8760</f>
        <v>2318584.554</v>
      </c>
      <c r="BT59" s="48" t="n">
        <f aca="false">BT58*$D$7*8760</f>
        <v>2422087.434</v>
      </c>
      <c r="BU59" s="48" t="n">
        <f aca="false">BU58*$D$7*8760</f>
        <v>2318584.554</v>
      </c>
      <c r="BV59" s="48" t="n">
        <f aca="false">BV58*$D$7*8760</f>
        <v>2215081.674</v>
      </c>
      <c r="BW59" s="48" t="n">
        <f aca="false">BW58*$D$7*8760</f>
        <v>0</v>
      </c>
      <c r="BX59" s="48" t="n">
        <f aca="false">BX58*$D$7*8760</f>
        <v>0</v>
      </c>
    </row>
    <row r="60" customFormat="false" ht="15" hidden="false" customHeight="false" outlineLevel="0" collapsed="false">
      <c r="A60" s="1"/>
      <c r="B60" s="8" t="s">
        <v>325</v>
      </c>
      <c r="C60" s="8" t="s">
        <v>76</v>
      </c>
      <c r="D60" s="1"/>
      <c r="E60" s="1"/>
      <c r="F60" s="1"/>
      <c r="G60" s="49" t="n">
        <f aca="false">IF(G42=1,G55*IFERROR(INDEX(Twin!$G$41:$BN$41,1,G43),0),0)</f>
        <v>0</v>
      </c>
      <c r="H60" s="49" t="n">
        <f aca="false">IF(H42=1,H55*IFERROR(INDEX(Twin!$G$41:$BN$41,1,H43),0),0)</f>
        <v>0</v>
      </c>
      <c r="I60" s="49" t="n">
        <f aca="false">IF(I42=1,I55*IFERROR(INDEX(Twin!$G$41:$BN$41,1,I43),0),0)</f>
        <v>0</v>
      </c>
      <c r="J60" s="49" t="n">
        <f aca="false">IF(J42=1,J55*IFERROR(INDEX(Twin!$G$41:$BN$41,1,J43),0),0)</f>
        <v>0</v>
      </c>
      <c r="K60" s="49" t="n">
        <f aca="false">IF(K42=1,K55*IFERROR(INDEX(Twin!$G$41:$BN$41,1,K43),0),0)</f>
        <v>0</v>
      </c>
      <c r="L60" s="49" t="n">
        <f aca="false">IF(L42=1,L55*IFERROR(INDEX(Twin!$G$41:$BN$41,1,L43),0),0)</f>
        <v>0</v>
      </c>
      <c r="M60" s="49" t="n">
        <f aca="false">IF(M42=1,M55*IFERROR(INDEX(Twin!$G$41:$BN$41,1,M43),0),0)</f>
        <v>0</v>
      </c>
      <c r="N60" s="49" t="n">
        <f aca="false">IF(N42=1,N55*IFERROR(INDEX(Twin!$G$41:$BN$41,1,N43),0),0)</f>
        <v>0</v>
      </c>
      <c r="O60" s="49" t="n">
        <f aca="false">IF(O42=1,O55*IFERROR(INDEX(Twin!$G$41:$BN$41,1,O43),0),0)</f>
        <v>416.215705004349</v>
      </c>
      <c r="P60" s="49" t="n">
        <f aca="false">IF(P42=1,P55*IFERROR(INDEX(Twin!$G$41:$BN$41,1,P43),0),0)</f>
        <v>412.709196674712</v>
      </c>
      <c r="Q60" s="49" t="n">
        <f aca="false">IF(Q42=1,Q55*IFERROR(INDEX(Twin!$G$41:$BN$41,1,Q43),0),0)</f>
        <v>410.673114192848</v>
      </c>
      <c r="R60" s="49" t="n">
        <f aca="false">IF(R42=1,R55*IFERROR(INDEX(Twin!$G$41:$BN$41,1,R43),0),0)</f>
        <v>410.051862740814</v>
      </c>
      <c r="S60" s="49" t="n">
        <f aca="false">IF(S42=1,S55*IFERROR(INDEX(Twin!$G$41:$BN$41,1,S43),0),0)</f>
        <v>406.492270518379</v>
      </c>
      <c r="T60" s="49" t="n">
        <f aca="false">IF(T42=1,T55*IFERROR(INDEX(Twin!$G$41:$BN$41,1,T43),0),0)</f>
        <v>404.452608202391</v>
      </c>
      <c r="U60" s="49" t="n">
        <f aca="false">IF(U42=1,U55*IFERROR(INDEX(Twin!$G$41:$BN$41,1,U43),0),0)</f>
        <v>404.927424857018</v>
      </c>
      <c r="V60" s="49" t="n">
        <f aca="false">IF(V42=1,V55*IFERROR(INDEX(Twin!$G$41:$BN$41,1,V43),0),0)</f>
        <v>402.397574103127</v>
      </c>
      <c r="W60" s="49" t="n">
        <f aca="false">IF(W42=1,W55*IFERROR(INDEX(Twin!$G$41:$BN$41,1,W43),0),0)</f>
        <v>401.367078536276</v>
      </c>
      <c r="X60" s="49" t="n">
        <f aca="false">IF(X42=1,X55*IFERROR(INDEX(Twin!$G$41:$BN$41,1,X43),0),0)</f>
        <v>400.625870951116</v>
      </c>
      <c r="Y60" s="49" t="n">
        <f aca="false">IF(Y42=1,Y55*IFERROR(INDEX(Twin!$G$41:$BN$41,1,Y43),0),0)</f>
        <v>399.3513754614</v>
      </c>
      <c r="Z60" s="49" t="n">
        <f aca="false">IF(Z42=1,Z55*IFERROR(INDEX(Twin!$G$41:$BN$41,1,Z43),0),0)</f>
        <v>398.338933542476</v>
      </c>
      <c r="AA60" s="49" t="n">
        <f aca="false">IF(AA42=1,AA55*IFERROR(INDEX(Twin!$G$41:$BN$41,1,AA43),0),0)</f>
        <v>398.903153989266</v>
      </c>
      <c r="AB60" s="49" t="n">
        <f aca="false">IF(AB42=1,AB55*IFERROR(INDEX(Twin!$G$41:$BN$41,1,AB43),0),0)</f>
        <v>396.284602793744</v>
      </c>
      <c r="AC60" s="49" t="n">
        <f aca="false">IF(AC42=1,AC55*IFERROR(INDEX(Twin!$G$41:$BN$41,1,AC43),0),0)</f>
        <v>395.331572969154</v>
      </c>
      <c r="AD60" s="49" t="n">
        <f aca="false">IF(AD42=1,AD55*IFERROR(INDEX(Twin!$G$41:$BN$41,1,AD43),0),0)</f>
        <v>395.905654680369</v>
      </c>
      <c r="AE60" s="49" t="n">
        <f aca="false">IF(AE42=1,AE55*IFERROR(INDEX(Twin!$G$41:$BN$41,1,AE43),0),0)</f>
        <v>394.385421099622</v>
      </c>
      <c r="AF60" s="49" t="n">
        <f aca="false">IF(AF42=1,AF55*IFERROR(INDEX(Twin!$G$41:$BN$41,1,AF43),0),0)</f>
        <v>394.419410089434</v>
      </c>
      <c r="AG60" s="49" t="n">
        <f aca="false">IF(AG42=1,AG55*IFERROR(INDEX(Twin!$G$41:$BN$41,1,AG43),0),0)</f>
        <v>396.071942569444</v>
      </c>
      <c r="AH60" s="49" t="n">
        <f aca="false">IF(AH42=1,AH55*IFERROR(INDEX(Twin!$G$41:$BN$41,1,AH43),0),0)</f>
        <v>395.606098370869</v>
      </c>
      <c r="AI60" s="49" t="n">
        <f aca="false">IF(AI42=1,AI55*IFERROR(INDEX(Twin!$G$41:$BN$41,1,AI43),0),0)</f>
        <v>394.466918074541</v>
      </c>
      <c r="AJ60" s="49" t="n">
        <f aca="false">IF(AJ42=1,AJ55*IFERROR(INDEX(Twin!$G$41:$BN$41,1,AJ43),0),0)</f>
        <v>396.224737030487</v>
      </c>
      <c r="AK60" s="49" t="n">
        <f aca="false">IF(AK42=1,AK55*IFERROR(INDEX(Twin!$G$41:$BN$41,1,AK43),0),0)</f>
        <v>394.598654256385</v>
      </c>
      <c r="AL60" s="49" t="n">
        <f aca="false">IF(AL42=1,AL55*IFERROR(INDEX(Twin!$G$41:$BN$41,1,AL43),0),0)</f>
        <v>394.594972700466</v>
      </c>
      <c r="AM60" s="49" t="n">
        <f aca="false">IF(AM42=1,AM55*IFERROR(INDEX(Twin!$G$41:$BN$41,1,AM43),0),0)</f>
        <v>396.336293174209</v>
      </c>
      <c r="AN60" s="49" t="n">
        <f aca="false">IF(AN42=1,AN55*IFERROR(INDEX(Twin!$G$41:$BN$41,1,AN43),0),0)</f>
        <v>394.65763685021</v>
      </c>
      <c r="AO60" s="49" t="n">
        <f aca="false">IF(AO42=1,AO55*IFERROR(INDEX(Twin!$G$41:$BN$41,1,AO43),0),0)</f>
        <v>394.656416737047</v>
      </c>
      <c r="AP60" s="49" t="n">
        <f aca="false">IF(AP42=1,AP55*IFERROR(INDEX(Twin!$G$41:$BN$41,1,AP43),0),0)</f>
        <v>396.408763250814</v>
      </c>
      <c r="AQ60" s="49" t="n">
        <f aca="false">IF(AQ42=1,AQ55*IFERROR(INDEX(Twin!$G$41:$BN$41,1,AQ43),0),0)</f>
        <v>394.656416737047</v>
      </c>
      <c r="AR60" s="49" t="n">
        <f aca="false">IF(AR42=1,AR55*IFERROR(INDEX(Twin!$G$41:$BN$41,1,AR43),0),0)</f>
        <v>395.687769393753</v>
      </c>
      <c r="AS60" s="49" t="n">
        <f aca="false">IF(AS42=1,AS55*IFERROR(INDEX(Twin!$G$41:$BN$41,1,AS43),0),0)</f>
        <v>396.408763250814</v>
      </c>
      <c r="AT60" s="49" t="n">
        <f aca="false">IF(AT42=1,AT55*IFERROR(INDEX(Twin!$G$41:$BN$41,1,AT43),0),0)</f>
        <v>394.656416737047</v>
      </c>
      <c r="AU60" s="49" t="n">
        <f aca="false">IF(AU42=1,AU55*IFERROR(INDEX(Twin!$G$41:$BN$41,1,AU43),0),0)</f>
        <v>394.656416737047</v>
      </c>
      <c r="AV60" s="49" t="n">
        <f aca="false">IF(AV42=1,AV55*IFERROR(INDEX(Twin!$G$41:$BN$41,1,AV43),0),0)</f>
        <v>396.408763250814</v>
      </c>
      <c r="AW60" s="49" t="n">
        <f aca="false">IF(AW42=1,AW55*IFERROR(INDEX(Twin!$G$41:$BN$41,1,AW43),0),0)</f>
        <v>394.656416737047</v>
      </c>
      <c r="AX60" s="49" t="n">
        <f aca="false">IF(AX42=1,AX55*IFERROR(INDEX(Twin!$G$41:$BN$41,1,AX43),0),0)</f>
        <v>394.656416737047</v>
      </c>
      <c r="AY60" s="49" t="n">
        <f aca="false">IF(AY42=1,AY55*IFERROR(INDEX(Twin!$G$41:$BN$41,1,AY43),0),0)</f>
        <v>396.408763250814</v>
      </c>
      <c r="AZ60" s="49" t="n">
        <f aca="false">IF(AZ42=1,AZ55*IFERROR(INDEX(Twin!$G$41:$BN$41,1,AZ43),0),0)</f>
        <v>394.656416737047</v>
      </c>
      <c r="BA60" s="49" t="n">
        <f aca="false">IF(BA42=1,BA55*IFERROR(INDEX(Twin!$G$41:$BN$41,1,BA43),0),0)</f>
        <v>394.656416737047</v>
      </c>
      <c r="BB60" s="49" t="n">
        <f aca="false">IF(BB42=1,BB55*IFERROR(INDEX(Twin!$G$41:$BN$41,1,BB43),0),0)</f>
        <v>394.732643699119</v>
      </c>
      <c r="BC60" s="49" t="n">
        <f aca="false">IF(BC42=1,BC55*IFERROR(INDEX(Twin!$G$41:$BN$41,1,BC43),0),0)</f>
        <v>394.656416737047</v>
      </c>
      <c r="BD60" s="49" t="n">
        <f aca="false">IF(BD42=1,BD55*IFERROR(INDEX(Twin!$G$41:$BN$41,1,BD43),0),0)</f>
        <v>394.656416737047</v>
      </c>
      <c r="BE60" s="49" t="n">
        <f aca="false">IF(BE42=1,BE55*IFERROR(INDEX(Twin!$G$41:$BN$41,1,BE43),0),0)</f>
        <v>396.408763250814</v>
      </c>
      <c r="BF60" s="49" t="n">
        <f aca="false">IF(BF42=1,BF55*IFERROR(INDEX(Twin!$G$41:$BN$41,1,BF43),0),0)</f>
        <v>394.656416737047</v>
      </c>
      <c r="BG60" s="49" t="n">
        <f aca="false">IF(BG42=1,BG55*IFERROR(INDEX(Twin!$G$41:$BN$41,1,BG43),0),0)</f>
        <v>394.656416737047</v>
      </c>
      <c r="BH60" s="49" t="n">
        <f aca="false">IF(BH42=1,BH55*IFERROR(INDEX(Twin!$G$41:$BN$41,1,BH43),0),0)</f>
        <v>396.408763250814</v>
      </c>
      <c r="BI60" s="49" t="n">
        <f aca="false">IF(BI42=1,BI55*IFERROR(INDEX(Twin!$G$41:$BN$41,1,BI43),0),0)</f>
        <v>394.656416737047</v>
      </c>
      <c r="BJ60" s="49" t="n">
        <f aca="false">IF(BJ42=1,BJ55*IFERROR(INDEX(Twin!$G$41:$BN$41,1,BJ43),0),0)</f>
        <v>394.656416737047</v>
      </c>
      <c r="BK60" s="49" t="n">
        <f aca="false">IF(BK42=1,BK55*IFERROR(INDEX(Twin!$G$41:$BN$41,1,BK43),0),0)</f>
        <v>396.408763250814</v>
      </c>
      <c r="BL60" s="49" t="n">
        <f aca="false">IF(BL42=1,BL55*IFERROR(INDEX(Twin!$G$41:$BN$41,1,BL43),0),0)</f>
        <v>395.687769393753</v>
      </c>
      <c r="BM60" s="49" t="n">
        <f aca="false">IF(BM42=1,BM55*IFERROR(INDEX(Twin!$G$41:$BN$41,1,BM43),0),0)</f>
        <v>394.656416737047</v>
      </c>
      <c r="BN60" s="49" t="n">
        <f aca="false">IF(BN42=1,BN55*IFERROR(INDEX(Twin!$G$41:$BN$41,1,BN43),0),0)</f>
        <v>396.408763250814</v>
      </c>
      <c r="BO60" s="49" t="n">
        <f aca="false">IF(BO42=1,BO55*IFERROR(INDEX(Twin!$G$41:$BN$41,1,BO43),0),0)</f>
        <v>394.656416737047</v>
      </c>
      <c r="BP60" s="49" t="n">
        <f aca="false">IF(BP42=1,BP55*IFERROR(INDEX(Twin!$G$41:$BN$41,1,BP43),0),0)</f>
        <v>394.656416737047</v>
      </c>
      <c r="BQ60" s="49" t="n">
        <f aca="false">IF(BQ42=1,BQ55*IFERROR(INDEX(Twin!$G$41:$BN$41,1,BQ43),0),0)</f>
        <v>396.408763250814</v>
      </c>
      <c r="BR60" s="49" t="n">
        <f aca="false">IF(BR42=1,BR55*IFERROR(INDEX(Twin!$G$41:$BN$41,1,BR43),0),0)</f>
        <v>394.656416737047</v>
      </c>
      <c r="BS60" s="49" t="n">
        <f aca="false">IF(BS42=1,BS55*IFERROR(INDEX(Twin!$G$41:$BN$41,1,BS43),0),0)</f>
        <v>394.656416737047</v>
      </c>
      <c r="BT60" s="49" t="n">
        <f aca="false">IF(BT42=1,BT55*IFERROR(INDEX(Twin!$G$41:$BN$41,1,BT43),0),0)</f>
        <v>396.408763250814</v>
      </c>
      <c r="BU60" s="49" t="n">
        <f aca="false">IF(BU42=1,BU55*IFERROR(INDEX(Twin!$G$41:$BN$41,1,BU43),0),0)</f>
        <v>394.656416737047</v>
      </c>
      <c r="BV60" s="49" t="n">
        <f aca="false">IF(BV42=1,BV55*IFERROR(INDEX(Twin!$G$41:$BN$41,1,BV43),0),0)</f>
        <v>395.687769393753</v>
      </c>
      <c r="BW60" s="49" t="n">
        <f aca="false">IF(BW42=1,BW55*IFERROR(INDEX(Twin!$G$41:$BN$41,1,BW43),0),0)</f>
        <v>0</v>
      </c>
      <c r="BX60" s="49" t="n">
        <f aca="false">IF(BX42=1,BX55*IFERROR(INDEX(Twin!$G$41:$BN$41,1,BX43),0),0)</f>
        <v>0</v>
      </c>
    </row>
    <row r="61" customFormat="false" ht="15" hidden="false" customHeight="false" outlineLevel="0" collapsed="false">
      <c r="A61" s="1"/>
      <c r="B61" s="8" t="s">
        <v>326</v>
      </c>
      <c r="C61" s="8" t="s">
        <v>126</v>
      </c>
      <c r="D61" s="44" t="n">
        <f aca="false">SUM(G61:BX61)</f>
        <v>55751.1781485732</v>
      </c>
      <c r="E61" s="1"/>
      <c r="F61" s="1"/>
      <c r="G61" s="48" t="n">
        <f aca="false">G59*G60/1000000</f>
        <v>0</v>
      </c>
      <c r="H61" s="48" t="n">
        <f aca="false">H59*H60/1000000</f>
        <v>0</v>
      </c>
      <c r="I61" s="48" t="n">
        <f aca="false">I59*I60/1000000</f>
        <v>0</v>
      </c>
      <c r="J61" s="48" t="n">
        <f aca="false">J59*J60/1000000</f>
        <v>0</v>
      </c>
      <c r="K61" s="48" t="n">
        <f aca="false">K59*K60/1000000</f>
        <v>0</v>
      </c>
      <c r="L61" s="48" t="n">
        <f aca="false">L59*L60/1000000</f>
        <v>0</v>
      </c>
      <c r="M61" s="48" t="n">
        <f aca="false">M59*M60/1000000</f>
        <v>0</v>
      </c>
      <c r="N61" s="48" t="n">
        <f aca="false">N59*N60/1000000</f>
        <v>0</v>
      </c>
      <c r="O61" s="48" t="n">
        <f aca="false">O59*O60/1000000</f>
        <v>979.130226346584</v>
      </c>
      <c r="P61" s="48" t="n">
        <f aca="false">P59*P60/1000000</f>
        <v>929.370864392174</v>
      </c>
      <c r="Q61" s="48" t="n">
        <f aca="false">Q59*Q60/1000000</f>
        <v>924.670217196492</v>
      </c>
      <c r="R61" s="48" t="n">
        <f aca="false">R59*R60/1000000</f>
        <v>995.24094869333</v>
      </c>
      <c r="S61" s="48" t="n">
        <f aca="false">S59*S60/1000000</f>
        <v>944.495775596573</v>
      </c>
      <c r="T61" s="48" t="n">
        <f aca="false">T59*T60/1000000</f>
        <v>939.64687511148</v>
      </c>
      <c r="U61" s="48" t="n">
        <f aca="false">U59*U60/1000000</f>
        <v>982.66115033051</v>
      </c>
      <c r="V61" s="48" t="n">
        <f aca="false">V59*V60/1000000</f>
        <v>934.791997501526</v>
      </c>
      <c r="W61" s="48" t="n">
        <f aca="false">W59*W60/1000000</f>
        <v>932.365978247102</v>
      </c>
      <c r="X61" s="48" t="n">
        <f aca="false">X59*X60/1000000</f>
        <v>902.885033583091</v>
      </c>
      <c r="Y61" s="48" t="n">
        <f aca="false">Y59*Y60/1000000</f>
        <v>927.495344226615</v>
      </c>
      <c r="Z61" s="48" t="n">
        <f aca="false">Z59*Z60/1000000</f>
        <v>925.06129600869</v>
      </c>
      <c r="AA61" s="48" t="n">
        <f aca="false">AA59*AA60/1000000</f>
        <v>967.576444291881</v>
      </c>
      <c r="AB61" s="48" t="n">
        <f aca="false">AB59*AB60/1000000</f>
        <v>920.20830881847</v>
      </c>
      <c r="AC61" s="48" t="n">
        <f aca="false">AC59*AC60/1000000</f>
        <v>917.749218100573</v>
      </c>
      <c r="AD61" s="48" t="n">
        <f aca="false">AD59*AD60/1000000</f>
        <v>960.027621803693</v>
      </c>
      <c r="AE61" s="48" t="n">
        <f aca="false">AE59*AE60/1000000</f>
        <v>915.275714578845</v>
      </c>
      <c r="AF61" s="48" t="n">
        <f aca="false">AF59*AF60/1000000</f>
        <v>915.247626111841</v>
      </c>
      <c r="AG61" s="48" t="n">
        <f aca="false">AG59*AG60/1000000</f>
        <v>960.042271780033</v>
      </c>
      <c r="AH61" s="48" t="n">
        <f aca="false">AH59*AH60/1000000</f>
        <v>876.922456732482</v>
      </c>
      <c r="AI61" s="48" t="n">
        <f aca="false">AI59*AI60/1000000</f>
        <v>915.194180083982</v>
      </c>
      <c r="AJ61" s="48" t="n">
        <f aca="false">AJ59*AJ60/1000000</f>
        <v>960.064419019833</v>
      </c>
      <c r="AK61" s="48" t="n">
        <f aca="false">AK59*AK60/1000000</f>
        <v>915.112099133975</v>
      </c>
      <c r="AL61" s="48" t="n">
        <f aca="false">AL59*AL60/1000000</f>
        <v>915.103561252943</v>
      </c>
      <c r="AM61" s="48" t="n">
        <f aca="false">AM59*AM60/1000000</f>
        <v>960.106823191239</v>
      </c>
      <c r="AN61" s="48" t="n">
        <f aca="false">AN59*AN60/1000000</f>
        <v>915.053534627834</v>
      </c>
      <c r="AO61" s="48" t="n">
        <f aca="false">AO59*AO60/1000000</f>
        <v>915.044271983503</v>
      </c>
      <c r="AP61" s="48" t="n">
        <f aca="false">AP59*AP60/1000000</f>
        <v>960.136684197278</v>
      </c>
      <c r="AQ61" s="48" t="n">
        <f aca="false">AQ59*AQ60/1000000</f>
        <v>915.044271983503</v>
      </c>
      <c r="AR61" s="48" t="n">
        <f aca="false">AR59*AR60/1000000</f>
        <v>876.480726610041</v>
      </c>
      <c r="AS61" s="48" t="n">
        <f aca="false">AS59*AS60/1000000</f>
        <v>960.136684197278</v>
      </c>
      <c r="AT61" s="48" t="n">
        <f aca="false">AT59*AT60/1000000</f>
        <v>915.044271983503</v>
      </c>
      <c r="AU61" s="48" t="n">
        <f aca="false">AU59*AU60/1000000</f>
        <v>915.044271983503</v>
      </c>
      <c r="AV61" s="48" t="n">
        <f aca="false">AV59*AV60/1000000</f>
        <v>960.136684197278</v>
      </c>
      <c r="AW61" s="48" t="n">
        <f aca="false">AW59*AW60/1000000</f>
        <v>915.044271983503</v>
      </c>
      <c r="AX61" s="48" t="n">
        <f aca="false">AX59*AX60/1000000</f>
        <v>915.044271983503</v>
      </c>
      <c r="AY61" s="48" t="n">
        <f aca="false">AY59*AY60/1000000</f>
        <v>960.136684197278</v>
      </c>
      <c r="AZ61" s="48" t="n">
        <f aca="false">AZ59*AZ60/1000000</f>
        <v>915.044271983503</v>
      </c>
      <c r="BA61" s="48" t="n">
        <f aca="false">BA59*BA60/1000000</f>
        <v>915.044271983503</v>
      </c>
      <c r="BB61" s="48" t="n">
        <f aca="false">BB59*BB60/1000000</f>
        <v>887.983700338448</v>
      </c>
      <c r="BC61" s="48" t="n">
        <f aca="false">BC59*BC60/1000000</f>
        <v>915.044271983503</v>
      </c>
      <c r="BD61" s="48" t="n">
        <f aca="false">BD59*BD60/1000000</f>
        <v>915.044271983503</v>
      </c>
      <c r="BE61" s="48" t="n">
        <f aca="false">BE59*BE60/1000000</f>
        <v>960.136684197278</v>
      </c>
      <c r="BF61" s="48" t="n">
        <f aca="false">BF59*BF60/1000000</f>
        <v>915.044271983503</v>
      </c>
      <c r="BG61" s="48" t="n">
        <f aca="false">BG59*BG60/1000000</f>
        <v>915.044271983503</v>
      </c>
      <c r="BH61" s="48" t="n">
        <f aca="false">BH59*BH60/1000000</f>
        <v>960.136684197278</v>
      </c>
      <c r="BI61" s="48" t="n">
        <f aca="false">BI59*BI60/1000000</f>
        <v>915.044271983503</v>
      </c>
      <c r="BJ61" s="48" t="n">
        <f aca="false">BJ59*BJ60/1000000</f>
        <v>915.044271983503</v>
      </c>
      <c r="BK61" s="48" t="n">
        <f aca="false">BK59*BK60/1000000</f>
        <v>960.136684197278</v>
      </c>
      <c r="BL61" s="48" t="n">
        <f aca="false">BL59*BL60/1000000</f>
        <v>876.480726610041</v>
      </c>
      <c r="BM61" s="48" t="n">
        <f aca="false">BM59*BM60/1000000</f>
        <v>915.044271983503</v>
      </c>
      <c r="BN61" s="48" t="n">
        <f aca="false">BN59*BN60/1000000</f>
        <v>960.136684197278</v>
      </c>
      <c r="BO61" s="48" t="n">
        <f aca="false">BO59*BO60/1000000</f>
        <v>915.044271983503</v>
      </c>
      <c r="BP61" s="48" t="n">
        <f aca="false">BP59*BP60/1000000</f>
        <v>915.044271983503</v>
      </c>
      <c r="BQ61" s="48" t="n">
        <f aca="false">BQ59*BQ60/1000000</f>
        <v>960.136684197278</v>
      </c>
      <c r="BR61" s="48" t="n">
        <f aca="false">BR59*BR60/1000000</f>
        <v>915.044271983503</v>
      </c>
      <c r="BS61" s="48" t="n">
        <f aca="false">BS59*BS60/1000000</f>
        <v>915.044271983503</v>
      </c>
      <c r="BT61" s="48" t="n">
        <f aca="false">BT59*BT60/1000000</f>
        <v>960.136684197278</v>
      </c>
      <c r="BU61" s="48" t="n">
        <f aca="false">BU59*BU60/1000000</f>
        <v>915.044271983503</v>
      </c>
      <c r="BV61" s="48" t="n">
        <f aca="false">BV59*BV60/1000000</f>
        <v>876.480726610041</v>
      </c>
      <c r="BW61" s="48" t="n">
        <f aca="false">BW59*BW60/1000000</f>
        <v>0</v>
      </c>
      <c r="BX61" s="48" t="n">
        <f aca="false">BX59*BX60/1000000</f>
        <v>0</v>
      </c>
    </row>
    <row r="62" customFormat="false" ht="15" hidden="false" customHeight="false" outlineLevel="0" collapsed="false">
      <c r="A62" s="1"/>
      <c r="B62" s="8" t="s">
        <v>408</v>
      </c>
      <c r="C62" s="8" t="s">
        <v>126</v>
      </c>
      <c r="D62" s="44" t="n">
        <f aca="false">SUM(G62:BX62)</f>
        <v>0</v>
      </c>
      <c r="E62" s="1"/>
      <c r="F62" s="1"/>
      <c r="G62" s="48" t="n">
        <f aca="false">0</f>
        <v>0</v>
      </c>
      <c r="H62" s="48" t="n">
        <f aca="false">0</f>
        <v>0</v>
      </c>
      <c r="I62" s="48" t="n">
        <f aca="false">0</f>
        <v>0</v>
      </c>
      <c r="J62" s="48" t="n">
        <f aca="false">0</f>
        <v>0</v>
      </c>
      <c r="K62" s="48" t="n">
        <f aca="false">0</f>
        <v>0</v>
      </c>
      <c r="L62" s="48" t="n">
        <f aca="false">0</f>
        <v>0</v>
      </c>
      <c r="M62" s="48" t="n">
        <f aca="false">0</f>
        <v>0</v>
      </c>
      <c r="N62" s="48" t="n">
        <f aca="false">0</f>
        <v>0</v>
      </c>
      <c r="O62" s="48" t="n">
        <f aca="false">0</f>
        <v>0</v>
      </c>
      <c r="P62" s="48" t="n">
        <f aca="false">0</f>
        <v>0</v>
      </c>
      <c r="Q62" s="48" t="n">
        <f aca="false">0</f>
        <v>0</v>
      </c>
      <c r="R62" s="48" t="n">
        <f aca="false">0</f>
        <v>0</v>
      </c>
      <c r="S62" s="48" t="n">
        <f aca="false">0</f>
        <v>0</v>
      </c>
      <c r="T62" s="48" t="n">
        <f aca="false">0</f>
        <v>0</v>
      </c>
      <c r="U62" s="48" t="n">
        <f aca="false">0</f>
        <v>0</v>
      </c>
      <c r="V62" s="48" t="n">
        <f aca="false">0</f>
        <v>0</v>
      </c>
      <c r="W62" s="48" t="n">
        <f aca="false">0</f>
        <v>0</v>
      </c>
      <c r="X62" s="48" t="n">
        <f aca="false">0</f>
        <v>0</v>
      </c>
      <c r="Y62" s="48" t="n">
        <f aca="false">0</f>
        <v>0</v>
      </c>
      <c r="Z62" s="48" t="n">
        <f aca="false">0</f>
        <v>0</v>
      </c>
      <c r="AA62" s="48" t="n">
        <f aca="false">0</f>
        <v>0</v>
      </c>
      <c r="AB62" s="48" t="n">
        <f aca="false">0</f>
        <v>0</v>
      </c>
      <c r="AC62" s="48" t="n">
        <f aca="false">0</f>
        <v>0</v>
      </c>
      <c r="AD62" s="48" t="n">
        <f aca="false">0</f>
        <v>0</v>
      </c>
      <c r="AE62" s="48" t="n">
        <f aca="false">0</f>
        <v>0</v>
      </c>
      <c r="AF62" s="48" t="n">
        <f aca="false">0</f>
        <v>0</v>
      </c>
      <c r="AG62" s="48" t="n">
        <f aca="false">0</f>
        <v>0</v>
      </c>
      <c r="AH62" s="48" t="n">
        <f aca="false">0</f>
        <v>0</v>
      </c>
      <c r="AI62" s="48" t="n">
        <f aca="false">0</f>
        <v>0</v>
      </c>
      <c r="AJ62" s="48" t="n">
        <f aca="false">0</f>
        <v>0</v>
      </c>
      <c r="AK62" s="48" t="n">
        <f aca="false">0</f>
        <v>0</v>
      </c>
      <c r="AL62" s="48" t="n">
        <f aca="false">0</f>
        <v>0</v>
      </c>
      <c r="AM62" s="48" t="n">
        <f aca="false">0</f>
        <v>0</v>
      </c>
      <c r="AN62" s="48" t="n">
        <f aca="false">0</f>
        <v>0</v>
      </c>
      <c r="AO62" s="48" t="n">
        <f aca="false">0</f>
        <v>0</v>
      </c>
      <c r="AP62" s="48" t="n">
        <f aca="false">0</f>
        <v>0</v>
      </c>
      <c r="AQ62" s="48" t="n">
        <f aca="false">0</f>
        <v>0</v>
      </c>
      <c r="AR62" s="48" t="n">
        <f aca="false">0</f>
        <v>0</v>
      </c>
      <c r="AS62" s="48" t="n">
        <f aca="false">0</f>
        <v>0</v>
      </c>
      <c r="AT62" s="48" t="n">
        <f aca="false">0</f>
        <v>0</v>
      </c>
      <c r="AU62" s="48" t="n">
        <f aca="false">0</f>
        <v>0</v>
      </c>
      <c r="AV62" s="48" t="n">
        <f aca="false">0</f>
        <v>0</v>
      </c>
      <c r="AW62" s="48" t="n">
        <f aca="false">0</f>
        <v>0</v>
      </c>
      <c r="AX62" s="48" t="n">
        <f aca="false">0</f>
        <v>0</v>
      </c>
      <c r="AY62" s="48" t="n">
        <f aca="false">0</f>
        <v>0</v>
      </c>
      <c r="AZ62" s="48" t="n">
        <f aca="false">0</f>
        <v>0</v>
      </c>
      <c r="BA62" s="48" t="n">
        <f aca="false">0</f>
        <v>0</v>
      </c>
      <c r="BB62" s="48" t="n">
        <f aca="false">0</f>
        <v>0</v>
      </c>
      <c r="BC62" s="48" t="n">
        <f aca="false">0</f>
        <v>0</v>
      </c>
      <c r="BD62" s="48" t="n">
        <f aca="false">0</f>
        <v>0</v>
      </c>
      <c r="BE62" s="48" t="n">
        <f aca="false">0</f>
        <v>0</v>
      </c>
      <c r="BF62" s="48" t="n">
        <f aca="false">0</f>
        <v>0</v>
      </c>
      <c r="BG62" s="48" t="n">
        <f aca="false">0</f>
        <v>0</v>
      </c>
      <c r="BH62" s="48" t="n">
        <f aca="false">0</f>
        <v>0</v>
      </c>
      <c r="BI62" s="48" t="n">
        <f aca="false">0</f>
        <v>0</v>
      </c>
      <c r="BJ62" s="48" t="n">
        <f aca="false">0</f>
        <v>0</v>
      </c>
      <c r="BK62" s="48" t="n">
        <f aca="false">0</f>
        <v>0</v>
      </c>
      <c r="BL62" s="48" t="n">
        <f aca="false">0</f>
        <v>0</v>
      </c>
      <c r="BM62" s="48" t="n">
        <f aca="false">0</f>
        <v>0</v>
      </c>
      <c r="BN62" s="48" t="n">
        <f aca="false">0</f>
        <v>0</v>
      </c>
      <c r="BO62" s="48" t="n">
        <f aca="false">0</f>
        <v>0</v>
      </c>
      <c r="BP62" s="48" t="n">
        <f aca="false">0</f>
        <v>0</v>
      </c>
      <c r="BQ62" s="48" t="n">
        <f aca="false">0</f>
        <v>0</v>
      </c>
      <c r="BR62" s="48" t="n">
        <f aca="false">0</f>
        <v>0</v>
      </c>
      <c r="BS62" s="48" t="n">
        <f aca="false">0</f>
        <v>0</v>
      </c>
      <c r="BT62" s="48" t="n">
        <f aca="false">0</f>
        <v>0</v>
      </c>
      <c r="BU62" s="48" t="n">
        <f aca="false">0</f>
        <v>0</v>
      </c>
      <c r="BV62" s="48" t="n">
        <f aca="false">0</f>
        <v>0</v>
      </c>
      <c r="BW62" s="48" t="n">
        <f aca="false">0</f>
        <v>0</v>
      </c>
      <c r="BX62" s="48" t="n">
        <f aca="false">0</f>
        <v>0</v>
      </c>
    </row>
    <row r="63" customFormat="false" ht="15" hidden="false" customHeight="false" outlineLevel="0" collapsed="false">
      <c r="A63" s="1"/>
      <c r="B63" s="8" t="s">
        <v>329</v>
      </c>
      <c r="C63" s="8" t="s">
        <v>126</v>
      </c>
      <c r="D63" s="44" t="n">
        <f aca="false">SUM(G63:BX63)</f>
        <v>0</v>
      </c>
      <c r="E63" s="1"/>
      <c r="F63" s="1"/>
      <c r="G63" s="48" t="n">
        <f aca="false">IF(AND(G42=1,G43&lt;=$D$38),$D$37*$D$35*$D$7*1000/1000000,0)</f>
        <v>0</v>
      </c>
      <c r="H63" s="48" t="n">
        <f aca="false">IF(AND(H42=1,H43&lt;=$D$38),$D$37*$D$35*$D$7*1000/1000000,0)</f>
        <v>0</v>
      </c>
      <c r="I63" s="48" t="n">
        <f aca="false">IF(AND(I42=1,I43&lt;=$D$38),$D$37*$D$35*$D$7*1000/1000000,0)</f>
        <v>0</v>
      </c>
      <c r="J63" s="48" t="n">
        <f aca="false">IF(AND(J42=1,J43&lt;=$D$38),$D$37*$D$35*$D$7*1000/1000000,0)</f>
        <v>0</v>
      </c>
      <c r="K63" s="48" t="n">
        <f aca="false">IF(AND(K42=1,K43&lt;=$D$38),$D$37*$D$35*$D$7*1000/1000000,0)</f>
        <v>0</v>
      </c>
      <c r="L63" s="48" t="n">
        <f aca="false">IF(AND(L42=1,L43&lt;=$D$38),$D$37*$D$35*$D$7*1000/1000000,0)</f>
        <v>0</v>
      </c>
      <c r="M63" s="48" t="n">
        <f aca="false">IF(AND(M42=1,M43&lt;=$D$38),$D$37*$D$35*$D$7*1000/1000000,0)</f>
        <v>0</v>
      </c>
      <c r="N63" s="48" t="n">
        <f aca="false">IF(AND(N42=1,N43&lt;=$D$38),$D$37*$D$35*$D$7*1000/1000000,0)</f>
        <v>0</v>
      </c>
      <c r="O63" s="48" t="n">
        <f aca="false">IF(AND(O42=1,O43&lt;=$D$38),$D$37*$D$35*$D$7*1000/1000000,0)</f>
        <v>0</v>
      </c>
      <c r="P63" s="48" t="n">
        <f aca="false">IF(AND(P42=1,P43&lt;=$D$38),$D$37*$D$35*$D$7*1000/1000000,0)</f>
        <v>0</v>
      </c>
      <c r="Q63" s="48" t="n">
        <f aca="false">IF(AND(Q42=1,Q43&lt;=$D$38),$D$37*$D$35*$D$7*1000/1000000,0)</f>
        <v>0</v>
      </c>
      <c r="R63" s="48" t="n">
        <f aca="false">IF(AND(R42=1,R43&lt;=$D$38),$D$37*$D$35*$D$7*1000/1000000,0)</f>
        <v>0</v>
      </c>
      <c r="S63" s="48" t="n">
        <f aca="false">IF(AND(S42=1,S43&lt;=$D$38),$D$37*$D$35*$D$7*1000/1000000,0)</f>
        <v>0</v>
      </c>
      <c r="T63" s="48" t="n">
        <f aca="false">IF(AND(T42=1,T43&lt;=$D$38),$D$37*$D$35*$D$7*1000/1000000,0)</f>
        <v>0</v>
      </c>
      <c r="U63" s="48" t="n">
        <f aca="false">IF(AND(U42=1,U43&lt;=$D$38),$D$37*$D$35*$D$7*1000/1000000,0)</f>
        <v>0</v>
      </c>
      <c r="V63" s="48" t="n">
        <f aca="false">IF(AND(V42=1,V43&lt;=$D$38),$D$37*$D$35*$D$7*1000/1000000,0)</f>
        <v>0</v>
      </c>
      <c r="W63" s="48" t="n">
        <f aca="false">IF(AND(W42=1,W43&lt;=$D$38),$D$37*$D$35*$D$7*1000/1000000,0)</f>
        <v>0</v>
      </c>
      <c r="X63" s="48" t="n">
        <f aca="false">IF(AND(X42=1,X43&lt;=$D$38),$D$37*$D$35*$D$7*1000/1000000,0)</f>
        <v>0</v>
      </c>
      <c r="Y63" s="48" t="n">
        <f aca="false">IF(AND(Y42=1,Y43&lt;=$D$38),$D$37*$D$35*$D$7*1000/1000000,0)</f>
        <v>0</v>
      </c>
      <c r="Z63" s="48" t="n">
        <f aca="false">IF(AND(Z42=1,Z43&lt;=$D$38),$D$37*$D$35*$D$7*1000/1000000,0)</f>
        <v>0</v>
      </c>
      <c r="AA63" s="48" t="n">
        <f aca="false">IF(AND(AA42=1,AA43&lt;=$D$38),$D$37*$D$35*$D$7*1000/1000000,0)</f>
        <v>0</v>
      </c>
      <c r="AB63" s="48" t="n">
        <f aca="false">IF(AND(AB42=1,AB43&lt;=$D$38),$D$37*$D$35*$D$7*1000/1000000,0)</f>
        <v>0</v>
      </c>
      <c r="AC63" s="48" t="n">
        <f aca="false">IF(AND(AC42=1,AC43&lt;=$D$38),$D$37*$D$35*$D$7*1000/1000000,0)</f>
        <v>0</v>
      </c>
      <c r="AD63" s="48" t="n">
        <f aca="false">IF(AND(AD42=1,AD43&lt;=$D$38),$D$37*$D$35*$D$7*1000/1000000,0)</f>
        <v>0</v>
      </c>
      <c r="AE63" s="48" t="n">
        <f aca="false">IF(AND(AE42=1,AE43&lt;=$D$38),$D$37*$D$35*$D$7*1000/1000000,0)</f>
        <v>0</v>
      </c>
      <c r="AF63" s="48" t="n">
        <f aca="false">IF(AND(AF42=1,AF43&lt;=$D$38),$D$37*$D$35*$D$7*1000/1000000,0)</f>
        <v>0</v>
      </c>
      <c r="AG63" s="48" t="n">
        <f aca="false">IF(AND(AG42=1,AG43&lt;=$D$38),$D$37*$D$35*$D$7*1000/1000000,0)</f>
        <v>0</v>
      </c>
      <c r="AH63" s="48" t="n">
        <f aca="false">IF(AND(AH42=1,AH43&lt;=$D$38),$D$37*$D$35*$D$7*1000/1000000,0)</f>
        <v>0</v>
      </c>
      <c r="AI63" s="48" t="n">
        <f aca="false">IF(AND(AI42=1,AI43&lt;=$D$38),$D$37*$D$35*$D$7*1000/1000000,0)</f>
        <v>0</v>
      </c>
      <c r="AJ63" s="48" t="n">
        <f aca="false">IF(AND(AJ42=1,AJ43&lt;=$D$38),$D$37*$D$35*$D$7*1000/1000000,0)</f>
        <v>0</v>
      </c>
      <c r="AK63" s="48" t="n">
        <f aca="false">IF(AND(AK42=1,AK43&lt;=$D$38),$D$37*$D$35*$D$7*1000/1000000,0)</f>
        <v>0</v>
      </c>
      <c r="AL63" s="48" t="n">
        <f aca="false">IF(AND(AL42=1,AL43&lt;=$D$38),$D$37*$D$35*$D$7*1000/1000000,0)</f>
        <v>0</v>
      </c>
      <c r="AM63" s="48" t="n">
        <f aca="false">IF(AND(AM42=1,AM43&lt;=$D$38),$D$37*$D$35*$D$7*1000/1000000,0)</f>
        <v>0</v>
      </c>
      <c r="AN63" s="48" t="n">
        <f aca="false">IF(AND(AN42=1,AN43&lt;=$D$38),$D$37*$D$35*$D$7*1000/1000000,0)</f>
        <v>0</v>
      </c>
      <c r="AO63" s="48" t="n">
        <f aca="false">IF(AND(AO42=1,AO43&lt;=$D$38),$D$37*$D$35*$D$7*1000/1000000,0)</f>
        <v>0</v>
      </c>
      <c r="AP63" s="48" t="n">
        <f aca="false">IF(AND(AP42=1,AP43&lt;=$D$38),$D$37*$D$35*$D$7*1000/1000000,0)</f>
        <v>0</v>
      </c>
      <c r="AQ63" s="48" t="n">
        <f aca="false">IF(AND(AQ42=1,AQ43&lt;=$D$38),$D$37*$D$35*$D$7*1000/1000000,0)</f>
        <v>0</v>
      </c>
      <c r="AR63" s="48" t="n">
        <f aca="false">IF(AND(AR42=1,AR43&lt;=$D$38),$D$37*$D$35*$D$7*1000/1000000,0)</f>
        <v>0</v>
      </c>
      <c r="AS63" s="48" t="n">
        <f aca="false">IF(AND(AS42=1,AS43&lt;=$D$38),$D$37*$D$35*$D$7*1000/1000000,0)</f>
        <v>0</v>
      </c>
      <c r="AT63" s="48" t="n">
        <f aca="false">IF(AND(AT42=1,AT43&lt;=$D$38),$D$37*$D$35*$D$7*1000/1000000,0)</f>
        <v>0</v>
      </c>
      <c r="AU63" s="48" t="n">
        <f aca="false">IF(AND(AU42=1,AU43&lt;=$D$38),$D$37*$D$35*$D$7*1000/1000000,0)</f>
        <v>0</v>
      </c>
      <c r="AV63" s="48" t="n">
        <f aca="false">IF(AND(AV42=1,AV43&lt;=$D$38),$D$37*$D$35*$D$7*1000/1000000,0)</f>
        <v>0</v>
      </c>
      <c r="AW63" s="48" t="n">
        <f aca="false">IF(AND(AW42=1,AW43&lt;=$D$38),$D$37*$D$35*$D$7*1000/1000000,0)</f>
        <v>0</v>
      </c>
      <c r="AX63" s="48" t="n">
        <f aca="false">IF(AND(AX42=1,AX43&lt;=$D$38),$D$37*$D$35*$D$7*1000/1000000,0)</f>
        <v>0</v>
      </c>
      <c r="AY63" s="48" t="n">
        <f aca="false">IF(AND(AY42=1,AY43&lt;=$D$38),$D$37*$D$35*$D$7*1000/1000000,0)</f>
        <v>0</v>
      </c>
      <c r="AZ63" s="48" t="n">
        <f aca="false">IF(AND(AZ42=1,AZ43&lt;=$D$38),$D$37*$D$35*$D$7*1000/1000000,0)</f>
        <v>0</v>
      </c>
      <c r="BA63" s="48" t="n">
        <f aca="false">IF(AND(BA42=1,BA43&lt;=$D$38),$D$37*$D$35*$D$7*1000/1000000,0)</f>
        <v>0</v>
      </c>
      <c r="BB63" s="48" t="n">
        <f aca="false">IF(AND(BB42=1,BB43&lt;=$D$38),$D$37*$D$35*$D$7*1000/1000000,0)</f>
        <v>0</v>
      </c>
      <c r="BC63" s="48" t="n">
        <f aca="false">IF(AND(BC42=1,BC43&lt;=$D$38),$D$37*$D$35*$D$7*1000/1000000,0)</f>
        <v>0</v>
      </c>
      <c r="BD63" s="48" t="n">
        <f aca="false">IF(AND(BD42=1,BD43&lt;=$D$38),$D$37*$D$35*$D$7*1000/1000000,0)</f>
        <v>0</v>
      </c>
      <c r="BE63" s="48" t="n">
        <f aca="false">IF(AND(BE42=1,BE43&lt;=$D$38),$D$37*$D$35*$D$7*1000/1000000,0)</f>
        <v>0</v>
      </c>
      <c r="BF63" s="48" t="n">
        <f aca="false">IF(AND(BF42=1,BF43&lt;=$D$38),$D$37*$D$35*$D$7*1000/1000000,0)</f>
        <v>0</v>
      </c>
      <c r="BG63" s="48" t="n">
        <f aca="false">IF(AND(BG42=1,BG43&lt;=$D$38),$D$37*$D$35*$D$7*1000/1000000,0)</f>
        <v>0</v>
      </c>
      <c r="BH63" s="48" t="n">
        <f aca="false">IF(AND(BH42=1,BH43&lt;=$D$38),$D$37*$D$35*$D$7*1000/1000000,0)</f>
        <v>0</v>
      </c>
      <c r="BI63" s="48" t="n">
        <f aca="false">IF(AND(BI42=1,BI43&lt;=$D$38),$D$37*$D$35*$D$7*1000/1000000,0)</f>
        <v>0</v>
      </c>
      <c r="BJ63" s="48" t="n">
        <f aca="false">IF(AND(BJ42=1,BJ43&lt;=$D$38),$D$37*$D$35*$D$7*1000/1000000,0)</f>
        <v>0</v>
      </c>
      <c r="BK63" s="48" t="n">
        <f aca="false">IF(AND(BK42=1,BK43&lt;=$D$38),$D$37*$D$35*$D$7*1000/1000000,0)</f>
        <v>0</v>
      </c>
      <c r="BL63" s="48" t="n">
        <f aca="false">IF(AND(BL42=1,BL43&lt;=$D$38),$D$37*$D$35*$D$7*1000/1000000,0)</f>
        <v>0</v>
      </c>
      <c r="BM63" s="48" t="n">
        <f aca="false">IF(AND(BM42=1,BM43&lt;=$D$38),$D$37*$D$35*$D$7*1000/1000000,0)</f>
        <v>0</v>
      </c>
      <c r="BN63" s="48" t="n">
        <f aca="false">IF(AND(BN42=1,BN43&lt;=$D$38),$D$37*$D$35*$D$7*1000/1000000,0)</f>
        <v>0</v>
      </c>
      <c r="BO63" s="48" t="n">
        <f aca="false">IF(AND(BO42=1,BO43&lt;=$D$38),$D$37*$D$35*$D$7*1000/1000000,0)</f>
        <v>0</v>
      </c>
      <c r="BP63" s="48" t="n">
        <f aca="false">IF(AND(BP42=1,BP43&lt;=$D$38),$D$37*$D$35*$D$7*1000/1000000,0)</f>
        <v>0</v>
      </c>
      <c r="BQ63" s="48" t="n">
        <f aca="false">IF(AND(BQ42=1,BQ43&lt;=$D$38),$D$37*$D$35*$D$7*1000/1000000,0)</f>
        <v>0</v>
      </c>
      <c r="BR63" s="48" t="n">
        <f aca="false">IF(AND(BR42=1,BR43&lt;=$D$38),$D$37*$D$35*$D$7*1000/1000000,0)</f>
        <v>0</v>
      </c>
      <c r="BS63" s="48" t="n">
        <f aca="false">IF(AND(BS42=1,BS43&lt;=$D$38),$D$37*$D$35*$D$7*1000/1000000,0)</f>
        <v>0</v>
      </c>
      <c r="BT63" s="48" t="n">
        <f aca="false">IF(AND(BT42=1,BT43&lt;=$D$38),$D$37*$D$35*$D$7*1000/1000000,0)</f>
        <v>0</v>
      </c>
      <c r="BU63" s="48" t="n">
        <f aca="false">IF(AND(BU42=1,BU43&lt;=$D$38),$D$37*$D$35*$D$7*1000/1000000,0)</f>
        <v>0</v>
      </c>
      <c r="BV63" s="48" t="n">
        <f aca="false">IF(AND(BV42=1,BV43&lt;=$D$38),$D$37*$D$35*$D$7*1000/1000000,0)</f>
        <v>0</v>
      </c>
      <c r="BW63" s="48" t="n">
        <f aca="false">IF(AND(BW42=1,BW43&lt;=$D$38),$D$37*$D$35*$D$7*1000/1000000,0)</f>
        <v>0</v>
      </c>
      <c r="BX63" s="48" t="n">
        <f aca="false">IF(AND(BX42=1,BX43&lt;=$D$38),$D$37*$D$35*$D$7*1000/1000000,0)</f>
        <v>0</v>
      </c>
    </row>
    <row r="64" customFormat="false" ht="15" hidden="false" customHeight="false" outlineLevel="0" collapsed="false">
      <c r="A64" s="1"/>
      <c r="B64" s="8" t="s">
        <v>330</v>
      </c>
      <c r="C64" s="8" t="s">
        <v>126</v>
      </c>
      <c r="D64" s="44" t="n">
        <f aca="false">SUM(G64:BX64)</f>
        <v>0</v>
      </c>
      <c r="E64" s="1"/>
      <c r="F64" s="1"/>
      <c r="G64" s="48" t="n">
        <f aca="false">0</f>
        <v>0</v>
      </c>
      <c r="H64" s="48" t="n">
        <f aca="false">0</f>
        <v>0</v>
      </c>
      <c r="I64" s="48" t="n">
        <f aca="false">0</f>
        <v>0</v>
      </c>
      <c r="J64" s="48" t="n">
        <f aca="false">0</f>
        <v>0</v>
      </c>
      <c r="K64" s="48" t="n">
        <f aca="false">0</f>
        <v>0</v>
      </c>
      <c r="L64" s="48" t="n">
        <f aca="false">0</f>
        <v>0</v>
      </c>
      <c r="M64" s="48" t="n">
        <f aca="false">0</f>
        <v>0</v>
      </c>
      <c r="N64" s="48" t="n">
        <f aca="false">0</f>
        <v>0</v>
      </c>
      <c r="O64" s="48" t="n">
        <f aca="false">0</f>
        <v>0</v>
      </c>
      <c r="P64" s="48" t="n">
        <f aca="false">0</f>
        <v>0</v>
      </c>
      <c r="Q64" s="48" t="n">
        <f aca="false">0</f>
        <v>0</v>
      </c>
      <c r="R64" s="48" t="n">
        <f aca="false">0</f>
        <v>0</v>
      </c>
      <c r="S64" s="48" t="n">
        <f aca="false">0</f>
        <v>0</v>
      </c>
      <c r="T64" s="48" t="n">
        <f aca="false">0</f>
        <v>0</v>
      </c>
      <c r="U64" s="48" t="n">
        <f aca="false">0</f>
        <v>0</v>
      </c>
      <c r="V64" s="48" t="n">
        <f aca="false">0</f>
        <v>0</v>
      </c>
      <c r="W64" s="48" t="n">
        <f aca="false">0</f>
        <v>0</v>
      </c>
      <c r="X64" s="48" t="n">
        <f aca="false">0</f>
        <v>0</v>
      </c>
      <c r="Y64" s="48" t="n">
        <f aca="false">0</f>
        <v>0</v>
      </c>
      <c r="Z64" s="48" t="n">
        <f aca="false">0</f>
        <v>0</v>
      </c>
      <c r="AA64" s="48" t="n">
        <f aca="false">0</f>
        <v>0</v>
      </c>
      <c r="AB64" s="48" t="n">
        <f aca="false">0</f>
        <v>0</v>
      </c>
      <c r="AC64" s="48" t="n">
        <f aca="false">0</f>
        <v>0</v>
      </c>
      <c r="AD64" s="48" t="n">
        <f aca="false">0</f>
        <v>0</v>
      </c>
      <c r="AE64" s="48" t="n">
        <f aca="false">0</f>
        <v>0</v>
      </c>
      <c r="AF64" s="48" t="n">
        <f aca="false">0</f>
        <v>0</v>
      </c>
      <c r="AG64" s="48" t="n">
        <f aca="false">0</f>
        <v>0</v>
      </c>
      <c r="AH64" s="48" t="n">
        <f aca="false">0</f>
        <v>0</v>
      </c>
      <c r="AI64" s="48" t="n">
        <f aca="false">0</f>
        <v>0</v>
      </c>
      <c r="AJ64" s="48" t="n">
        <f aca="false">0</f>
        <v>0</v>
      </c>
      <c r="AK64" s="48" t="n">
        <f aca="false">0</f>
        <v>0</v>
      </c>
      <c r="AL64" s="48" t="n">
        <f aca="false">0</f>
        <v>0</v>
      </c>
      <c r="AM64" s="48" t="n">
        <f aca="false">0</f>
        <v>0</v>
      </c>
      <c r="AN64" s="48" t="n">
        <f aca="false">0</f>
        <v>0</v>
      </c>
      <c r="AO64" s="48" t="n">
        <f aca="false">0</f>
        <v>0</v>
      </c>
      <c r="AP64" s="48" t="n">
        <f aca="false">0</f>
        <v>0</v>
      </c>
      <c r="AQ64" s="48" t="n">
        <f aca="false">0</f>
        <v>0</v>
      </c>
      <c r="AR64" s="48" t="n">
        <f aca="false">0</f>
        <v>0</v>
      </c>
      <c r="AS64" s="48" t="n">
        <f aca="false">0</f>
        <v>0</v>
      </c>
      <c r="AT64" s="48" t="n">
        <f aca="false">0</f>
        <v>0</v>
      </c>
      <c r="AU64" s="48" t="n">
        <f aca="false">0</f>
        <v>0</v>
      </c>
      <c r="AV64" s="48" t="n">
        <f aca="false">0</f>
        <v>0</v>
      </c>
      <c r="AW64" s="48" t="n">
        <f aca="false">0</f>
        <v>0</v>
      </c>
      <c r="AX64" s="48" t="n">
        <f aca="false">0</f>
        <v>0</v>
      </c>
      <c r="AY64" s="48" t="n">
        <f aca="false">0</f>
        <v>0</v>
      </c>
      <c r="AZ64" s="48" t="n">
        <f aca="false">0</f>
        <v>0</v>
      </c>
      <c r="BA64" s="48" t="n">
        <f aca="false">0</f>
        <v>0</v>
      </c>
      <c r="BB64" s="48" t="n">
        <f aca="false">0</f>
        <v>0</v>
      </c>
      <c r="BC64" s="48" t="n">
        <f aca="false">0</f>
        <v>0</v>
      </c>
      <c r="BD64" s="48" t="n">
        <f aca="false">0</f>
        <v>0</v>
      </c>
      <c r="BE64" s="48" t="n">
        <f aca="false">0</f>
        <v>0</v>
      </c>
      <c r="BF64" s="48" t="n">
        <f aca="false">0</f>
        <v>0</v>
      </c>
      <c r="BG64" s="48" t="n">
        <f aca="false">0</f>
        <v>0</v>
      </c>
      <c r="BH64" s="48" t="n">
        <f aca="false">0</f>
        <v>0</v>
      </c>
      <c r="BI64" s="48" t="n">
        <f aca="false">0</f>
        <v>0</v>
      </c>
      <c r="BJ64" s="48" t="n">
        <f aca="false">0</f>
        <v>0</v>
      </c>
      <c r="BK64" s="48" t="n">
        <f aca="false">0</f>
        <v>0</v>
      </c>
      <c r="BL64" s="48" t="n">
        <f aca="false">0</f>
        <v>0</v>
      </c>
      <c r="BM64" s="48" t="n">
        <f aca="false">0</f>
        <v>0</v>
      </c>
      <c r="BN64" s="48" t="n">
        <f aca="false">0</f>
        <v>0</v>
      </c>
      <c r="BO64" s="48" t="n">
        <f aca="false">0</f>
        <v>0</v>
      </c>
      <c r="BP64" s="48" t="n">
        <f aca="false">0</f>
        <v>0</v>
      </c>
      <c r="BQ64" s="48" t="n">
        <f aca="false">0</f>
        <v>0</v>
      </c>
      <c r="BR64" s="48" t="n">
        <f aca="false">0</f>
        <v>0</v>
      </c>
      <c r="BS64" s="48" t="n">
        <f aca="false">0</f>
        <v>0</v>
      </c>
      <c r="BT64" s="48" t="n">
        <f aca="false">0</f>
        <v>0</v>
      </c>
      <c r="BU64" s="48" t="n">
        <f aca="false">0</f>
        <v>0</v>
      </c>
      <c r="BV64" s="48" t="n">
        <f aca="false">0</f>
        <v>0</v>
      </c>
      <c r="BW64" s="48" t="n">
        <f aca="false">0</f>
        <v>0</v>
      </c>
      <c r="BX64" s="48" t="n">
        <f aca="false">0</f>
        <v>0</v>
      </c>
    </row>
    <row r="65" customFormat="false" ht="15" hidden="false" customHeight="false" outlineLevel="0" collapsed="false">
      <c r="A65" s="1"/>
      <c r="B65" s="4" t="s">
        <v>331</v>
      </c>
      <c r="C65" s="8" t="s">
        <v>126</v>
      </c>
      <c r="D65" s="44" t="n">
        <f aca="false">SUM(G65:BX65)</f>
        <v>55751.1781485732</v>
      </c>
      <c r="E65" s="1"/>
      <c r="F65" s="1"/>
      <c r="G65" s="44" t="n">
        <f aca="false">G61+G62+G63+G64</f>
        <v>0</v>
      </c>
      <c r="H65" s="44" t="n">
        <f aca="false">H61+H62+H63+H64</f>
        <v>0</v>
      </c>
      <c r="I65" s="44" t="n">
        <f aca="false">I61+I62+I63+I64</f>
        <v>0</v>
      </c>
      <c r="J65" s="44" t="n">
        <f aca="false">J61+J62+J63+J64</f>
        <v>0</v>
      </c>
      <c r="K65" s="44" t="n">
        <f aca="false">K61+K62+K63+K64</f>
        <v>0</v>
      </c>
      <c r="L65" s="44" t="n">
        <f aca="false">L61+L62+L63+L64</f>
        <v>0</v>
      </c>
      <c r="M65" s="44" t="n">
        <f aca="false">M61+M62+M63+M64</f>
        <v>0</v>
      </c>
      <c r="N65" s="44" t="n">
        <f aca="false">N61+N62+N63+N64</f>
        <v>0</v>
      </c>
      <c r="O65" s="44" t="n">
        <f aca="false">O61+O62+O63+O64</f>
        <v>979.130226346584</v>
      </c>
      <c r="P65" s="44" t="n">
        <f aca="false">P61+P62+P63+P64</f>
        <v>929.370864392174</v>
      </c>
      <c r="Q65" s="44" t="n">
        <f aca="false">Q61+Q62+Q63+Q64</f>
        <v>924.670217196492</v>
      </c>
      <c r="R65" s="44" t="n">
        <f aca="false">R61+R62+R63+R64</f>
        <v>995.24094869333</v>
      </c>
      <c r="S65" s="44" t="n">
        <f aca="false">S61+S62+S63+S64</f>
        <v>944.495775596573</v>
      </c>
      <c r="T65" s="44" t="n">
        <f aca="false">T61+T62+T63+T64</f>
        <v>939.64687511148</v>
      </c>
      <c r="U65" s="44" t="n">
        <f aca="false">U61+U62+U63+U64</f>
        <v>982.66115033051</v>
      </c>
      <c r="V65" s="44" t="n">
        <f aca="false">V61+V62+V63+V64</f>
        <v>934.791997501526</v>
      </c>
      <c r="W65" s="44" t="n">
        <f aca="false">W61+W62+W63+W64</f>
        <v>932.365978247102</v>
      </c>
      <c r="X65" s="44" t="n">
        <f aca="false">X61+X62+X63+X64</f>
        <v>902.885033583091</v>
      </c>
      <c r="Y65" s="44" t="n">
        <f aca="false">Y61+Y62+Y63+Y64</f>
        <v>927.495344226615</v>
      </c>
      <c r="Z65" s="44" t="n">
        <f aca="false">Z61+Z62+Z63+Z64</f>
        <v>925.06129600869</v>
      </c>
      <c r="AA65" s="44" t="n">
        <f aca="false">AA61+AA62+AA63+AA64</f>
        <v>967.576444291881</v>
      </c>
      <c r="AB65" s="44" t="n">
        <f aca="false">AB61+AB62+AB63+AB64</f>
        <v>920.20830881847</v>
      </c>
      <c r="AC65" s="44" t="n">
        <f aca="false">AC61+AC62+AC63+AC64</f>
        <v>917.749218100573</v>
      </c>
      <c r="AD65" s="44" t="n">
        <f aca="false">AD61+AD62+AD63+AD64</f>
        <v>960.027621803693</v>
      </c>
      <c r="AE65" s="44" t="n">
        <f aca="false">AE61+AE62+AE63+AE64</f>
        <v>915.275714578845</v>
      </c>
      <c r="AF65" s="44" t="n">
        <f aca="false">AF61+AF62+AF63+AF64</f>
        <v>915.247626111841</v>
      </c>
      <c r="AG65" s="44" t="n">
        <f aca="false">AG61+AG62+AG63+AG64</f>
        <v>960.042271780033</v>
      </c>
      <c r="AH65" s="44" t="n">
        <f aca="false">AH61+AH62+AH63+AH64</f>
        <v>876.922456732482</v>
      </c>
      <c r="AI65" s="44" t="n">
        <f aca="false">AI61+AI62+AI63+AI64</f>
        <v>915.194180083982</v>
      </c>
      <c r="AJ65" s="44" t="n">
        <f aca="false">AJ61+AJ62+AJ63+AJ64</f>
        <v>960.064419019833</v>
      </c>
      <c r="AK65" s="44" t="n">
        <f aca="false">AK61+AK62+AK63+AK64</f>
        <v>915.112099133975</v>
      </c>
      <c r="AL65" s="44" t="n">
        <f aca="false">AL61+AL62+AL63+AL64</f>
        <v>915.103561252943</v>
      </c>
      <c r="AM65" s="44" t="n">
        <f aca="false">AM61+AM62+AM63+AM64</f>
        <v>960.106823191239</v>
      </c>
      <c r="AN65" s="44" t="n">
        <f aca="false">AN61+AN62+AN63+AN64</f>
        <v>915.053534627834</v>
      </c>
      <c r="AO65" s="44" t="n">
        <f aca="false">AO61+AO62+AO63+AO64</f>
        <v>915.044271983503</v>
      </c>
      <c r="AP65" s="44" t="n">
        <f aca="false">AP61+AP62+AP63+AP64</f>
        <v>960.136684197278</v>
      </c>
      <c r="AQ65" s="44" t="n">
        <f aca="false">AQ61+AQ62+AQ63+AQ64</f>
        <v>915.044271983503</v>
      </c>
      <c r="AR65" s="44" t="n">
        <f aca="false">AR61+AR62+AR63+AR64</f>
        <v>876.480726610041</v>
      </c>
      <c r="AS65" s="44" t="n">
        <f aca="false">AS61+AS62+AS63+AS64</f>
        <v>960.136684197278</v>
      </c>
      <c r="AT65" s="44" t="n">
        <f aca="false">AT61+AT62+AT63+AT64</f>
        <v>915.044271983503</v>
      </c>
      <c r="AU65" s="44" t="n">
        <f aca="false">AU61+AU62+AU63+AU64</f>
        <v>915.044271983503</v>
      </c>
      <c r="AV65" s="44" t="n">
        <f aca="false">AV61+AV62+AV63+AV64</f>
        <v>960.136684197278</v>
      </c>
      <c r="AW65" s="44" t="n">
        <f aca="false">AW61+AW62+AW63+AW64</f>
        <v>915.044271983503</v>
      </c>
      <c r="AX65" s="44" t="n">
        <f aca="false">AX61+AX62+AX63+AX64</f>
        <v>915.044271983503</v>
      </c>
      <c r="AY65" s="44" t="n">
        <f aca="false">AY61+AY62+AY63+AY64</f>
        <v>960.136684197278</v>
      </c>
      <c r="AZ65" s="44" t="n">
        <f aca="false">AZ61+AZ62+AZ63+AZ64</f>
        <v>915.044271983503</v>
      </c>
      <c r="BA65" s="44" t="n">
        <f aca="false">BA61+BA62+BA63+BA64</f>
        <v>915.044271983503</v>
      </c>
      <c r="BB65" s="44" t="n">
        <f aca="false">BB61+BB62+BB63+BB64</f>
        <v>887.983700338448</v>
      </c>
      <c r="BC65" s="44" t="n">
        <f aca="false">BC61+BC62+BC63+BC64</f>
        <v>915.044271983503</v>
      </c>
      <c r="BD65" s="44" t="n">
        <f aca="false">BD61+BD62+BD63+BD64</f>
        <v>915.044271983503</v>
      </c>
      <c r="BE65" s="44" t="n">
        <f aca="false">BE61+BE62+BE63+BE64</f>
        <v>960.136684197278</v>
      </c>
      <c r="BF65" s="44" t="n">
        <f aca="false">BF61+BF62+BF63+BF64</f>
        <v>915.044271983503</v>
      </c>
      <c r="BG65" s="44" t="n">
        <f aca="false">BG61+BG62+BG63+BG64</f>
        <v>915.044271983503</v>
      </c>
      <c r="BH65" s="44" t="n">
        <f aca="false">BH61+BH62+BH63+BH64</f>
        <v>960.136684197278</v>
      </c>
      <c r="BI65" s="44" t="n">
        <f aca="false">BI61+BI62+BI63+BI64</f>
        <v>915.044271983503</v>
      </c>
      <c r="BJ65" s="44" t="n">
        <f aca="false">BJ61+BJ62+BJ63+BJ64</f>
        <v>915.044271983503</v>
      </c>
      <c r="BK65" s="44" t="n">
        <f aca="false">BK61+BK62+BK63+BK64</f>
        <v>960.136684197278</v>
      </c>
      <c r="BL65" s="44" t="n">
        <f aca="false">BL61+BL62+BL63+BL64</f>
        <v>876.480726610041</v>
      </c>
      <c r="BM65" s="44" t="n">
        <f aca="false">BM61+BM62+BM63+BM64</f>
        <v>915.044271983503</v>
      </c>
      <c r="BN65" s="44" t="n">
        <f aca="false">BN61+BN62+BN63+BN64</f>
        <v>960.136684197278</v>
      </c>
      <c r="BO65" s="44" t="n">
        <f aca="false">BO61+BO62+BO63+BO64</f>
        <v>915.044271983503</v>
      </c>
      <c r="BP65" s="44" t="n">
        <f aca="false">BP61+BP62+BP63+BP64</f>
        <v>915.044271983503</v>
      </c>
      <c r="BQ65" s="44" t="n">
        <f aca="false">BQ61+BQ62+BQ63+BQ64</f>
        <v>960.136684197278</v>
      </c>
      <c r="BR65" s="44" t="n">
        <f aca="false">BR61+BR62+BR63+BR64</f>
        <v>915.044271983503</v>
      </c>
      <c r="BS65" s="44" t="n">
        <f aca="false">BS61+BS62+BS63+BS64</f>
        <v>915.044271983503</v>
      </c>
      <c r="BT65" s="44" t="n">
        <f aca="false">BT61+BT62+BT63+BT64</f>
        <v>960.136684197278</v>
      </c>
      <c r="BU65" s="44" t="n">
        <f aca="false">BU61+BU62+BU63+BU64</f>
        <v>915.044271983503</v>
      </c>
      <c r="BV65" s="44" t="n">
        <f aca="false">BV61+BV62+BV63+BV64</f>
        <v>876.480726610041</v>
      </c>
      <c r="BW65" s="44" t="n">
        <f aca="false">BW61+BW62+BW63+BW64</f>
        <v>0</v>
      </c>
      <c r="BX65" s="44" t="n">
        <f aca="false">BX61+BX62+BX63+BX64</f>
        <v>0</v>
      </c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</row>
    <row r="67" customFormat="false" ht="15" hidden="false" customHeight="false" outlineLevel="0" collapsed="false">
      <c r="A67" s="1"/>
      <c r="B67" s="13" t="s">
        <v>332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</row>
    <row r="68" customFormat="false" ht="15" hidden="false" customHeight="false" outlineLevel="0" collapsed="false">
      <c r="A68" s="1"/>
      <c r="B68" s="8" t="s">
        <v>333</v>
      </c>
      <c r="C68" s="8" t="s">
        <v>126</v>
      </c>
      <c r="D68" s="44" t="n">
        <f aca="false">SUM(G68:BX68)</f>
        <v>4357.48325711605</v>
      </c>
      <c r="E68" s="1"/>
      <c r="F68" s="1"/>
      <c r="G68" s="48" t="n">
        <f aca="false">G59*$D$25*IF(G42=1,IFERROR(INDEX(Twin!$G$45:$BN$45,1,G43),0),0)/1000000</f>
        <v>0</v>
      </c>
      <c r="H68" s="48" t="n">
        <f aca="false">H59*$D$25*IF(H42=1,IFERROR(INDEX(Twin!$G$45:$BN$45,1,H43),0),0)/1000000</f>
        <v>0</v>
      </c>
      <c r="I68" s="48" t="n">
        <f aca="false">I59*$D$25*IF(I42=1,IFERROR(INDEX(Twin!$G$45:$BN$45,1,I43),0),0)/1000000</f>
        <v>0</v>
      </c>
      <c r="J68" s="48" t="n">
        <f aca="false">J59*$D$25*IF(J42=1,IFERROR(INDEX(Twin!$G$45:$BN$45,1,J43),0),0)/1000000</f>
        <v>0</v>
      </c>
      <c r="K68" s="48" t="n">
        <f aca="false">K59*$D$25*IF(K42=1,IFERROR(INDEX(Twin!$G$45:$BN$45,1,K43),0),0)/1000000</f>
        <v>0</v>
      </c>
      <c r="L68" s="48" t="n">
        <f aca="false">L59*$D$25*IF(L42=1,IFERROR(INDEX(Twin!$G$45:$BN$45,1,L43),0),0)/1000000</f>
        <v>0</v>
      </c>
      <c r="M68" s="48" t="n">
        <f aca="false">M59*$D$25*IF(M42=1,IFERROR(INDEX(Twin!$G$45:$BN$45,1,M43),0),0)/1000000</f>
        <v>0</v>
      </c>
      <c r="N68" s="48" t="n">
        <f aca="false">N59*$D$25*IF(N42=1,IFERROR(INDEX(Twin!$G$45:$BN$45,1,N43),0),0)/1000000</f>
        <v>0</v>
      </c>
      <c r="O68" s="48" t="n">
        <f aca="false">O59*$D$25*IF(O42=1,IFERROR(INDEX(Twin!$G$45:$BN$45,1,O43),0),0)/1000000</f>
        <v>73.0586060865243</v>
      </c>
      <c r="P68" s="48" t="n">
        <f aca="false">P59*$D$25*IF(P42=1,IFERROR(INDEX(Twin!$G$45:$BN$45,1,P43),0),0)/1000000</f>
        <v>69.9410072310219</v>
      </c>
      <c r="Q68" s="48" t="n">
        <f aca="false">Q59*$D$25*IF(Q42=1,IFERROR(INDEX(Twin!$G$45:$BN$45,1,Q43),0),0)/1000000</f>
        <v>69.9326737133121</v>
      </c>
      <c r="R68" s="48" t="n">
        <f aca="false">R59*$D$25*IF(R42=1,IFERROR(INDEX(Twin!$G$45:$BN$45,1,R43),0),0)/1000000</f>
        <v>75.3780859303148</v>
      </c>
      <c r="S68" s="48" t="n">
        <f aca="false">S59*$D$25*IF(S42=1,IFERROR(INDEX(Twin!$G$45:$BN$45,1,S43),0),0)/1000000</f>
        <v>72.1671278589523</v>
      </c>
      <c r="T68" s="48" t="n">
        <f aca="false">T59*$D$25*IF(T42=1,IFERROR(INDEX(Twin!$G$45:$BN$45,1,T43),0),0)/1000000</f>
        <v>72.1591043247029</v>
      </c>
      <c r="U68" s="48" t="n">
        <f aca="false">U59*$D$25*IF(U42=1,IFERROR(INDEX(Twin!$G$45:$BN$45,1,U43),0),0)/1000000</f>
        <v>75.3676936047029</v>
      </c>
      <c r="V68" s="48" t="n">
        <f aca="false">V59*$D$25*IF(V42=1,IFERROR(INDEX(Twin!$G$45:$BN$45,1,V43),0),0)/1000000</f>
        <v>72.1532203448761</v>
      </c>
      <c r="W68" s="48" t="n">
        <f aca="false">W59*$D$25*IF(W42=1,IFERROR(INDEX(Twin!$G$45:$BN$45,1,W43),0),0)/1000000</f>
        <v>72.1508515535136</v>
      </c>
      <c r="X68" s="48" t="n">
        <f aca="false">X59*$D$25*IF(X42=1,IFERROR(INDEX(Twin!$G$45:$BN$45,1,X43),0),0)/1000000</f>
        <v>70.0033606193564</v>
      </c>
      <c r="Y68" s="48" t="n">
        <f aca="false">Y59*$D$25*IF(Y42=1,IFERROR(INDEX(Twin!$G$45:$BN$45,1,Y43),0),0)/1000000</f>
        <v>72.1370200365965</v>
      </c>
      <c r="Z68" s="48" t="n">
        <f aca="false">Z59*$D$25*IF(Z42=1,IFERROR(INDEX(Twin!$G$45:$BN$45,1,Z43),0),0)/1000000</f>
        <v>72.1309574138017</v>
      </c>
      <c r="AA68" s="48" t="n">
        <f aca="false">AA59*$D$25*IF(AA42=1,IFERROR(INDEX(Twin!$G$45:$BN$45,1,AA43),0),0)/1000000</f>
        <v>75.333408073848</v>
      </c>
      <c r="AB68" s="48" t="n">
        <f aca="false">AB59*$D$25*IF(AB42=1,IFERROR(INDEX(Twin!$G$45:$BN$45,1,AB43),0),0)/1000000</f>
        <v>72.1248187938479</v>
      </c>
      <c r="AC68" s="48" t="n">
        <f aca="false">AC59*$D$25*IF(AC42=1,IFERROR(INDEX(Twin!$G$45:$BN$45,1,AC43),0),0)/1000000</f>
        <v>72.1064789311458</v>
      </c>
      <c r="AD68" s="48" t="n">
        <f aca="false">AD59*$D$25*IF(AD42=1,IFERROR(INDEX(Twin!$G$45:$BN$45,1,AD43),0),0)/1000000</f>
        <v>75.3126994197832</v>
      </c>
      <c r="AE68" s="48" t="n">
        <f aca="false">AE59*$D$25*IF(AE42=1,IFERROR(INDEX(Twin!$G$45:$BN$45,1,AE43),0),0)/1000000</f>
        <v>72.08584627424</v>
      </c>
      <c r="AF68" s="48" t="n">
        <f aca="false">AF59*$D$25*IF(AF42=1,IFERROR(INDEX(Twin!$G$45:$BN$45,1,AF43),0),0)/1000000</f>
        <v>72.0778987371496</v>
      </c>
      <c r="AG68" s="48" t="n">
        <f aca="false">AG59*$D$25*IF(AG42=1,IFERROR(INDEX(Twin!$G$45:$BN$45,1,AG43),0),0)/1000000</f>
        <v>75.2839405828191</v>
      </c>
      <c r="AH68" s="48" t="n">
        <f aca="false">AH59*$D$25*IF(AH42=1,IFERROR(INDEX(Twin!$G$45:$BN$45,1,AH43),0),0)/1000000</f>
        <v>68.8594770057637</v>
      </c>
      <c r="AI68" s="48" t="n">
        <f aca="false">AI59*$D$25*IF(AI42=1,IFERROR(INDEX(Twin!$G$45:$BN$45,1,AI43),0),0)/1000000</f>
        <v>72.0656974944012</v>
      </c>
      <c r="AJ68" s="48" t="n">
        <f aca="false">AJ59*$D$25*IF(AJ42=1,IFERROR(INDEX(Twin!$G$45:$BN$45,1,AJ43),0),0)/1000000</f>
        <v>75.2580864661215</v>
      </c>
      <c r="AK68" s="48" t="n">
        <f aca="false">AK59*$D$25*IF(AK42=1,IFERROR(INDEX(Twin!$G$45:$BN$45,1,AK43),0),0)/1000000</f>
        <v>72.0368120663061</v>
      </c>
      <c r="AL68" s="48" t="n">
        <f aca="false">AL59*$D$25*IF(AL42=1,IFERROR(INDEX(Twin!$G$45:$BN$45,1,AL43),0),0)/1000000</f>
        <v>72.0368120663061</v>
      </c>
      <c r="AM68" s="48" t="n">
        <f aca="false">AM59*$D$25*IF(AM42=1,IFERROR(INDEX(Twin!$G$45:$BN$45,1,AM43),0),0)/1000000</f>
        <v>75.241147640648</v>
      </c>
      <c r="AN68" s="48" t="n">
        <f aca="false">AN59*$D$25*IF(AN42=1,IFERROR(INDEX(Twin!$G$45:$BN$45,1,AN43),0),0)/1000000</f>
        <v>72.0221660350361</v>
      </c>
      <c r="AO68" s="48" t="n">
        <f aca="false">AO59*$D$25*IF(AO42=1,IFERROR(INDEX(Twin!$G$45:$BN$45,1,AO43),0),0)/1000000</f>
        <v>72.0216821579692</v>
      </c>
      <c r="AP68" s="48" t="n">
        <f aca="false">AP59*$D$25*IF(AP42=1,IFERROR(INDEX(Twin!$G$45:$BN$45,1,AP43),0),0)/1000000</f>
        <v>75.2302714379692</v>
      </c>
      <c r="AQ68" s="48" t="n">
        <f aca="false">AQ59*$D$25*IF(AQ42=1,IFERROR(INDEX(Twin!$G$45:$BN$45,1,AQ43),0),0)/1000000</f>
        <v>72.0216821579692</v>
      </c>
      <c r="AR68" s="48" t="n">
        <f aca="false">AR59*$D$25*IF(AR42=1,IFERROR(INDEX(Twin!$G$45:$BN$45,1,AR43),0),0)/1000000</f>
        <v>68.8130928779692</v>
      </c>
      <c r="AS68" s="48" t="n">
        <f aca="false">AS59*$D$25*IF(AS42=1,IFERROR(INDEX(Twin!$G$45:$BN$45,1,AS43),0),0)/1000000</f>
        <v>75.2302714379692</v>
      </c>
      <c r="AT68" s="48" t="n">
        <f aca="false">AT59*$D$25*IF(AT42=1,IFERROR(INDEX(Twin!$G$45:$BN$45,1,AT43),0),0)/1000000</f>
        <v>72.0216821579692</v>
      </c>
      <c r="AU68" s="48" t="n">
        <f aca="false">AU59*$D$25*IF(AU42=1,IFERROR(INDEX(Twin!$G$45:$BN$45,1,AU43),0),0)/1000000</f>
        <v>72.0216821579692</v>
      </c>
      <c r="AV68" s="48" t="n">
        <f aca="false">AV59*$D$25*IF(AV42=1,IFERROR(INDEX(Twin!$G$45:$BN$45,1,AV43),0),0)/1000000</f>
        <v>75.2302714379692</v>
      </c>
      <c r="AW68" s="48" t="n">
        <f aca="false">AW59*$D$25*IF(AW42=1,IFERROR(INDEX(Twin!$G$45:$BN$45,1,AW43),0),0)/1000000</f>
        <v>72.0216821579692</v>
      </c>
      <c r="AX68" s="48" t="n">
        <f aca="false">AX59*$D$25*IF(AX42=1,IFERROR(INDEX(Twin!$G$45:$BN$45,1,AX43),0),0)/1000000</f>
        <v>72.0216821579692</v>
      </c>
      <c r="AY68" s="48" t="n">
        <f aca="false">AY59*$D$25*IF(AY42=1,IFERROR(INDEX(Twin!$G$45:$BN$45,1,AY43),0),0)/1000000</f>
        <v>75.2302714379692</v>
      </c>
      <c r="AZ68" s="48" t="n">
        <f aca="false">AZ59*$D$25*IF(AZ42=1,IFERROR(INDEX(Twin!$G$45:$BN$45,1,AZ43),0),0)/1000000</f>
        <v>72.0216821579692</v>
      </c>
      <c r="BA68" s="48" t="n">
        <f aca="false">BA59*$D$25*IF(BA42=1,IFERROR(INDEX(Twin!$G$45:$BN$45,1,BA43),0),0)/1000000</f>
        <v>72.0216821579692</v>
      </c>
      <c r="BB68" s="48" t="n">
        <f aca="false">BB59*$D$25*IF(BB42=1,IFERROR(INDEX(Twin!$G$45:$BN$45,1,BB43),0),0)/1000000</f>
        <v>69.8826226379692</v>
      </c>
      <c r="BC68" s="48" t="n">
        <f aca="false">BC59*$D$25*IF(BC42=1,IFERROR(INDEX(Twin!$G$45:$BN$45,1,BC43),0),0)/1000000</f>
        <v>72.0216821579692</v>
      </c>
      <c r="BD68" s="48" t="n">
        <f aca="false">BD59*$D$25*IF(BD42=1,IFERROR(INDEX(Twin!$G$45:$BN$45,1,BD43),0),0)/1000000</f>
        <v>72.0216821579692</v>
      </c>
      <c r="BE68" s="48" t="n">
        <f aca="false">BE59*$D$25*IF(BE42=1,IFERROR(INDEX(Twin!$G$45:$BN$45,1,BE43),0),0)/1000000</f>
        <v>75.2302714379692</v>
      </c>
      <c r="BF68" s="48" t="n">
        <f aca="false">BF59*$D$25*IF(BF42=1,IFERROR(INDEX(Twin!$G$45:$BN$45,1,BF43),0),0)/1000000</f>
        <v>72.0216821579692</v>
      </c>
      <c r="BG68" s="48" t="n">
        <f aca="false">BG59*$D$25*IF(BG42=1,IFERROR(INDEX(Twin!$G$45:$BN$45,1,BG43),0),0)/1000000</f>
        <v>72.0216821579692</v>
      </c>
      <c r="BH68" s="48" t="n">
        <f aca="false">BH59*$D$25*IF(BH42=1,IFERROR(INDEX(Twin!$G$45:$BN$45,1,BH43),0),0)/1000000</f>
        <v>75.2302714379692</v>
      </c>
      <c r="BI68" s="48" t="n">
        <f aca="false">BI59*$D$25*IF(BI42=1,IFERROR(INDEX(Twin!$G$45:$BN$45,1,BI43),0),0)/1000000</f>
        <v>72.0216821579692</v>
      </c>
      <c r="BJ68" s="48" t="n">
        <f aca="false">BJ59*$D$25*IF(BJ42=1,IFERROR(INDEX(Twin!$G$45:$BN$45,1,BJ43),0),0)/1000000</f>
        <v>72.0216821579692</v>
      </c>
      <c r="BK68" s="48" t="n">
        <f aca="false">BK59*$D$25*IF(BK42=1,IFERROR(INDEX(Twin!$G$45:$BN$45,1,BK43),0),0)/1000000</f>
        <v>75.2302714379692</v>
      </c>
      <c r="BL68" s="48" t="n">
        <f aca="false">BL59*$D$25*IF(BL42=1,IFERROR(INDEX(Twin!$G$45:$BN$45,1,BL43),0),0)/1000000</f>
        <v>68.8130928779692</v>
      </c>
      <c r="BM68" s="48" t="n">
        <f aca="false">BM59*$D$25*IF(BM42=1,IFERROR(INDEX(Twin!$G$45:$BN$45,1,BM43),0),0)/1000000</f>
        <v>72.0216821579692</v>
      </c>
      <c r="BN68" s="48" t="n">
        <f aca="false">BN59*$D$25*IF(BN42=1,IFERROR(INDEX(Twin!$G$45:$BN$45,1,BN43),0),0)/1000000</f>
        <v>75.2302714379692</v>
      </c>
      <c r="BO68" s="48" t="n">
        <f aca="false">BO59*$D$25*IF(BO42=1,IFERROR(INDEX(Twin!$G$45:$BN$45,1,BO43),0),0)/1000000</f>
        <v>72.0216821579692</v>
      </c>
      <c r="BP68" s="48" t="n">
        <f aca="false">BP59*$D$25*IF(BP42=1,IFERROR(INDEX(Twin!$G$45:$BN$45,1,BP43),0),0)/1000000</f>
        <v>72.0216821579692</v>
      </c>
      <c r="BQ68" s="48" t="n">
        <f aca="false">BQ59*$D$25*IF(BQ42=1,IFERROR(INDEX(Twin!$G$45:$BN$45,1,BQ43),0),0)/1000000</f>
        <v>75.2302714379692</v>
      </c>
      <c r="BR68" s="48" t="n">
        <f aca="false">BR59*$D$25*IF(BR42=1,IFERROR(INDEX(Twin!$G$45:$BN$45,1,BR43),0),0)/1000000</f>
        <v>72.0216821579692</v>
      </c>
      <c r="BS68" s="48" t="n">
        <f aca="false">BS59*$D$25*IF(BS42=1,IFERROR(INDEX(Twin!$G$45:$BN$45,1,BS43),0),0)/1000000</f>
        <v>72.0216821579692</v>
      </c>
      <c r="BT68" s="48" t="n">
        <f aca="false">BT59*$D$25*IF(BT42=1,IFERROR(INDEX(Twin!$G$45:$BN$45,1,BT43),0),0)/1000000</f>
        <v>75.2302714379692</v>
      </c>
      <c r="BU68" s="48" t="n">
        <f aca="false">BU59*$D$25*IF(BU42=1,IFERROR(INDEX(Twin!$G$45:$BN$45,1,BU43),0),0)/1000000</f>
        <v>72.0216821579692</v>
      </c>
      <c r="BV68" s="48" t="n">
        <f aca="false">BV59*$D$25*IF(BV42=1,IFERROR(INDEX(Twin!$G$45:$BN$45,1,BV43),0),0)/1000000</f>
        <v>68.8130928779692</v>
      </c>
      <c r="BW68" s="48" t="n">
        <f aca="false">BW59*$D$25*IF(BW42=1,IFERROR(INDEX(Twin!$G$45:$BN$45,1,BW43),0),0)/1000000</f>
        <v>0</v>
      </c>
      <c r="BX68" s="48" t="n">
        <f aca="false">BX59*$D$25*IF(BX42=1,IFERROR(INDEX(Twin!$G$45:$BN$45,1,BX43),0),0)/1000000</f>
        <v>0</v>
      </c>
    </row>
    <row r="69" customFormat="false" ht="15" hidden="false" customHeight="false" outlineLevel="0" collapsed="false">
      <c r="A69" s="1"/>
      <c r="B69" s="8" t="s">
        <v>334</v>
      </c>
      <c r="C69" s="8" t="s">
        <v>126</v>
      </c>
      <c r="D69" s="44" t="n">
        <f aca="false">SUM(G69:BX69)</f>
        <v>0</v>
      </c>
      <c r="E69" s="1"/>
      <c r="F69" s="1"/>
      <c r="G69" s="48" t="n">
        <f aca="false">0</f>
        <v>0</v>
      </c>
      <c r="H69" s="48" t="n">
        <f aca="false">0</f>
        <v>0</v>
      </c>
      <c r="I69" s="48" t="n">
        <f aca="false">0</f>
        <v>0</v>
      </c>
      <c r="J69" s="48" t="n">
        <f aca="false">0</f>
        <v>0</v>
      </c>
      <c r="K69" s="48" t="n">
        <f aca="false">0</f>
        <v>0</v>
      </c>
      <c r="L69" s="48" t="n">
        <f aca="false">0</f>
        <v>0</v>
      </c>
      <c r="M69" s="48" t="n">
        <f aca="false">0</f>
        <v>0</v>
      </c>
      <c r="N69" s="48" t="n">
        <f aca="false">0</f>
        <v>0</v>
      </c>
      <c r="O69" s="48" t="n">
        <f aca="false">0</f>
        <v>0</v>
      </c>
      <c r="P69" s="48" t="n">
        <f aca="false">0</f>
        <v>0</v>
      </c>
      <c r="Q69" s="48" t="n">
        <f aca="false">0</f>
        <v>0</v>
      </c>
      <c r="R69" s="48" t="n">
        <f aca="false">0</f>
        <v>0</v>
      </c>
      <c r="S69" s="48" t="n">
        <f aca="false">0</f>
        <v>0</v>
      </c>
      <c r="T69" s="48" t="n">
        <f aca="false">0</f>
        <v>0</v>
      </c>
      <c r="U69" s="48" t="n">
        <f aca="false">0</f>
        <v>0</v>
      </c>
      <c r="V69" s="48" t="n">
        <f aca="false">0</f>
        <v>0</v>
      </c>
      <c r="W69" s="48" t="n">
        <f aca="false">0</f>
        <v>0</v>
      </c>
      <c r="X69" s="48" t="n">
        <f aca="false">0</f>
        <v>0</v>
      </c>
      <c r="Y69" s="48" t="n">
        <f aca="false">0</f>
        <v>0</v>
      </c>
      <c r="Z69" s="48" t="n">
        <f aca="false">0</f>
        <v>0</v>
      </c>
      <c r="AA69" s="48" t="n">
        <f aca="false">0</f>
        <v>0</v>
      </c>
      <c r="AB69" s="48" t="n">
        <f aca="false">0</f>
        <v>0</v>
      </c>
      <c r="AC69" s="48" t="n">
        <f aca="false">0</f>
        <v>0</v>
      </c>
      <c r="AD69" s="48" t="n">
        <f aca="false">0</f>
        <v>0</v>
      </c>
      <c r="AE69" s="48" t="n">
        <f aca="false">0</f>
        <v>0</v>
      </c>
      <c r="AF69" s="48" t="n">
        <f aca="false">0</f>
        <v>0</v>
      </c>
      <c r="AG69" s="48" t="n">
        <f aca="false">0</f>
        <v>0</v>
      </c>
      <c r="AH69" s="48" t="n">
        <f aca="false">0</f>
        <v>0</v>
      </c>
      <c r="AI69" s="48" t="n">
        <f aca="false">0</f>
        <v>0</v>
      </c>
      <c r="AJ69" s="48" t="n">
        <f aca="false">0</f>
        <v>0</v>
      </c>
      <c r="AK69" s="48" t="n">
        <f aca="false">0</f>
        <v>0</v>
      </c>
      <c r="AL69" s="48" t="n">
        <f aca="false">0</f>
        <v>0</v>
      </c>
      <c r="AM69" s="48" t="n">
        <f aca="false">0</f>
        <v>0</v>
      </c>
      <c r="AN69" s="48" t="n">
        <f aca="false">0</f>
        <v>0</v>
      </c>
      <c r="AO69" s="48" t="n">
        <f aca="false">0</f>
        <v>0</v>
      </c>
      <c r="AP69" s="48" t="n">
        <f aca="false">0</f>
        <v>0</v>
      </c>
      <c r="AQ69" s="48" t="n">
        <f aca="false">0</f>
        <v>0</v>
      </c>
      <c r="AR69" s="48" t="n">
        <f aca="false">0</f>
        <v>0</v>
      </c>
      <c r="AS69" s="48" t="n">
        <f aca="false">0</f>
        <v>0</v>
      </c>
      <c r="AT69" s="48" t="n">
        <f aca="false">0</f>
        <v>0</v>
      </c>
      <c r="AU69" s="48" t="n">
        <f aca="false">0</f>
        <v>0</v>
      </c>
      <c r="AV69" s="48" t="n">
        <f aca="false">0</f>
        <v>0</v>
      </c>
      <c r="AW69" s="48" t="n">
        <f aca="false">0</f>
        <v>0</v>
      </c>
      <c r="AX69" s="48" t="n">
        <f aca="false">0</f>
        <v>0</v>
      </c>
      <c r="AY69" s="48" t="n">
        <f aca="false">0</f>
        <v>0</v>
      </c>
      <c r="AZ69" s="48" t="n">
        <f aca="false">0</f>
        <v>0</v>
      </c>
      <c r="BA69" s="48" t="n">
        <f aca="false">0</f>
        <v>0</v>
      </c>
      <c r="BB69" s="48" t="n">
        <f aca="false">0</f>
        <v>0</v>
      </c>
      <c r="BC69" s="48" t="n">
        <f aca="false">0</f>
        <v>0</v>
      </c>
      <c r="BD69" s="48" t="n">
        <f aca="false">0</f>
        <v>0</v>
      </c>
      <c r="BE69" s="48" t="n">
        <f aca="false">0</f>
        <v>0</v>
      </c>
      <c r="BF69" s="48" t="n">
        <f aca="false">0</f>
        <v>0</v>
      </c>
      <c r="BG69" s="48" t="n">
        <f aca="false">0</f>
        <v>0</v>
      </c>
      <c r="BH69" s="48" t="n">
        <f aca="false">0</f>
        <v>0</v>
      </c>
      <c r="BI69" s="48" t="n">
        <f aca="false">0</f>
        <v>0</v>
      </c>
      <c r="BJ69" s="48" t="n">
        <f aca="false">0</f>
        <v>0</v>
      </c>
      <c r="BK69" s="48" t="n">
        <f aca="false">0</f>
        <v>0</v>
      </c>
      <c r="BL69" s="48" t="n">
        <f aca="false">0</f>
        <v>0</v>
      </c>
      <c r="BM69" s="48" t="n">
        <f aca="false">0</f>
        <v>0</v>
      </c>
      <c r="BN69" s="48" t="n">
        <f aca="false">0</f>
        <v>0</v>
      </c>
      <c r="BO69" s="48" t="n">
        <f aca="false">0</f>
        <v>0</v>
      </c>
      <c r="BP69" s="48" t="n">
        <f aca="false">0</f>
        <v>0</v>
      </c>
      <c r="BQ69" s="48" t="n">
        <f aca="false">0</f>
        <v>0</v>
      </c>
      <c r="BR69" s="48" t="n">
        <f aca="false">0</f>
        <v>0</v>
      </c>
      <c r="BS69" s="48" t="n">
        <f aca="false">0</f>
        <v>0</v>
      </c>
      <c r="BT69" s="48" t="n">
        <f aca="false">0</f>
        <v>0</v>
      </c>
      <c r="BU69" s="48" t="n">
        <f aca="false">0</f>
        <v>0</v>
      </c>
      <c r="BV69" s="48" t="n">
        <f aca="false">0</f>
        <v>0</v>
      </c>
      <c r="BW69" s="48" t="n">
        <f aca="false">0</f>
        <v>0</v>
      </c>
      <c r="BX69" s="48" t="n">
        <f aca="false">0</f>
        <v>0</v>
      </c>
    </row>
    <row r="70" customFormat="false" ht="15" hidden="false" customHeight="false" outlineLevel="0" collapsed="false">
      <c r="A70" s="1"/>
      <c r="B70" s="8" t="s">
        <v>335</v>
      </c>
      <c r="C70" s="8" t="s">
        <v>126</v>
      </c>
      <c r="D70" s="44" t="n">
        <f aca="false">SUM(G70:BX70)</f>
        <v>1543.153857102</v>
      </c>
      <c r="E70" s="1"/>
      <c r="F70" s="1"/>
      <c r="G70" s="48" t="n">
        <f aca="false">G59*$D$15/1000000</f>
        <v>0</v>
      </c>
      <c r="H70" s="48" t="n">
        <f aca="false">H59*$D$15/1000000</f>
        <v>0</v>
      </c>
      <c r="I70" s="48" t="n">
        <f aca="false">I59*$D$15/1000000</f>
        <v>0</v>
      </c>
      <c r="J70" s="48" t="n">
        <f aca="false">J59*$D$15/1000000</f>
        <v>0</v>
      </c>
      <c r="K70" s="48" t="n">
        <f aca="false">K59*$D$15/1000000</f>
        <v>0</v>
      </c>
      <c r="L70" s="48" t="n">
        <f aca="false">L59*$D$15/1000000</f>
        <v>0</v>
      </c>
      <c r="M70" s="48" t="n">
        <f aca="false">M59*$D$15/1000000</f>
        <v>0</v>
      </c>
      <c r="N70" s="48" t="n">
        <f aca="false">N59*$D$15/1000000</f>
        <v>0</v>
      </c>
      <c r="O70" s="48" t="n">
        <f aca="false">O59*$D$15/1000000</f>
        <v>25.877044908</v>
      </c>
      <c r="P70" s="48" t="n">
        <f aca="false">P59*$D$15/1000000</f>
        <v>24.770660772</v>
      </c>
      <c r="Q70" s="48" t="n">
        <f aca="false">Q59*$D$15/1000000</f>
        <v>24.767563392</v>
      </c>
      <c r="R70" s="48" t="n">
        <f aca="false">R59*$D$15/1000000</f>
        <v>26.698209252</v>
      </c>
      <c r="S70" s="48" t="n">
        <f aca="false">S59*$D$15/1000000</f>
        <v>25.558797264</v>
      </c>
      <c r="T70" s="48" t="n">
        <f aca="false">T59*$D$15/1000000</f>
        <v>25.555813998</v>
      </c>
      <c r="U70" s="48" t="n">
        <f aca="false">U59*$D$15/1000000</f>
        <v>26.694345678</v>
      </c>
      <c r="V70" s="48" t="n">
        <f aca="false">V59*$D$15/1000000</f>
        <v>25.553613228</v>
      </c>
      <c r="W70" s="48" t="n">
        <f aca="false">W59*$D$15/1000000</f>
        <v>25.55273292</v>
      </c>
      <c r="X70" s="48" t="n">
        <f aca="false">X59*$D$15/1000000</f>
        <v>24.790549212</v>
      </c>
      <c r="Y70" s="48" t="n">
        <f aca="false">Y59*$D$15/1000000</f>
        <v>25.547548884</v>
      </c>
      <c r="Z70" s="48" t="n">
        <f aca="false">Z59*$D$15/1000000</f>
        <v>25.545266604</v>
      </c>
      <c r="AA70" s="48" t="n">
        <f aca="false">AA59*$D$15/1000000</f>
        <v>26.681516004</v>
      </c>
      <c r="AB70" s="48" t="n">
        <f aca="false">AB59*$D$15/1000000</f>
        <v>25.542984324</v>
      </c>
      <c r="AC70" s="48" t="n">
        <f aca="false">AC59*$D$15/1000000</f>
        <v>25.536137484</v>
      </c>
      <c r="AD70" s="48" t="n">
        <f aca="false">AD59*$D$15/1000000</f>
        <v>26.673788856</v>
      </c>
      <c r="AE70" s="48" t="n">
        <f aca="false">AE59*$D$15/1000000</f>
        <v>25.528410336</v>
      </c>
      <c r="AF70" s="48" t="n">
        <f aca="false">AF59*$D$15/1000000</f>
        <v>25.52542707</v>
      </c>
      <c r="AG70" s="48" t="n">
        <f aca="false">AG59*$D$15/1000000</f>
        <v>26.662996932</v>
      </c>
      <c r="AH70" s="48" t="n">
        <f aca="false">AH59*$D$15/1000000</f>
        <v>24.383211138</v>
      </c>
      <c r="AI70" s="48" t="n">
        <f aca="false">AI59*$D$15/1000000</f>
        <v>25.52086251</v>
      </c>
      <c r="AJ70" s="48" t="n">
        <f aca="false">AJ59*$D$15/1000000</f>
        <v>26.653329846</v>
      </c>
      <c r="AK70" s="48" t="n">
        <f aca="false">AK59*$D$15/1000000</f>
        <v>25.510054284</v>
      </c>
      <c r="AL70" s="48" t="n">
        <f aca="false">AL59*$D$15/1000000</f>
        <v>25.510054284</v>
      </c>
      <c r="AM70" s="48" t="n">
        <f aca="false">AM59*$D$15/1000000</f>
        <v>26.64700467</v>
      </c>
      <c r="AN70" s="48" t="n">
        <f aca="false">AN59*$D$15/1000000</f>
        <v>25.504609416</v>
      </c>
      <c r="AO70" s="48" t="n">
        <f aca="false">AO59*$D$15/1000000</f>
        <v>25.504430094</v>
      </c>
      <c r="AP70" s="48" t="n">
        <f aca="false">AP59*$D$15/1000000</f>
        <v>26.642961774</v>
      </c>
      <c r="AQ70" s="48" t="n">
        <f aca="false">AQ59*$D$15/1000000</f>
        <v>25.504430094</v>
      </c>
      <c r="AR70" s="48" t="n">
        <f aca="false">AR59*$D$15/1000000</f>
        <v>24.365898414</v>
      </c>
      <c r="AS70" s="48" t="n">
        <f aca="false">AS59*$D$15/1000000</f>
        <v>26.642961774</v>
      </c>
      <c r="AT70" s="48" t="n">
        <f aca="false">AT59*$D$15/1000000</f>
        <v>25.504430094</v>
      </c>
      <c r="AU70" s="48" t="n">
        <f aca="false">AU59*$D$15/1000000</f>
        <v>25.504430094</v>
      </c>
      <c r="AV70" s="48" t="n">
        <f aca="false">AV59*$D$15/1000000</f>
        <v>26.642961774</v>
      </c>
      <c r="AW70" s="48" t="n">
        <f aca="false">AW59*$D$15/1000000</f>
        <v>25.504430094</v>
      </c>
      <c r="AX70" s="48" t="n">
        <f aca="false">AX59*$D$15/1000000</f>
        <v>25.504430094</v>
      </c>
      <c r="AY70" s="48" t="n">
        <f aca="false">AY59*$D$15/1000000</f>
        <v>26.642961774</v>
      </c>
      <c r="AZ70" s="48" t="n">
        <f aca="false">AZ59*$D$15/1000000</f>
        <v>25.504430094</v>
      </c>
      <c r="BA70" s="48" t="n">
        <f aca="false">BA59*$D$15/1000000</f>
        <v>25.504430094</v>
      </c>
      <c r="BB70" s="48" t="n">
        <f aca="false">BB59*$D$15/1000000</f>
        <v>24.745408974</v>
      </c>
      <c r="BC70" s="48" t="n">
        <f aca="false">BC59*$D$15/1000000</f>
        <v>25.504430094</v>
      </c>
      <c r="BD70" s="48" t="n">
        <f aca="false">BD59*$D$15/1000000</f>
        <v>25.504430094</v>
      </c>
      <c r="BE70" s="48" t="n">
        <f aca="false">BE59*$D$15/1000000</f>
        <v>26.642961774</v>
      </c>
      <c r="BF70" s="48" t="n">
        <f aca="false">BF59*$D$15/1000000</f>
        <v>25.504430094</v>
      </c>
      <c r="BG70" s="48" t="n">
        <f aca="false">BG59*$D$15/1000000</f>
        <v>25.504430094</v>
      </c>
      <c r="BH70" s="48" t="n">
        <f aca="false">BH59*$D$15/1000000</f>
        <v>26.642961774</v>
      </c>
      <c r="BI70" s="48" t="n">
        <f aca="false">BI59*$D$15/1000000</f>
        <v>25.504430094</v>
      </c>
      <c r="BJ70" s="48" t="n">
        <f aca="false">BJ59*$D$15/1000000</f>
        <v>25.504430094</v>
      </c>
      <c r="BK70" s="48" t="n">
        <f aca="false">BK59*$D$15/1000000</f>
        <v>26.642961774</v>
      </c>
      <c r="BL70" s="48" t="n">
        <f aca="false">BL59*$D$15/1000000</f>
        <v>24.365898414</v>
      </c>
      <c r="BM70" s="48" t="n">
        <f aca="false">BM59*$D$15/1000000</f>
        <v>25.504430094</v>
      </c>
      <c r="BN70" s="48" t="n">
        <f aca="false">BN59*$D$15/1000000</f>
        <v>26.642961774</v>
      </c>
      <c r="BO70" s="48" t="n">
        <f aca="false">BO59*$D$15/1000000</f>
        <v>25.504430094</v>
      </c>
      <c r="BP70" s="48" t="n">
        <f aca="false">BP59*$D$15/1000000</f>
        <v>25.504430094</v>
      </c>
      <c r="BQ70" s="48" t="n">
        <f aca="false">BQ59*$D$15/1000000</f>
        <v>26.642961774</v>
      </c>
      <c r="BR70" s="48" t="n">
        <f aca="false">BR59*$D$15/1000000</f>
        <v>25.504430094</v>
      </c>
      <c r="BS70" s="48" t="n">
        <f aca="false">BS59*$D$15/1000000</f>
        <v>25.504430094</v>
      </c>
      <c r="BT70" s="48" t="n">
        <f aca="false">BT59*$D$15/1000000</f>
        <v>26.642961774</v>
      </c>
      <c r="BU70" s="48" t="n">
        <f aca="false">BU59*$D$15/1000000</f>
        <v>25.504430094</v>
      </c>
      <c r="BV70" s="48" t="n">
        <f aca="false">BV59*$D$15/1000000</f>
        <v>24.365898414</v>
      </c>
      <c r="BW70" s="48" t="n">
        <f aca="false">BW59*$D$15/1000000</f>
        <v>0</v>
      </c>
      <c r="BX70" s="48" t="n">
        <f aca="false">BX59*$D$15/1000000</f>
        <v>0</v>
      </c>
    </row>
    <row r="71" customFormat="false" ht="15" hidden="false" customHeight="false" outlineLevel="0" collapsed="false">
      <c r="A71" s="1"/>
      <c r="B71" s="8" t="s">
        <v>336</v>
      </c>
      <c r="C71" s="8" t="s">
        <v>126</v>
      </c>
      <c r="D71" s="44" t="n">
        <f aca="false">SUM(G71:BX71)</f>
        <v>0</v>
      </c>
      <c r="E71" s="1"/>
      <c r="F71" s="1"/>
      <c r="G71" s="48" t="n">
        <f aca="false">0</f>
        <v>0</v>
      </c>
      <c r="H71" s="48" t="n">
        <f aca="false">0</f>
        <v>0</v>
      </c>
      <c r="I71" s="48" t="n">
        <f aca="false">0</f>
        <v>0</v>
      </c>
      <c r="J71" s="48" t="n">
        <f aca="false">0</f>
        <v>0</v>
      </c>
      <c r="K71" s="48" t="n">
        <f aca="false">0</f>
        <v>0</v>
      </c>
      <c r="L71" s="48" t="n">
        <f aca="false">0</f>
        <v>0</v>
      </c>
      <c r="M71" s="48" t="n">
        <f aca="false">0</f>
        <v>0</v>
      </c>
      <c r="N71" s="48" t="n">
        <f aca="false">0</f>
        <v>0</v>
      </c>
      <c r="O71" s="48" t="n">
        <f aca="false">0</f>
        <v>0</v>
      </c>
      <c r="P71" s="48" t="n">
        <f aca="false">0</f>
        <v>0</v>
      </c>
      <c r="Q71" s="48" t="n">
        <f aca="false">0</f>
        <v>0</v>
      </c>
      <c r="R71" s="48" t="n">
        <f aca="false">0</f>
        <v>0</v>
      </c>
      <c r="S71" s="48" t="n">
        <f aca="false">0</f>
        <v>0</v>
      </c>
      <c r="T71" s="48" t="n">
        <f aca="false">0</f>
        <v>0</v>
      </c>
      <c r="U71" s="48" t="n">
        <f aca="false">0</f>
        <v>0</v>
      </c>
      <c r="V71" s="48" t="n">
        <f aca="false">0</f>
        <v>0</v>
      </c>
      <c r="W71" s="48" t="n">
        <f aca="false">0</f>
        <v>0</v>
      </c>
      <c r="X71" s="48" t="n">
        <f aca="false">0</f>
        <v>0</v>
      </c>
      <c r="Y71" s="48" t="n">
        <f aca="false">0</f>
        <v>0</v>
      </c>
      <c r="Z71" s="48" t="n">
        <f aca="false">0</f>
        <v>0</v>
      </c>
      <c r="AA71" s="48" t="n">
        <f aca="false">0</f>
        <v>0</v>
      </c>
      <c r="AB71" s="48" t="n">
        <f aca="false">0</f>
        <v>0</v>
      </c>
      <c r="AC71" s="48" t="n">
        <f aca="false">0</f>
        <v>0</v>
      </c>
      <c r="AD71" s="48" t="n">
        <f aca="false">0</f>
        <v>0</v>
      </c>
      <c r="AE71" s="48" t="n">
        <f aca="false">0</f>
        <v>0</v>
      </c>
      <c r="AF71" s="48" t="n">
        <f aca="false">0</f>
        <v>0</v>
      </c>
      <c r="AG71" s="48" t="n">
        <f aca="false">0</f>
        <v>0</v>
      </c>
      <c r="AH71" s="48" t="n">
        <f aca="false">0</f>
        <v>0</v>
      </c>
      <c r="AI71" s="48" t="n">
        <f aca="false">0</f>
        <v>0</v>
      </c>
      <c r="AJ71" s="48" t="n">
        <f aca="false">0</f>
        <v>0</v>
      </c>
      <c r="AK71" s="48" t="n">
        <f aca="false">0</f>
        <v>0</v>
      </c>
      <c r="AL71" s="48" t="n">
        <f aca="false">0</f>
        <v>0</v>
      </c>
      <c r="AM71" s="48" t="n">
        <f aca="false">0</f>
        <v>0</v>
      </c>
      <c r="AN71" s="48" t="n">
        <f aca="false">0</f>
        <v>0</v>
      </c>
      <c r="AO71" s="48" t="n">
        <f aca="false">0</f>
        <v>0</v>
      </c>
      <c r="AP71" s="48" t="n">
        <f aca="false">0</f>
        <v>0</v>
      </c>
      <c r="AQ71" s="48" t="n">
        <f aca="false">0</f>
        <v>0</v>
      </c>
      <c r="AR71" s="48" t="n">
        <f aca="false">0</f>
        <v>0</v>
      </c>
      <c r="AS71" s="48" t="n">
        <f aca="false">0</f>
        <v>0</v>
      </c>
      <c r="AT71" s="48" t="n">
        <f aca="false">0</f>
        <v>0</v>
      </c>
      <c r="AU71" s="48" t="n">
        <f aca="false">0</f>
        <v>0</v>
      </c>
      <c r="AV71" s="48" t="n">
        <f aca="false">0</f>
        <v>0</v>
      </c>
      <c r="AW71" s="48" t="n">
        <f aca="false">0</f>
        <v>0</v>
      </c>
      <c r="AX71" s="48" t="n">
        <f aca="false">0</f>
        <v>0</v>
      </c>
      <c r="AY71" s="48" t="n">
        <f aca="false">0</f>
        <v>0</v>
      </c>
      <c r="AZ71" s="48" t="n">
        <f aca="false">0</f>
        <v>0</v>
      </c>
      <c r="BA71" s="48" t="n">
        <f aca="false">0</f>
        <v>0</v>
      </c>
      <c r="BB71" s="48" t="n">
        <f aca="false">0</f>
        <v>0</v>
      </c>
      <c r="BC71" s="48" t="n">
        <f aca="false">0</f>
        <v>0</v>
      </c>
      <c r="BD71" s="48" t="n">
        <f aca="false">0</f>
        <v>0</v>
      </c>
      <c r="BE71" s="48" t="n">
        <f aca="false">0</f>
        <v>0</v>
      </c>
      <c r="BF71" s="48" t="n">
        <f aca="false">0</f>
        <v>0</v>
      </c>
      <c r="BG71" s="48" t="n">
        <f aca="false">0</f>
        <v>0</v>
      </c>
      <c r="BH71" s="48" t="n">
        <f aca="false">0</f>
        <v>0</v>
      </c>
      <c r="BI71" s="48" t="n">
        <f aca="false">0</f>
        <v>0</v>
      </c>
      <c r="BJ71" s="48" t="n">
        <f aca="false">0</f>
        <v>0</v>
      </c>
      <c r="BK71" s="48" t="n">
        <f aca="false">0</f>
        <v>0</v>
      </c>
      <c r="BL71" s="48" t="n">
        <f aca="false">0</f>
        <v>0</v>
      </c>
      <c r="BM71" s="48" t="n">
        <f aca="false">0</f>
        <v>0</v>
      </c>
      <c r="BN71" s="48" t="n">
        <f aca="false">0</f>
        <v>0</v>
      </c>
      <c r="BO71" s="48" t="n">
        <f aca="false">0</f>
        <v>0</v>
      </c>
      <c r="BP71" s="48" t="n">
        <f aca="false">0</f>
        <v>0</v>
      </c>
      <c r="BQ71" s="48" t="n">
        <f aca="false">0</f>
        <v>0</v>
      </c>
      <c r="BR71" s="48" t="n">
        <f aca="false">0</f>
        <v>0</v>
      </c>
      <c r="BS71" s="48" t="n">
        <f aca="false">0</f>
        <v>0</v>
      </c>
      <c r="BT71" s="48" t="n">
        <f aca="false">0</f>
        <v>0</v>
      </c>
      <c r="BU71" s="48" t="n">
        <f aca="false">0</f>
        <v>0</v>
      </c>
      <c r="BV71" s="48" t="n">
        <f aca="false">0</f>
        <v>0</v>
      </c>
      <c r="BW71" s="48" t="n">
        <f aca="false">0</f>
        <v>0</v>
      </c>
      <c r="BX71" s="48" t="n">
        <f aca="false">0</f>
        <v>0</v>
      </c>
    </row>
    <row r="72" customFormat="false" ht="15" hidden="false" customHeight="false" outlineLevel="0" collapsed="false">
      <c r="A72" s="1"/>
      <c r="B72" s="8" t="s">
        <v>337</v>
      </c>
      <c r="C72" s="8" t="s">
        <v>126</v>
      </c>
      <c r="D72" s="44" t="n">
        <f aca="false">SUM(G72:BX72)</f>
        <v>3647.454571332</v>
      </c>
      <c r="E72" s="1"/>
      <c r="F72" s="1"/>
      <c r="G72" s="48" t="n">
        <f aca="false">G59*$D$26/1000000</f>
        <v>0</v>
      </c>
      <c r="H72" s="48" t="n">
        <f aca="false">H59*$D$26/1000000</f>
        <v>0</v>
      </c>
      <c r="I72" s="48" t="n">
        <f aca="false">I59*$D$26/1000000</f>
        <v>0</v>
      </c>
      <c r="J72" s="48" t="n">
        <f aca="false">J59*$D$26/1000000</f>
        <v>0</v>
      </c>
      <c r="K72" s="48" t="n">
        <f aca="false">K59*$D$26/1000000</f>
        <v>0</v>
      </c>
      <c r="L72" s="48" t="n">
        <f aca="false">L59*$D$26/1000000</f>
        <v>0</v>
      </c>
      <c r="M72" s="48" t="n">
        <f aca="false">M59*$D$26/1000000</f>
        <v>0</v>
      </c>
      <c r="N72" s="48" t="n">
        <f aca="false">N59*$D$26/1000000</f>
        <v>0</v>
      </c>
      <c r="O72" s="48" t="n">
        <f aca="false">O59*$D$26/1000000</f>
        <v>61.163924328</v>
      </c>
      <c r="P72" s="48" t="n">
        <f aca="false">P59*$D$26/1000000</f>
        <v>58.548834552</v>
      </c>
      <c r="Q72" s="48" t="n">
        <f aca="false">Q59*$D$26/1000000</f>
        <v>58.541513472</v>
      </c>
      <c r="R72" s="48" t="n">
        <f aca="false">R59*$D$26/1000000</f>
        <v>63.104858232</v>
      </c>
      <c r="S72" s="48" t="n">
        <f aca="false">S59*$D$26/1000000</f>
        <v>60.411702624</v>
      </c>
      <c r="T72" s="48" t="n">
        <f aca="false">T59*$D$26/1000000</f>
        <v>60.404651268</v>
      </c>
      <c r="U72" s="48" t="n">
        <f aca="false">U59*$D$26/1000000</f>
        <v>63.095726148</v>
      </c>
      <c r="V72" s="48" t="n">
        <f aca="false">V59*$D$26/1000000</f>
        <v>60.399449448</v>
      </c>
      <c r="W72" s="48" t="n">
        <f aca="false">W59*$D$26/1000000</f>
        <v>60.39736872</v>
      </c>
      <c r="X72" s="48" t="n">
        <f aca="false">X59*$D$26/1000000</f>
        <v>58.595843592</v>
      </c>
      <c r="Y72" s="48" t="n">
        <f aca="false">Y59*$D$26/1000000</f>
        <v>60.385115544</v>
      </c>
      <c r="Z72" s="48" t="n">
        <f aca="false">Z59*$D$26/1000000</f>
        <v>60.379721064</v>
      </c>
      <c r="AA72" s="48" t="n">
        <f aca="false">AA59*$D$26/1000000</f>
        <v>63.065401464</v>
      </c>
      <c r="AB72" s="48" t="n">
        <f aca="false">AB59*$D$26/1000000</f>
        <v>60.374326584</v>
      </c>
      <c r="AC72" s="48" t="n">
        <f aca="false">AC59*$D$26/1000000</f>
        <v>60.358143144</v>
      </c>
      <c r="AD72" s="48" t="n">
        <f aca="false">AD59*$D$26/1000000</f>
        <v>63.047137296</v>
      </c>
      <c r="AE72" s="48" t="n">
        <f aca="false">AE59*$D$26/1000000</f>
        <v>60.339878976</v>
      </c>
      <c r="AF72" s="48" t="n">
        <f aca="false">AF59*$D$26/1000000</f>
        <v>60.33282762</v>
      </c>
      <c r="AG72" s="48" t="n">
        <f aca="false">AG59*$D$26/1000000</f>
        <v>63.021629112</v>
      </c>
      <c r="AH72" s="48" t="n">
        <f aca="false">AH59*$D$26/1000000</f>
        <v>57.633044508</v>
      </c>
      <c r="AI72" s="48" t="n">
        <f aca="false">AI59*$D$26/1000000</f>
        <v>60.32203866</v>
      </c>
      <c r="AJ72" s="48" t="n">
        <f aca="false">AJ59*$D$26/1000000</f>
        <v>62.998779636</v>
      </c>
      <c r="AK72" s="48" t="n">
        <f aca="false">AK59*$D$26/1000000</f>
        <v>60.296491944</v>
      </c>
      <c r="AL72" s="48" t="n">
        <f aca="false">AL59*$D$26/1000000</f>
        <v>60.296491944</v>
      </c>
      <c r="AM72" s="48" t="n">
        <f aca="false">AM59*$D$26/1000000</f>
        <v>62.98382922</v>
      </c>
      <c r="AN72" s="48" t="n">
        <f aca="false">AN59*$D$26/1000000</f>
        <v>60.283622256</v>
      </c>
      <c r="AO72" s="48" t="n">
        <f aca="false">AO59*$D$26/1000000</f>
        <v>60.283198404</v>
      </c>
      <c r="AP72" s="48" t="n">
        <f aca="false">AP59*$D$26/1000000</f>
        <v>62.974273284</v>
      </c>
      <c r="AQ72" s="48" t="n">
        <f aca="false">AQ59*$D$26/1000000</f>
        <v>60.283198404</v>
      </c>
      <c r="AR72" s="48" t="n">
        <f aca="false">AR59*$D$26/1000000</f>
        <v>57.592123524</v>
      </c>
      <c r="AS72" s="48" t="n">
        <f aca="false">AS59*$D$26/1000000</f>
        <v>62.974273284</v>
      </c>
      <c r="AT72" s="48" t="n">
        <f aca="false">AT59*$D$26/1000000</f>
        <v>60.283198404</v>
      </c>
      <c r="AU72" s="48" t="n">
        <f aca="false">AU59*$D$26/1000000</f>
        <v>60.283198404</v>
      </c>
      <c r="AV72" s="48" t="n">
        <f aca="false">AV59*$D$26/1000000</f>
        <v>62.974273284</v>
      </c>
      <c r="AW72" s="48" t="n">
        <f aca="false">AW59*$D$26/1000000</f>
        <v>60.283198404</v>
      </c>
      <c r="AX72" s="48" t="n">
        <f aca="false">AX59*$D$26/1000000</f>
        <v>60.283198404</v>
      </c>
      <c r="AY72" s="48" t="n">
        <f aca="false">AY59*$D$26/1000000</f>
        <v>62.974273284</v>
      </c>
      <c r="AZ72" s="48" t="n">
        <f aca="false">AZ59*$D$26/1000000</f>
        <v>60.283198404</v>
      </c>
      <c r="BA72" s="48" t="n">
        <f aca="false">BA59*$D$26/1000000</f>
        <v>60.283198404</v>
      </c>
      <c r="BB72" s="48" t="n">
        <f aca="false">BB59*$D$26/1000000</f>
        <v>58.489148484</v>
      </c>
      <c r="BC72" s="48" t="n">
        <f aca="false">BC59*$D$26/1000000</f>
        <v>60.283198404</v>
      </c>
      <c r="BD72" s="48" t="n">
        <f aca="false">BD59*$D$26/1000000</f>
        <v>60.283198404</v>
      </c>
      <c r="BE72" s="48" t="n">
        <f aca="false">BE59*$D$26/1000000</f>
        <v>62.974273284</v>
      </c>
      <c r="BF72" s="48" t="n">
        <f aca="false">BF59*$D$26/1000000</f>
        <v>60.283198404</v>
      </c>
      <c r="BG72" s="48" t="n">
        <f aca="false">BG59*$D$26/1000000</f>
        <v>60.283198404</v>
      </c>
      <c r="BH72" s="48" t="n">
        <f aca="false">BH59*$D$26/1000000</f>
        <v>62.974273284</v>
      </c>
      <c r="BI72" s="48" t="n">
        <f aca="false">BI59*$D$26/1000000</f>
        <v>60.283198404</v>
      </c>
      <c r="BJ72" s="48" t="n">
        <f aca="false">BJ59*$D$26/1000000</f>
        <v>60.283198404</v>
      </c>
      <c r="BK72" s="48" t="n">
        <f aca="false">BK59*$D$26/1000000</f>
        <v>62.974273284</v>
      </c>
      <c r="BL72" s="48" t="n">
        <f aca="false">BL59*$D$26/1000000</f>
        <v>57.592123524</v>
      </c>
      <c r="BM72" s="48" t="n">
        <f aca="false">BM59*$D$26/1000000</f>
        <v>60.283198404</v>
      </c>
      <c r="BN72" s="48" t="n">
        <f aca="false">BN59*$D$26/1000000</f>
        <v>62.974273284</v>
      </c>
      <c r="BO72" s="48" t="n">
        <f aca="false">BO59*$D$26/1000000</f>
        <v>60.283198404</v>
      </c>
      <c r="BP72" s="48" t="n">
        <f aca="false">BP59*$D$26/1000000</f>
        <v>60.283198404</v>
      </c>
      <c r="BQ72" s="48" t="n">
        <f aca="false">BQ59*$D$26/1000000</f>
        <v>62.974273284</v>
      </c>
      <c r="BR72" s="48" t="n">
        <f aca="false">BR59*$D$26/1000000</f>
        <v>60.283198404</v>
      </c>
      <c r="BS72" s="48" t="n">
        <f aca="false">BS59*$D$26/1000000</f>
        <v>60.283198404</v>
      </c>
      <c r="BT72" s="48" t="n">
        <f aca="false">BT59*$D$26/1000000</f>
        <v>62.974273284</v>
      </c>
      <c r="BU72" s="48" t="n">
        <f aca="false">BU59*$D$26/1000000</f>
        <v>60.283198404</v>
      </c>
      <c r="BV72" s="48" t="n">
        <f aca="false">BV59*$D$26/1000000</f>
        <v>57.592123524</v>
      </c>
      <c r="BW72" s="48" t="n">
        <f aca="false">BW59*$D$26/1000000</f>
        <v>0</v>
      </c>
      <c r="BX72" s="48" t="n">
        <f aca="false">BX59*$D$26/1000000</f>
        <v>0</v>
      </c>
    </row>
    <row r="73" customFormat="false" ht="15" hidden="false" customHeight="false" outlineLevel="0" collapsed="false">
      <c r="A73" s="1"/>
      <c r="B73" s="8" t="s">
        <v>338</v>
      </c>
      <c r="C73" s="8" t="s">
        <v>126</v>
      </c>
      <c r="D73" s="44" t="n">
        <f aca="false">SUM(G73:BX73)</f>
        <v>9689.94</v>
      </c>
      <c r="E73" s="1"/>
      <c r="F73" s="1"/>
      <c r="G73" s="48" t="n">
        <f aca="false">IF(G42=1,$D$14*$D$7*1000/1000000*IF(G43&lt;=$D$32,$D$31,1)*(1+$D$34),0)</f>
        <v>0</v>
      </c>
      <c r="H73" s="48" t="n">
        <f aca="false">IF(H42=1,$D$14*$D$7*1000/1000000*IF(H43&lt;=$D$32,$D$31,1)*(1+$D$34),0)</f>
        <v>0</v>
      </c>
      <c r="I73" s="48" t="n">
        <f aca="false">IF(I42=1,$D$14*$D$7*1000/1000000*IF(I43&lt;=$D$32,$D$31,1)*(1+$D$34),0)</f>
        <v>0</v>
      </c>
      <c r="J73" s="48" t="n">
        <f aca="false">IF(J42=1,$D$14*$D$7*1000/1000000*IF(J43&lt;=$D$32,$D$31,1)*(1+$D$34),0)</f>
        <v>0</v>
      </c>
      <c r="K73" s="48" t="n">
        <f aca="false">IF(K42=1,$D$14*$D$7*1000/1000000*IF(K43&lt;=$D$32,$D$31,1)*(1+$D$34),0)</f>
        <v>0</v>
      </c>
      <c r="L73" s="48" t="n">
        <f aca="false">IF(L42=1,$D$14*$D$7*1000/1000000*IF(L43&lt;=$D$32,$D$31,1)*(1+$D$34),0)</f>
        <v>0</v>
      </c>
      <c r="M73" s="48" t="n">
        <f aca="false">IF(M42=1,$D$14*$D$7*1000/1000000*IF(M43&lt;=$D$32,$D$31,1)*(1+$D$34),0)</f>
        <v>0</v>
      </c>
      <c r="N73" s="48" t="n">
        <f aca="false">IF(N42=1,$D$14*$D$7*1000/1000000*IF(N43&lt;=$D$32,$D$31,1)*(1+$D$34),0)</f>
        <v>0</v>
      </c>
      <c r="O73" s="48" t="n">
        <f aca="false">IF(O42=1,$D$14*$D$7*1000/1000000*IF(O43&lt;=$D$32,$D$31,1)*(1+$D$34),0)</f>
        <v>236.34</v>
      </c>
      <c r="P73" s="48" t="n">
        <f aca="false">IF(P42=1,$D$14*$D$7*1000/1000000*IF(P43&lt;=$D$32,$D$31,1)*(1+$D$34),0)</f>
        <v>236.34</v>
      </c>
      <c r="Q73" s="48" t="n">
        <f aca="false">IF(Q42=1,$D$14*$D$7*1000/1000000*IF(Q43&lt;=$D$32,$D$31,1)*(1+$D$34),0)</f>
        <v>236.34</v>
      </c>
      <c r="R73" s="48" t="n">
        <f aca="false">IF(R42=1,$D$14*$D$7*1000/1000000*IF(R43&lt;=$D$32,$D$31,1)*(1+$D$34),0)</f>
        <v>157.56</v>
      </c>
      <c r="S73" s="48" t="n">
        <f aca="false">IF(S42=1,$D$14*$D$7*1000/1000000*IF(S43&lt;=$D$32,$D$31,1)*(1+$D$34),0)</f>
        <v>157.56</v>
      </c>
      <c r="T73" s="48" t="n">
        <f aca="false">IF(T42=1,$D$14*$D$7*1000/1000000*IF(T43&lt;=$D$32,$D$31,1)*(1+$D$34),0)</f>
        <v>157.56</v>
      </c>
      <c r="U73" s="48" t="n">
        <f aca="false">IF(U42=1,$D$14*$D$7*1000/1000000*IF(U43&lt;=$D$32,$D$31,1)*(1+$D$34),0)</f>
        <v>157.56</v>
      </c>
      <c r="V73" s="48" t="n">
        <f aca="false">IF(V42=1,$D$14*$D$7*1000/1000000*IF(V43&lt;=$D$32,$D$31,1)*(1+$D$34),0)</f>
        <v>157.56</v>
      </c>
      <c r="W73" s="48" t="n">
        <f aca="false">IF(W42=1,$D$14*$D$7*1000/1000000*IF(W43&lt;=$D$32,$D$31,1)*(1+$D$34),0)</f>
        <v>157.56</v>
      </c>
      <c r="X73" s="48" t="n">
        <f aca="false">IF(X42=1,$D$14*$D$7*1000/1000000*IF(X43&lt;=$D$32,$D$31,1)*(1+$D$34),0)</f>
        <v>157.56</v>
      </c>
      <c r="Y73" s="48" t="n">
        <f aca="false">IF(Y42=1,$D$14*$D$7*1000/1000000*IF(Y43&lt;=$D$32,$D$31,1)*(1+$D$34),0)</f>
        <v>157.56</v>
      </c>
      <c r="Z73" s="48" t="n">
        <f aca="false">IF(Z42=1,$D$14*$D$7*1000/1000000*IF(Z43&lt;=$D$32,$D$31,1)*(1+$D$34),0)</f>
        <v>157.56</v>
      </c>
      <c r="AA73" s="48" t="n">
        <f aca="false">IF(AA42=1,$D$14*$D$7*1000/1000000*IF(AA43&lt;=$D$32,$D$31,1)*(1+$D$34),0)</f>
        <v>157.56</v>
      </c>
      <c r="AB73" s="48" t="n">
        <f aca="false">IF(AB42=1,$D$14*$D$7*1000/1000000*IF(AB43&lt;=$D$32,$D$31,1)*(1+$D$34),0)</f>
        <v>157.56</v>
      </c>
      <c r="AC73" s="48" t="n">
        <f aca="false">IF(AC42=1,$D$14*$D$7*1000/1000000*IF(AC43&lt;=$D$32,$D$31,1)*(1+$D$34),0)</f>
        <v>157.56</v>
      </c>
      <c r="AD73" s="48" t="n">
        <f aca="false">IF(AD42=1,$D$14*$D$7*1000/1000000*IF(AD43&lt;=$D$32,$D$31,1)*(1+$D$34),0)</f>
        <v>157.56</v>
      </c>
      <c r="AE73" s="48" t="n">
        <f aca="false">IF(AE42=1,$D$14*$D$7*1000/1000000*IF(AE43&lt;=$D$32,$D$31,1)*(1+$D$34),0)</f>
        <v>157.56</v>
      </c>
      <c r="AF73" s="48" t="n">
        <f aca="false">IF(AF42=1,$D$14*$D$7*1000/1000000*IF(AF43&lt;=$D$32,$D$31,1)*(1+$D$34),0)</f>
        <v>157.56</v>
      </c>
      <c r="AG73" s="48" t="n">
        <f aca="false">IF(AG42=1,$D$14*$D$7*1000/1000000*IF(AG43&lt;=$D$32,$D$31,1)*(1+$D$34),0)</f>
        <v>157.56</v>
      </c>
      <c r="AH73" s="48" t="n">
        <f aca="false">IF(AH42=1,$D$14*$D$7*1000/1000000*IF(AH43&lt;=$D$32,$D$31,1)*(1+$D$34),0)</f>
        <v>157.56</v>
      </c>
      <c r="AI73" s="48" t="n">
        <f aca="false">IF(AI42=1,$D$14*$D$7*1000/1000000*IF(AI43&lt;=$D$32,$D$31,1)*(1+$D$34),0)</f>
        <v>157.56</v>
      </c>
      <c r="AJ73" s="48" t="n">
        <f aca="false">IF(AJ42=1,$D$14*$D$7*1000/1000000*IF(AJ43&lt;=$D$32,$D$31,1)*(1+$D$34),0)</f>
        <v>157.56</v>
      </c>
      <c r="AK73" s="48" t="n">
        <f aca="false">IF(AK42=1,$D$14*$D$7*1000/1000000*IF(AK43&lt;=$D$32,$D$31,1)*(1+$D$34),0)</f>
        <v>157.56</v>
      </c>
      <c r="AL73" s="48" t="n">
        <f aca="false">IF(AL42=1,$D$14*$D$7*1000/1000000*IF(AL43&lt;=$D$32,$D$31,1)*(1+$D$34),0)</f>
        <v>157.56</v>
      </c>
      <c r="AM73" s="48" t="n">
        <f aca="false">IF(AM42=1,$D$14*$D$7*1000/1000000*IF(AM43&lt;=$D$32,$D$31,1)*(1+$D$34),0)</f>
        <v>157.56</v>
      </c>
      <c r="AN73" s="48" t="n">
        <f aca="false">IF(AN42=1,$D$14*$D$7*1000/1000000*IF(AN43&lt;=$D$32,$D$31,1)*(1+$D$34),0)</f>
        <v>157.56</v>
      </c>
      <c r="AO73" s="48" t="n">
        <f aca="false">IF(AO42=1,$D$14*$D$7*1000/1000000*IF(AO43&lt;=$D$32,$D$31,1)*(1+$D$34),0)</f>
        <v>157.56</v>
      </c>
      <c r="AP73" s="48" t="n">
        <f aca="false">IF(AP42=1,$D$14*$D$7*1000/1000000*IF(AP43&lt;=$D$32,$D$31,1)*(1+$D$34),0)</f>
        <v>157.56</v>
      </c>
      <c r="AQ73" s="48" t="n">
        <f aca="false">IF(AQ42=1,$D$14*$D$7*1000/1000000*IF(AQ43&lt;=$D$32,$D$31,1)*(1+$D$34),0)</f>
        <v>157.56</v>
      </c>
      <c r="AR73" s="48" t="n">
        <f aca="false">IF(AR42=1,$D$14*$D$7*1000/1000000*IF(AR43&lt;=$D$32,$D$31,1)*(1+$D$34),0)</f>
        <v>157.56</v>
      </c>
      <c r="AS73" s="48" t="n">
        <f aca="false">IF(AS42=1,$D$14*$D$7*1000/1000000*IF(AS43&lt;=$D$32,$D$31,1)*(1+$D$34),0)</f>
        <v>157.56</v>
      </c>
      <c r="AT73" s="48" t="n">
        <f aca="false">IF(AT42=1,$D$14*$D$7*1000/1000000*IF(AT43&lt;=$D$32,$D$31,1)*(1+$D$34),0)</f>
        <v>157.56</v>
      </c>
      <c r="AU73" s="48" t="n">
        <f aca="false">IF(AU42=1,$D$14*$D$7*1000/1000000*IF(AU43&lt;=$D$32,$D$31,1)*(1+$D$34),0)</f>
        <v>157.56</v>
      </c>
      <c r="AV73" s="48" t="n">
        <f aca="false">IF(AV42=1,$D$14*$D$7*1000/1000000*IF(AV43&lt;=$D$32,$D$31,1)*(1+$D$34),0)</f>
        <v>157.56</v>
      </c>
      <c r="AW73" s="48" t="n">
        <f aca="false">IF(AW42=1,$D$14*$D$7*1000/1000000*IF(AW43&lt;=$D$32,$D$31,1)*(1+$D$34),0)</f>
        <v>157.56</v>
      </c>
      <c r="AX73" s="48" t="n">
        <f aca="false">IF(AX42=1,$D$14*$D$7*1000/1000000*IF(AX43&lt;=$D$32,$D$31,1)*(1+$D$34),0)</f>
        <v>157.56</v>
      </c>
      <c r="AY73" s="48" t="n">
        <f aca="false">IF(AY42=1,$D$14*$D$7*1000/1000000*IF(AY43&lt;=$D$32,$D$31,1)*(1+$D$34),0)</f>
        <v>157.56</v>
      </c>
      <c r="AZ73" s="48" t="n">
        <f aca="false">IF(AZ42=1,$D$14*$D$7*1000/1000000*IF(AZ43&lt;=$D$32,$D$31,1)*(1+$D$34),0)</f>
        <v>157.56</v>
      </c>
      <c r="BA73" s="48" t="n">
        <f aca="false">IF(BA42=1,$D$14*$D$7*1000/1000000*IF(BA43&lt;=$D$32,$D$31,1)*(1+$D$34),0)</f>
        <v>157.56</v>
      </c>
      <c r="BB73" s="48" t="n">
        <f aca="false">IF(BB42=1,$D$14*$D$7*1000/1000000*IF(BB43&lt;=$D$32,$D$31,1)*(1+$D$34),0)</f>
        <v>157.56</v>
      </c>
      <c r="BC73" s="48" t="n">
        <f aca="false">IF(BC42=1,$D$14*$D$7*1000/1000000*IF(BC43&lt;=$D$32,$D$31,1)*(1+$D$34),0)</f>
        <v>157.56</v>
      </c>
      <c r="BD73" s="48" t="n">
        <f aca="false">IF(BD42=1,$D$14*$D$7*1000/1000000*IF(BD43&lt;=$D$32,$D$31,1)*(1+$D$34),0)</f>
        <v>157.56</v>
      </c>
      <c r="BE73" s="48" t="n">
        <f aca="false">IF(BE42=1,$D$14*$D$7*1000/1000000*IF(BE43&lt;=$D$32,$D$31,1)*(1+$D$34),0)</f>
        <v>157.56</v>
      </c>
      <c r="BF73" s="48" t="n">
        <f aca="false">IF(BF42=1,$D$14*$D$7*1000/1000000*IF(BF43&lt;=$D$32,$D$31,1)*(1+$D$34),0)</f>
        <v>157.56</v>
      </c>
      <c r="BG73" s="48" t="n">
        <f aca="false">IF(BG42=1,$D$14*$D$7*1000/1000000*IF(BG43&lt;=$D$32,$D$31,1)*(1+$D$34),0)</f>
        <v>157.56</v>
      </c>
      <c r="BH73" s="48" t="n">
        <f aca="false">IF(BH42=1,$D$14*$D$7*1000/1000000*IF(BH43&lt;=$D$32,$D$31,1)*(1+$D$34),0)</f>
        <v>157.56</v>
      </c>
      <c r="BI73" s="48" t="n">
        <f aca="false">IF(BI42=1,$D$14*$D$7*1000/1000000*IF(BI43&lt;=$D$32,$D$31,1)*(1+$D$34),0)</f>
        <v>157.56</v>
      </c>
      <c r="BJ73" s="48" t="n">
        <f aca="false">IF(BJ42=1,$D$14*$D$7*1000/1000000*IF(BJ43&lt;=$D$32,$D$31,1)*(1+$D$34),0)</f>
        <v>157.56</v>
      </c>
      <c r="BK73" s="48" t="n">
        <f aca="false">IF(BK42=1,$D$14*$D$7*1000/1000000*IF(BK43&lt;=$D$32,$D$31,1)*(1+$D$34),0)</f>
        <v>157.56</v>
      </c>
      <c r="BL73" s="48" t="n">
        <f aca="false">IF(BL42=1,$D$14*$D$7*1000/1000000*IF(BL43&lt;=$D$32,$D$31,1)*(1+$D$34),0)</f>
        <v>157.56</v>
      </c>
      <c r="BM73" s="48" t="n">
        <f aca="false">IF(BM42=1,$D$14*$D$7*1000/1000000*IF(BM43&lt;=$D$32,$D$31,1)*(1+$D$34),0)</f>
        <v>157.56</v>
      </c>
      <c r="BN73" s="48" t="n">
        <f aca="false">IF(BN42=1,$D$14*$D$7*1000/1000000*IF(BN43&lt;=$D$32,$D$31,1)*(1+$D$34),0)</f>
        <v>157.56</v>
      </c>
      <c r="BO73" s="48" t="n">
        <f aca="false">IF(BO42=1,$D$14*$D$7*1000/1000000*IF(BO43&lt;=$D$32,$D$31,1)*(1+$D$34),0)</f>
        <v>157.56</v>
      </c>
      <c r="BP73" s="48" t="n">
        <f aca="false">IF(BP42=1,$D$14*$D$7*1000/1000000*IF(BP43&lt;=$D$32,$D$31,1)*(1+$D$34),0)</f>
        <v>157.56</v>
      </c>
      <c r="BQ73" s="48" t="n">
        <f aca="false">IF(BQ42=1,$D$14*$D$7*1000/1000000*IF(BQ43&lt;=$D$32,$D$31,1)*(1+$D$34),0)</f>
        <v>157.56</v>
      </c>
      <c r="BR73" s="48" t="n">
        <f aca="false">IF(BR42=1,$D$14*$D$7*1000/1000000*IF(BR43&lt;=$D$32,$D$31,1)*(1+$D$34),0)</f>
        <v>157.56</v>
      </c>
      <c r="BS73" s="48" t="n">
        <f aca="false">IF(BS42=1,$D$14*$D$7*1000/1000000*IF(BS43&lt;=$D$32,$D$31,1)*(1+$D$34),0)</f>
        <v>157.56</v>
      </c>
      <c r="BT73" s="48" t="n">
        <f aca="false">IF(BT42=1,$D$14*$D$7*1000/1000000*IF(BT43&lt;=$D$32,$D$31,1)*(1+$D$34),0)</f>
        <v>157.56</v>
      </c>
      <c r="BU73" s="48" t="n">
        <f aca="false">IF(BU42=1,$D$14*$D$7*1000/1000000*IF(BU43&lt;=$D$32,$D$31,1)*(1+$D$34),0)</f>
        <v>157.56</v>
      </c>
      <c r="BV73" s="48" t="n">
        <f aca="false">IF(BV42=1,$D$14*$D$7*1000/1000000*IF(BV43&lt;=$D$32,$D$31,1)*(1+$D$34),0)</f>
        <v>157.56</v>
      </c>
      <c r="BW73" s="48" t="n">
        <f aca="false">IF(BW42=1,$D$14*$D$7*1000/1000000*IF(BW43&lt;=$D$32,$D$31,1)*(1+$D$34),0)</f>
        <v>0</v>
      </c>
      <c r="BX73" s="48" t="n">
        <f aca="false">IF(BX42=1,$D$14*$D$7*1000/1000000*IF(BX43&lt;=$D$32,$D$31,1)*(1+$D$34),0)</f>
        <v>0</v>
      </c>
    </row>
    <row r="74" customFormat="false" ht="15" hidden="false" customHeight="false" outlineLevel="0" collapsed="false">
      <c r="A74" s="1"/>
      <c r="B74" s="8" t="s">
        <v>339</v>
      </c>
      <c r="C74" s="8" t="s">
        <v>126</v>
      </c>
      <c r="D74" s="44" t="n">
        <f aca="false">SUM(G74:BX74)</f>
        <v>3132</v>
      </c>
      <c r="E74" s="1"/>
      <c r="F74" s="1"/>
      <c r="G74" s="48" t="n">
        <f aca="false">IF(G42=1,$D$19*$D$20/1000,0)</f>
        <v>0</v>
      </c>
      <c r="H74" s="48" t="n">
        <f aca="false">IF(H42=1,$D$19*$D$20/1000,0)</f>
        <v>0</v>
      </c>
      <c r="I74" s="48" t="n">
        <f aca="false">IF(I42=1,$D$19*$D$20/1000,0)</f>
        <v>0</v>
      </c>
      <c r="J74" s="48" t="n">
        <f aca="false">IF(J42=1,$D$19*$D$20/1000,0)</f>
        <v>0</v>
      </c>
      <c r="K74" s="48" t="n">
        <f aca="false">IF(K42=1,$D$19*$D$20/1000,0)</f>
        <v>0</v>
      </c>
      <c r="L74" s="48" t="n">
        <f aca="false">IF(L42=1,$D$19*$D$20/1000,0)</f>
        <v>0</v>
      </c>
      <c r="M74" s="48" t="n">
        <f aca="false">IF(M42=1,$D$19*$D$20/1000,0)</f>
        <v>0</v>
      </c>
      <c r="N74" s="48" t="n">
        <f aca="false">IF(N42=1,$D$19*$D$20/1000,0)</f>
        <v>0</v>
      </c>
      <c r="O74" s="48" t="n">
        <f aca="false">IF(O42=1,$D$19*$D$20/1000,0)</f>
        <v>52.2</v>
      </c>
      <c r="P74" s="48" t="n">
        <f aca="false">IF(P42=1,$D$19*$D$20/1000,0)</f>
        <v>52.2</v>
      </c>
      <c r="Q74" s="48" t="n">
        <f aca="false">IF(Q42=1,$D$19*$D$20/1000,0)</f>
        <v>52.2</v>
      </c>
      <c r="R74" s="48" t="n">
        <f aca="false">IF(R42=1,$D$19*$D$20/1000,0)</f>
        <v>52.2</v>
      </c>
      <c r="S74" s="48" t="n">
        <f aca="false">IF(S42=1,$D$19*$D$20/1000,0)</f>
        <v>52.2</v>
      </c>
      <c r="T74" s="48" t="n">
        <f aca="false">IF(T42=1,$D$19*$D$20/1000,0)</f>
        <v>52.2</v>
      </c>
      <c r="U74" s="48" t="n">
        <f aca="false">IF(U42=1,$D$19*$D$20/1000,0)</f>
        <v>52.2</v>
      </c>
      <c r="V74" s="48" t="n">
        <f aca="false">IF(V42=1,$D$19*$D$20/1000,0)</f>
        <v>52.2</v>
      </c>
      <c r="W74" s="48" t="n">
        <f aca="false">IF(W42=1,$D$19*$D$20/1000,0)</f>
        <v>52.2</v>
      </c>
      <c r="X74" s="48" t="n">
        <f aca="false">IF(X42=1,$D$19*$D$20/1000,0)</f>
        <v>52.2</v>
      </c>
      <c r="Y74" s="48" t="n">
        <f aca="false">IF(Y42=1,$D$19*$D$20/1000,0)</f>
        <v>52.2</v>
      </c>
      <c r="Z74" s="48" t="n">
        <f aca="false">IF(Z42=1,$D$19*$D$20/1000,0)</f>
        <v>52.2</v>
      </c>
      <c r="AA74" s="48" t="n">
        <f aca="false">IF(AA42=1,$D$19*$D$20/1000,0)</f>
        <v>52.2</v>
      </c>
      <c r="AB74" s="48" t="n">
        <f aca="false">IF(AB42=1,$D$19*$D$20/1000,0)</f>
        <v>52.2</v>
      </c>
      <c r="AC74" s="48" t="n">
        <f aca="false">IF(AC42=1,$D$19*$D$20/1000,0)</f>
        <v>52.2</v>
      </c>
      <c r="AD74" s="48" t="n">
        <f aca="false">IF(AD42=1,$D$19*$D$20/1000,0)</f>
        <v>52.2</v>
      </c>
      <c r="AE74" s="48" t="n">
        <f aca="false">IF(AE42=1,$D$19*$D$20/1000,0)</f>
        <v>52.2</v>
      </c>
      <c r="AF74" s="48" t="n">
        <f aca="false">IF(AF42=1,$D$19*$D$20/1000,0)</f>
        <v>52.2</v>
      </c>
      <c r="AG74" s="48" t="n">
        <f aca="false">IF(AG42=1,$D$19*$D$20/1000,0)</f>
        <v>52.2</v>
      </c>
      <c r="AH74" s="48" t="n">
        <f aca="false">IF(AH42=1,$D$19*$D$20/1000,0)</f>
        <v>52.2</v>
      </c>
      <c r="AI74" s="48" t="n">
        <f aca="false">IF(AI42=1,$D$19*$D$20/1000,0)</f>
        <v>52.2</v>
      </c>
      <c r="AJ74" s="48" t="n">
        <f aca="false">IF(AJ42=1,$D$19*$D$20/1000,0)</f>
        <v>52.2</v>
      </c>
      <c r="AK74" s="48" t="n">
        <f aca="false">IF(AK42=1,$D$19*$D$20/1000,0)</f>
        <v>52.2</v>
      </c>
      <c r="AL74" s="48" t="n">
        <f aca="false">IF(AL42=1,$D$19*$D$20/1000,0)</f>
        <v>52.2</v>
      </c>
      <c r="AM74" s="48" t="n">
        <f aca="false">IF(AM42=1,$D$19*$D$20/1000,0)</f>
        <v>52.2</v>
      </c>
      <c r="AN74" s="48" t="n">
        <f aca="false">IF(AN42=1,$D$19*$D$20/1000,0)</f>
        <v>52.2</v>
      </c>
      <c r="AO74" s="48" t="n">
        <f aca="false">IF(AO42=1,$D$19*$D$20/1000,0)</f>
        <v>52.2</v>
      </c>
      <c r="AP74" s="48" t="n">
        <f aca="false">IF(AP42=1,$D$19*$D$20/1000,0)</f>
        <v>52.2</v>
      </c>
      <c r="AQ74" s="48" t="n">
        <f aca="false">IF(AQ42=1,$D$19*$D$20/1000,0)</f>
        <v>52.2</v>
      </c>
      <c r="AR74" s="48" t="n">
        <f aca="false">IF(AR42=1,$D$19*$D$20/1000,0)</f>
        <v>52.2</v>
      </c>
      <c r="AS74" s="48" t="n">
        <f aca="false">IF(AS42=1,$D$19*$D$20/1000,0)</f>
        <v>52.2</v>
      </c>
      <c r="AT74" s="48" t="n">
        <f aca="false">IF(AT42=1,$D$19*$D$20/1000,0)</f>
        <v>52.2</v>
      </c>
      <c r="AU74" s="48" t="n">
        <f aca="false">IF(AU42=1,$D$19*$D$20/1000,0)</f>
        <v>52.2</v>
      </c>
      <c r="AV74" s="48" t="n">
        <f aca="false">IF(AV42=1,$D$19*$D$20/1000,0)</f>
        <v>52.2</v>
      </c>
      <c r="AW74" s="48" t="n">
        <f aca="false">IF(AW42=1,$D$19*$D$20/1000,0)</f>
        <v>52.2</v>
      </c>
      <c r="AX74" s="48" t="n">
        <f aca="false">IF(AX42=1,$D$19*$D$20/1000,0)</f>
        <v>52.2</v>
      </c>
      <c r="AY74" s="48" t="n">
        <f aca="false">IF(AY42=1,$D$19*$D$20/1000,0)</f>
        <v>52.2</v>
      </c>
      <c r="AZ74" s="48" t="n">
        <f aca="false">IF(AZ42=1,$D$19*$D$20/1000,0)</f>
        <v>52.2</v>
      </c>
      <c r="BA74" s="48" t="n">
        <f aca="false">IF(BA42=1,$D$19*$D$20/1000,0)</f>
        <v>52.2</v>
      </c>
      <c r="BB74" s="48" t="n">
        <f aca="false">IF(BB42=1,$D$19*$D$20/1000,0)</f>
        <v>52.2</v>
      </c>
      <c r="BC74" s="48" t="n">
        <f aca="false">IF(BC42=1,$D$19*$D$20/1000,0)</f>
        <v>52.2</v>
      </c>
      <c r="BD74" s="48" t="n">
        <f aca="false">IF(BD42=1,$D$19*$D$20/1000,0)</f>
        <v>52.2</v>
      </c>
      <c r="BE74" s="48" t="n">
        <f aca="false">IF(BE42=1,$D$19*$D$20/1000,0)</f>
        <v>52.2</v>
      </c>
      <c r="BF74" s="48" t="n">
        <f aca="false">IF(BF42=1,$D$19*$D$20/1000,0)</f>
        <v>52.2</v>
      </c>
      <c r="BG74" s="48" t="n">
        <f aca="false">IF(BG42=1,$D$19*$D$20/1000,0)</f>
        <v>52.2</v>
      </c>
      <c r="BH74" s="48" t="n">
        <f aca="false">IF(BH42=1,$D$19*$D$20/1000,0)</f>
        <v>52.2</v>
      </c>
      <c r="BI74" s="48" t="n">
        <f aca="false">IF(BI42=1,$D$19*$D$20/1000,0)</f>
        <v>52.2</v>
      </c>
      <c r="BJ74" s="48" t="n">
        <f aca="false">IF(BJ42=1,$D$19*$D$20/1000,0)</f>
        <v>52.2</v>
      </c>
      <c r="BK74" s="48" t="n">
        <f aca="false">IF(BK42=1,$D$19*$D$20/1000,0)</f>
        <v>52.2</v>
      </c>
      <c r="BL74" s="48" t="n">
        <f aca="false">IF(BL42=1,$D$19*$D$20/1000,0)</f>
        <v>52.2</v>
      </c>
      <c r="BM74" s="48" t="n">
        <f aca="false">IF(BM42=1,$D$19*$D$20/1000,0)</f>
        <v>52.2</v>
      </c>
      <c r="BN74" s="48" t="n">
        <f aca="false">IF(BN42=1,$D$19*$D$20/1000,0)</f>
        <v>52.2</v>
      </c>
      <c r="BO74" s="48" t="n">
        <f aca="false">IF(BO42=1,$D$19*$D$20/1000,0)</f>
        <v>52.2</v>
      </c>
      <c r="BP74" s="48" t="n">
        <f aca="false">IF(BP42=1,$D$19*$D$20/1000,0)</f>
        <v>52.2</v>
      </c>
      <c r="BQ74" s="48" t="n">
        <f aca="false">IF(BQ42=1,$D$19*$D$20/1000,0)</f>
        <v>52.2</v>
      </c>
      <c r="BR74" s="48" t="n">
        <f aca="false">IF(BR42=1,$D$19*$D$20/1000,0)</f>
        <v>52.2</v>
      </c>
      <c r="BS74" s="48" t="n">
        <f aca="false">IF(BS42=1,$D$19*$D$20/1000,0)</f>
        <v>52.2</v>
      </c>
      <c r="BT74" s="48" t="n">
        <f aca="false">IF(BT42=1,$D$19*$D$20/1000,0)</f>
        <v>52.2</v>
      </c>
      <c r="BU74" s="48" t="n">
        <f aca="false">IF(BU42=1,$D$19*$D$20/1000,0)</f>
        <v>52.2</v>
      </c>
      <c r="BV74" s="48" t="n">
        <f aca="false">IF(BV42=1,$D$19*$D$20/1000,0)</f>
        <v>52.2</v>
      </c>
      <c r="BW74" s="48" t="n">
        <f aca="false">IF(BW42=1,$D$19*$D$20/1000,0)</f>
        <v>0</v>
      </c>
      <c r="BX74" s="48" t="n">
        <f aca="false">IF(BX42=1,$D$19*$D$20/1000,0)</f>
        <v>0</v>
      </c>
    </row>
    <row r="75" customFormat="false" ht="15" hidden="false" customHeight="false" outlineLevel="0" collapsed="false">
      <c r="A75" s="1"/>
      <c r="B75" s="8" t="s">
        <v>340</v>
      </c>
      <c r="C75" s="8" t="s">
        <v>126</v>
      </c>
      <c r="D75" s="44" t="n">
        <f aca="false">SUM(G75:BX75)</f>
        <v>3547.8</v>
      </c>
      <c r="E75" s="1"/>
      <c r="F75" s="1"/>
      <c r="G75" s="48" t="n">
        <f aca="false">IF(G42=1,$D$27*$D$7*8760*0.9/1000000,0)</f>
        <v>0</v>
      </c>
      <c r="H75" s="48" t="n">
        <f aca="false">IF(H42=1,$D$27*$D$7*8760*0.9/1000000,0)</f>
        <v>0</v>
      </c>
      <c r="I75" s="48" t="n">
        <f aca="false">IF(I42=1,$D$27*$D$7*8760*0.9/1000000,0)</f>
        <v>0</v>
      </c>
      <c r="J75" s="48" t="n">
        <f aca="false">IF(J42=1,$D$27*$D$7*8760*0.9/1000000,0)</f>
        <v>0</v>
      </c>
      <c r="K75" s="48" t="n">
        <f aca="false">IF(K42=1,$D$27*$D$7*8760*0.9/1000000,0)</f>
        <v>0</v>
      </c>
      <c r="L75" s="48" t="n">
        <f aca="false">IF(L42=1,$D$27*$D$7*8760*0.9/1000000,0)</f>
        <v>0</v>
      </c>
      <c r="M75" s="48" t="n">
        <f aca="false">IF(M42=1,$D$27*$D$7*8760*0.9/1000000,0)</f>
        <v>0</v>
      </c>
      <c r="N75" s="48" t="n">
        <f aca="false">IF(N42=1,$D$27*$D$7*8760*0.9/1000000,0)</f>
        <v>0</v>
      </c>
      <c r="O75" s="48" t="n">
        <f aca="false">IF(O42=1,$D$27*$D$7*8760*0.9/1000000,0)</f>
        <v>59.13</v>
      </c>
      <c r="P75" s="48" t="n">
        <f aca="false">IF(P42=1,$D$27*$D$7*8760*0.9/1000000,0)</f>
        <v>59.13</v>
      </c>
      <c r="Q75" s="48" t="n">
        <f aca="false">IF(Q42=1,$D$27*$D$7*8760*0.9/1000000,0)</f>
        <v>59.13</v>
      </c>
      <c r="R75" s="48" t="n">
        <f aca="false">IF(R42=1,$D$27*$D$7*8760*0.9/1000000,0)</f>
        <v>59.13</v>
      </c>
      <c r="S75" s="48" t="n">
        <f aca="false">IF(S42=1,$D$27*$D$7*8760*0.9/1000000,0)</f>
        <v>59.13</v>
      </c>
      <c r="T75" s="48" t="n">
        <f aca="false">IF(T42=1,$D$27*$D$7*8760*0.9/1000000,0)</f>
        <v>59.13</v>
      </c>
      <c r="U75" s="48" t="n">
        <f aca="false">IF(U42=1,$D$27*$D$7*8760*0.9/1000000,0)</f>
        <v>59.13</v>
      </c>
      <c r="V75" s="48" t="n">
        <f aca="false">IF(V42=1,$D$27*$D$7*8760*0.9/1000000,0)</f>
        <v>59.13</v>
      </c>
      <c r="W75" s="48" t="n">
        <f aca="false">IF(W42=1,$D$27*$D$7*8760*0.9/1000000,0)</f>
        <v>59.13</v>
      </c>
      <c r="X75" s="48" t="n">
        <f aca="false">IF(X42=1,$D$27*$D$7*8760*0.9/1000000,0)</f>
        <v>59.13</v>
      </c>
      <c r="Y75" s="48" t="n">
        <f aca="false">IF(Y42=1,$D$27*$D$7*8760*0.9/1000000,0)</f>
        <v>59.13</v>
      </c>
      <c r="Z75" s="48" t="n">
        <f aca="false">IF(Z42=1,$D$27*$D$7*8760*0.9/1000000,0)</f>
        <v>59.13</v>
      </c>
      <c r="AA75" s="48" t="n">
        <f aca="false">IF(AA42=1,$D$27*$D$7*8760*0.9/1000000,0)</f>
        <v>59.13</v>
      </c>
      <c r="AB75" s="48" t="n">
        <f aca="false">IF(AB42=1,$D$27*$D$7*8760*0.9/1000000,0)</f>
        <v>59.13</v>
      </c>
      <c r="AC75" s="48" t="n">
        <f aca="false">IF(AC42=1,$D$27*$D$7*8760*0.9/1000000,0)</f>
        <v>59.13</v>
      </c>
      <c r="AD75" s="48" t="n">
        <f aca="false">IF(AD42=1,$D$27*$D$7*8760*0.9/1000000,0)</f>
        <v>59.13</v>
      </c>
      <c r="AE75" s="48" t="n">
        <f aca="false">IF(AE42=1,$D$27*$D$7*8760*0.9/1000000,0)</f>
        <v>59.13</v>
      </c>
      <c r="AF75" s="48" t="n">
        <f aca="false">IF(AF42=1,$D$27*$D$7*8760*0.9/1000000,0)</f>
        <v>59.13</v>
      </c>
      <c r="AG75" s="48" t="n">
        <f aca="false">IF(AG42=1,$D$27*$D$7*8760*0.9/1000000,0)</f>
        <v>59.13</v>
      </c>
      <c r="AH75" s="48" t="n">
        <f aca="false">IF(AH42=1,$D$27*$D$7*8760*0.9/1000000,0)</f>
        <v>59.13</v>
      </c>
      <c r="AI75" s="48" t="n">
        <f aca="false">IF(AI42=1,$D$27*$D$7*8760*0.9/1000000,0)</f>
        <v>59.13</v>
      </c>
      <c r="AJ75" s="48" t="n">
        <f aca="false">IF(AJ42=1,$D$27*$D$7*8760*0.9/1000000,0)</f>
        <v>59.13</v>
      </c>
      <c r="AK75" s="48" t="n">
        <f aca="false">IF(AK42=1,$D$27*$D$7*8760*0.9/1000000,0)</f>
        <v>59.13</v>
      </c>
      <c r="AL75" s="48" t="n">
        <f aca="false">IF(AL42=1,$D$27*$D$7*8760*0.9/1000000,0)</f>
        <v>59.13</v>
      </c>
      <c r="AM75" s="48" t="n">
        <f aca="false">IF(AM42=1,$D$27*$D$7*8760*0.9/1000000,0)</f>
        <v>59.13</v>
      </c>
      <c r="AN75" s="48" t="n">
        <f aca="false">IF(AN42=1,$D$27*$D$7*8760*0.9/1000000,0)</f>
        <v>59.13</v>
      </c>
      <c r="AO75" s="48" t="n">
        <f aca="false">IF(AO42=1,$D$27*$D$7*8760*0.9/1000000,0)</f>
        <v>59.13</v>
      </c>
      <c r="AP75" s="48" t="n">
        <f aca="false">IF(AP42=1,$D$27*$D$7*8760*0.9/1000000,0)</f>
        <v>59.13</v>
      </c>
      <c r="AQ75" s="48" t="n">
        <f aca="false">IF(AQ42=1,$D$27*$D$7*8760*0.9/1000000,0)</f>
        <v>59.13</v>
      </c>
      <c r="AR75" s="48" t="n">
        <f aca="false">IF(AR42=1,$D$27*$D$7*8760*0.9/1000000,0)</f>
        <v>59.13</v>
      </c>
      <c r="AS75" s="48" t="n">
        <f aca="false">IF(AS42=1,$D$27*$D$7*8760*0.9/1000000,0)</f>
        <v>59.13</v>
      </c>
      <c r="AT75" s="48" t="n">
        <f aca="false">IF(AT42=1,$D$27*$D$7*8760*0.9/1000000,0)</f>
        <v>59.13</v>
      </c>
      <c r="AU75" s="48" t="n">
        <f aca="false">IF(AU42=1,$D$27*$D$7*8760*0.9/1000000,0)</f>
        <v>59.13</v>
      </c>
      <c r="AV75" s="48" t="n">
        <f aca="false">IF(AV42=1,$D$27*$D$7*8760*0.9/1000000,0)</f>
        <v>59.13</v>
      </c>
      <c r="AW75" s="48" t="n">
        <f aca="false">IF(AW42=1,$D$27*$D$7*8760*0.9/1000000,0)</f>
        <v>59.13</v>
      </c>
      <c r="AX75" s="48" t="n">
        <f aca="false">IF(AX42=1,$D$27*$D$7*8760*0.9/1000000,0)</f>
        <v>59.13</v>
      </c>
      <c r="AY75" s="48" t="n">
        <f aca="false">IF(AY42=1,$D$27*$D$7*8760*0.9/1000000,0)</f>
        <v>59.13</v>
      </c>
      <c r="AZ75" s="48" t="n">
        <f aca="false">IF(AZ42=1,$D$27*$D$7*8760*0.9/1000000,0)</f>
        <v>59.13</v>
      </c>
      <c r="BA75" s="48" t="n">
        <f aca="false">IF(BA42=1,$D$27*$D$7*8760*0.9/1000000,0)</f>
        <v>59.13</v>
      </c>
      <c r="BB75" s="48" t="n">
        <f aca="false">IF(BB42=1,$D$27*$D$7*8760*0.9/1000000,0)</f>
        <v>59.13</v>
      </c>
      <c r="BC75" s="48" t="n">
        <f aca="false">IF(BC42=1,$D$27*$D$7*8760*0.9/1000000,0)</f>
        <v>59.13</v>
      </c>
      <c r="BD75" s="48" t="n">
        <f aca="false">IF(BD42=1,$D$27*$D$7*8760*0.9/1000000,0)</f>
        <v>59.13</v>
      </c>
      <c r="BE75" s="48" t="n">
        <f aca="false">IF(BE42=1,$D$27*$D$7*8760*0.9/1000000,0)</f>
        <v>59.13</v>
      </c>
      <c r="BF75" s="48" t="n">
        <f aca="false">IF(BF42=1,$D$27*$D$7*8760*0.9/1000000,0)</f>
        <v>59.13</v>
      </c>
      <c r="BG75" s="48" t="n">
        <f aca="false">IF(BG42=1,$D$27*$D$7*8760*0.9/1000000,0)</f>
        <v>59.13</v>
      </c>
      <c r="BH75" s="48" t="n">
        <f aca="false">IF(BH42=1,$D$27*$D$7*8760*0.9/1000000,0)</f>
        <v>59.13</v>
      </c>
      <c r="BI75" s="48" t="n">
        <f aca="false">IF(BI42=1,$D$27*$D$7*8760*0.9/1000000,0)</f>
        <v>59.13</v>
      </c>
      <c r="BJ75" s="48" t="n">
        <f aca="false">IF(BJ42=1,$D$27*$D$7*8760*0.9/1000000,0)</f>
        <v>59.13</v>
      </c>
      <c r="BK75" s="48" t="n">
        <f aca="false">IF(BK42=1,$D$27*$D$7*8760*0.9/1000000,0)</f>
        <v>59.13</v>
      </c>
      <c r="BL75" s="48" t="n">
        <f aca="false">IF(BL42=1,$D$27*$D$7*8760*0.9/1000000,0)</f>
        <v>59.13</v>
      </c>
      <c r="BM75" s="48" t="n">
        <f aca="false">IF(BM42=1,$D$27*$D$7*8760*0.9/1000000,0)</f>
        <v>59.13</v>
      </c>
      <c r="BN75" s="48" t="n">
        <f aca="false">IF(BN42=1,$D$27*$D$7*8760*0.9/1000000,0)</f>
        <v>59.13</v>
      </c>
      <c r="BO75" s="48" t="n">
        <f aca="false">IF(BO42=1,$D$27*$D$7*8760*0.9/1000000,0)</f>
        <v>59.13</v>
      </c>
      <c r="BP75" s="48" t="n">
        <f aca="false">IF(BP42=1,$D$27*$D$7*8760*0.9/1000000,0)</f>
        <v>59.13</v>
      </c>
      <c r="BQ75" s="48" t="n">
        <f aca="false">IF(BQ42=1,$D$27*$D$7*8760*0.9/1000000,0)</f>
        <v>59.13</v>
      </c>
      <c r="BR75" s="48" t="n">
        <f aca="false">IF(BR42=1,$D$27*$D$7*8760*0.9/1000000,0)</f>
        <v>59.13</v>
      </c>
      <c r="BS75" s="48" t="n">
        <f aca="false">IF(BS42=1,$D$27*$D$7*8760*0.9/1000000,0)</f>
        <v>59.13</v>
      </c>
      <c r="BT75" s="48" t="n">
        <f aca="false">IF(BT42=1,$D$27*$D$7*8760*0.9/1000000,0)</f>
        <v>59.13</v>
      </c>
      <c r="BU75" s="48" t="n">
        <f aca="false">IF(BU42=1,$D$27*$D$7*8760*0.9/1000000,0)</f>
        <v>59.13</v>
      </c>
      <c r="BV75" s="48" t="n">
        <f aca="false">IF(BV42=1,$D$27*$D$7*8760*0.9/1000000,0)</f>
        <v>59.13</v>
      </c>
      <c r="BW75" s="48" t="n">
        <f aca="false">IF(BW42=1,$D$27*$D$7*8760*0.9/1000000,0)</f>
        <v>0</v>
      </c>
      <c r="BX75" s="48" t="n">
        <f aca="false">IF(BX42=1,$D$27*$D$7*8760*0.9/1000000,0)</f>
        <v>0</v>
      </c>
    </row>
    <row r="76" customFormat="false" ht="15" hidden="false" customHeight="false" outlineLevel="0" collapsed="false">
      <c r="A76" s="1"/>
      <c r="B76" s="8" t="s">
        <v>341</v>
      </c>
      <c r="C76" s="8" t="s">
        <v>126</v>
      </c>
      <c r="D76" s="44" t="n">
        <f aca="false">SUM(G76:BX76)</f>
        <v>0</v>
      </c>
      <c r="E76" s="1"/>
      <c r="F76" s="1"/>
      <c r="G76" s="48" t="n">
        <f aca="false">0</f>
        <v>0</v>
      </c>
      <c r="H76" s="48" t="n">
        <f aca="false">0</f>
        <v>0</v>
      </c>
      <c r="I76" s="48" t="n">
        <f aca="false">0</f>
        <v>0</v>
      </c>
      <c r="J76" s="48" t="n">
        <f aca="false">0</f>
        <v>0</v>
      </c>
      <c r="K76" s="48" t="n">
        <f aca="false">0</f>
        <v>0</v>
      </c>
      <c r="L76" s="48" t="n">
        <f aca="false">0</f>
        <v>0</v>
      </c>
      <c r="M76" s="48" t="n">
        <f aca="false">0</f>
        <v>0</v>
      </c>
      <c r="N76" s="48" t="n">
        <f aca="false">0</f>
        <v>0</v>
      </c>
      <c r="O76" s="48" t="n">
        <f aca="false">0</f>
        <v>0</v>
      </c>
      <c r="P76" s="48" t="n">
        <f aca="false">0</f>
        <v>0</v>
      </c>
      <c r="Q76" s="48" t="n">
        <f aca="false">0</f>
        <v>0</v>
      </c>
      <c r="R76" s="48" t="n">
        <f aca="false">0</f>
        <v>0</v>
      </c>
      <c r="S76" s="48" t="n">
        <f aca="false">0</f>
        <v>0</v>
      </c>
      <c r="T76" s="48" t="n">
        <f aca="false">0</f>
        <v>0</v>
      </c>
      <c r="U76" s="48" t="n">
        <f aca="false">0</f>
        <v>0</v>
      </c>
      <c r="V76" s="48" t="n">
        <f aca="false">0</f>
        <v>0</v>
      </c>
      <c r="W76" s="48" t="n">
        <f aca="false">0</f>
        <v>0</v>
      </c>
      <c r="X76" s="48" t="n">
        <f aca="false">0</f>
        <v>0</v>
      </c>
      <c r="Y76" s="48" t="n">
        <f aca="false">0</f>
        <v>0</v>
      </c>
      <c r="Z76" s="48" t="n">
        <f aca="false">0</f>
        <v>0</v>
      </c>
      <c r="AA76" s="48" t="n">
        <f aca="false">0</f>
        <v>0</v>
      </c>
      <c r="AB76" s="48" t="n">
        <f aca="false">0</f>
        <v>0</v>
      </c>
      <c r="AC76" s="48" t="n">
        <f aca="false">0</f>
        <v>0</v>
      </c>
      <c r="AD76" s="48" t="n">
        <f aca="false">0</f>
        <v>0</v>
      </c>
      <c r="AE76" s="48" t="n">
        <f aca="false">0</f>
        <v>0</v>
      </c>
      <c r="AF76" s="48" t="n">
        <f aca="false">0</f>
        <v>0</v>
      </c>
      <c r="AG76" s="48" t="n">
        <f aca="false">0</f>
        <v>0</v>
      </c>
      <c r="AH76" s="48" t="n">
        <f aca="false">0</f>
        <v>0</v>
      </c>
      <c r="AI76" s="48" t="n">
        <f aca="false">0</f>
        <v>0</v>
      </c>
      <c r="AJ76" s="48" t="n">
        <f aca="false">0</f>
        <v>0</v>
      </c>
      <c r="AK76" s="48" t="n">
        <f aca="false">0</f>
        <v>0</v>
      </c>
      <c r="AL76" s="48" t="n">
        <f aca="false">0</f>
        <v>0</v>
      </c>
      <c r="AM76" s="48" t="n">
        <f aca="false">0</f>
        <v>0</v>
      </c>
      <c r="AN76" s="48" t="n">
        <f aca="false">0</f>
        <v>0</v>
      </c>
      <c r="AO76" s="48" t="n">
        <f aca="false">0</f>
        <v>0</v>
      </c>
      <c r="AP76" s="48" t="n">
        <f aca="false">0</f>
        <v>0</v>
      </c>
      <c r="AQ76" s="48" t="n">
        <f aca="false">0</f>
        <v>0</v>
      </c>
      <c r="AR76" s="48" t="n">
        <f aca="false">0</f>
        <v>0</v>
      </c>
      <c r="AS76" s="48" t="n">
        <f aca="false">0</f>
        <v>0</v>
      </c>
      <c r="AT76" s="48" t="n">
        <f aca="false">0</f>
        <v>0</v>
      </c>
      <c r="AU76" s="48" t="n">
        <f aca="false">0</f>
        <v>0</v>
      </c>
      <c r="AV76" s="48" t="n">
        <f aca="false">0</f>
        <v>0</v>
      </c>
      <c r="AW76" s="48" t="n">
        <f aca="false">0</f>
        <v>0</v>
      </c>
      <c r="AX76" s="48" t="n">
        <f aca="false">0</f>
        <v>0</v>
      </c>
      <c r="AY76" s="48" t="n">
        <f aca="false">0</f>
        <v>0</v>
      </c>
      <c r="AZ76" s="48" t="n">
        <f aca="false">0</f>
        <v>0</v>
      </c>
      <c r="BA76" s="48" t="n">
        <f aca="false">0</f>
        <v>0</v>
      </c>
      <c r="BB76" s="48" t="n">
        <f aca="false">0</f>
        <v>0</v>
      </c>
      <c r="BC76" s="48" t="n">
        <f aca="false">0</f>
        <v>0</v>
      </c>
      <c r="BD76" s="48" t="n">
        <f aca="false">0</f>
        <v>0</v>
      </c>
      <c r="BE76" s="48" t="n">
        <f aca="false">0</f>
        <v>0</v>
      </c>
      <c r="BF76" s="48" t="n">
        <f aca="false">0</f>
        <v>0</v>
      </c>
      <c r="BG76" s="48" t="n">
        <f aca="false">0</f>
        <v>0</v>
      </c>
      <c r="BH76" s="48" t="n">
        <f aca="false">0</f>
        <v>0</v>
      </c>
      <c r="BI76" s="48" t="n">
        <f aca="false">0</f>
        <v>0</v>
      </c>
      <c r="BJ76" s="48" t="n">
        <f aca="false">0</f>
        <v>0</v>
      </c>
      <c r="BK76" s="48" t="n">
        <f aca="false">0</f>
        <v>0</v>
      </c>
      <c r="BL76" s="48" t="n">
        <f aca="false">0</f>
        <v>0</v>
      </c>
      <c r="BM76" s="48" t="n">
        <f aca="false">0</f>
        <v>0</v>
      </c>
      <c r="BN76" s="48" t="n">
        <f aca="false">0</f>
        <v>0</v>
      </c>
      <c r="BO76" s="48" t="n">
        <f aca="false">0</f>
        <v>0</v>
      </c>
      <c r="BP76" s="48" t="n">
        <f aca="false">0</f>
        <v>0</v>
      </c>
      <c r="BQ76" s="48" t="n">
        <f aca="false">0</f>
        <v>0</v>
      </c>
      <c r="BR76" s="48" t="n">
        <f aca="false">0</f>
        <v>0</v>
      </c>
      <c r="BS76" s="48" t="n">
        <f aca="false">0</f>
        <v>0</v>
      </c>
      <c r="BT76" s="48" t="n">
        <f aca="false">0</f>
        <v>0</v>
      </c>
      <c r="BU76" s="48" t="n">
        <f aca="false">0</f>
        <v>0</v>
      </c>
      <c r="BV76" s="48" t="n">
        <f aca="false">0</f>
        <v>0</v>
      </c>
      <c r="BW76" s="48" t="n">
        <f aca="false">0</f>
        <v>0</v>
      </c>
      <c r="BX76" s="48" t="n">
        <f aca="false">0</f>
        <v>0</v>
      </c>
    </row>
    <row r="77" customFormat="false" ht="15" hidden="false" customHeight="false" outlineLevel="0" collapsed="false">
      <c r="A77" s="1"/>
      <c r="B77" s="8" t="s">
        <v>342</v>
      </c>
      <c r="C77" s="8" t="s">
        <v>126</v>
      </c>
      <c r="D77" s="44" t="n">
        <f aca="false">SUM(G77:BX77)</f>
        <v>2736</v>
      </c>
      <c r="E77" s="1"/>
      <c r="F77" s="1"/>
      <c r="G77" s="48" t="n">
        <f aca="false">IF(G42=1,$D$22*$D$21*$D$24,0)</f>
        <v>0</v>
      </c>
      <c r="H77" s="48" t="n">
        <f aca="false">IF(H42=1,$D$22*$D$21*$D$24,0)</f>
        <v>0</v>
      </c>
      <c r="I77" s="48" t="n">
        <f aca="false">IF(I42=1,$D$22*$D$21*$D$24,0)</f>
        <v>0</v>
      </c>
      <c r="J77" s="48" t="n">
        <f aca="false">IF(J42=1,$D$22*$D$21*$D$24,0)</f>
        <v>0</v>
      </c>
      <c r="K77" s="48" t="n">
        <f aca="false">IF(K42=1,$D$22*$D$21*$D$24,0)</f>
        <v>0</v>
      </c>
      <c r="L77" s="48" t="n">
        <f aca="false">IF(L42=1,$D$22*$D$21*$D$24,0)</f>
        <v>0</v>
      </c>
      <c r="M77" s="48" t="n">
        <f aca="false">IF(M42=1,$D$22*$D$21*$D$24,0)</f>
        <v>0</v>
      </c>
      <c r="N77" s="48" t="n">
        <f aca="false">IF(N42=1,$D$22*$D$21*$D$24,0)</f>
        <v>0</v>
      </c>
      <c r="O77" s="48" t="n">
        <f aca="false">IF(O42=1,$D$22*$D$21*$D$24,0)</f>
        <v>45.6</v>
      </c>
      <c r="P77" s="48" t="n">
        <f aca="false">IF(P42=1,$D$22*$D$21*$D$24,0)</f>
        <v>45.6</v>
      </c>
      <c r="Q77" s="48" t="n">
        <f aca="false">IF(Q42=1,$D$22*$D$21*$D$24,0)</f>
        <v>45.6</v>
      </c>
      <c r="R77" s="48" t="n">
        <f aca="false">IF(R42=1,$D$22*$D$21*$D$24,0)</f>
        <v>45.6</v>
      </c>
      <c r="S77" s="48" t="n">
        <f aca="false">IF(S42=1,$D$22*$D$21*$D$24,0)</f>
        <v>45.6</v>
      </c>
      <c r="T77" s="48" t="n">
        <f aca="false">IF(T42=1,$D$22*$D$21*$D$24,0)</f>
        <v>45.6</v>
      </c>
      <c r="U77" s="48" t="n">
        <f aca="false">IF(U42=1,$D$22*$D$21*$D$24,0)</f>
        <v>45.6</v>
      </c>
      <c r="V77" s="48" t="n">
        <f aca="false">IF(V42=1,$D$22*$D$21*$D$24,0)</f>
        <v>45.6</v>
      </c>
      <c r="W77" s="48" t="n">
        <f aca="false">IF(W42=1,$D$22*$D$21*$D$24,0)</f>
        <v>45.6</v>
      </c>
      <c r="X77" s="48" t="n">
        <f aca="false">IF(X42=1,$D$22*$D$21*$D$24,0)</f>
        <v>45.6</v>
      </c>
      <c r="Y77" s="48" t="n">
        <f aca="false">IF(Y42=1,$D$22*$D$21*$D$24,0)</f>
        <v>45.6</v>
      </c>
      <c r="Z77" s="48" t="n">
        <f aca="false">IF(Z42=1,$D$22*$D$21*$D$24,0)</f>
        <v>45.6</v>
      </c>
      <c r="AA77" s="48" t="n">
        <f aca="false">IF(AA42=1,$D$22*$D$21*$D$24,0)</f>
        <v>45.6</v>
      </c>
      <c r="AB77" s="48" t="n">
        <f aca="false">IF(AB42=1,$D$22*$D$21*$D$24,0)</f>
        <v>45.6</v>
      </c>
      <c r="AC77" s="48" t="n">
        <f aca="false">IF(AC42=1,$D$22*$D$21*$D$24,0)</f>
        <v>45.6</v>
      </c>
      <c r="AD77" s="48" t="n">
        <f aca="false">IF(AD42=1,$D$22*$D$21*$D$24,0)</f>
        <v>45.6</v>
      </c>
      <c r="AE77" s="48" t="n">
        <f aca="false">IF(AE42=1,$D$22*$D$21*$D$24,0)</f>
        <v>45.6</v>
      </c>
      <c r="AF77" s="48" t="n">
        <f aca="false">IF(AF42=1,$D$22*$D$21*$D$24,0)</f>
        <v>45.6</v>
      </c>
      <c r="AG77" s="48" t="n">
        <f aca="false">IF(AG42=1,$D$22*$D$21*$D$24,0)</f>
        <v>45.6</v>
      </c>
      <c r="AH77" s="48" t="n">
        <f aca="false">IF(AH42=1,$D$22*$D$21*$D$24,0)</f>
        <v>45.6</v>
      </c>
      <c r="AI77" s="48" t="n">
        <f aca="false">IF(AI42=1,$D$22*$D$21*$D$24,0)</f>
        <v>45.6</v>
      </c>
      <c r="AJ77" s="48" t="n">
        <f aca="false">IF(AJ42=1,$D$22*$D$21*$D$24,0)</f>
        <v>45.6</v>
      </c>
      <c r="AK77" s="48" t="n">
        <f aca="false">IF(AK42=1,$D$22*$D$21*$D$24,0)</f>
        <v>45.6</v>
      </c>
      <c r="AL77" s="48" t="n">
        <f aca="false">IF(AL42=1,$D$22*$D$21*$D$24,0)</f>
        <v>45.6</v>
      </c>
      <c r="AM77" s="48" t="n">
        <f aca="false">IF(AM42=1,$D$22*$D$21*$D$24,0)</f>
        <v>45.6</v>
      </c>
      <c r="AN77" s="48" t="n">
        <f aca="false">IF(AN42=1,$D$22*$D$21*$D$24,0)</f>
        <v>45.6</v>
      </c>
      <c r="AO77" s="48" t="n">
        <f aca="false">IF(AO42=1,$D$22*$D$21*$D$24,0)</f>
        <v>45.6</v>
      </c>
      <c r="AP77" s="48" t="n">
        <f aca="false">IF(AP42=1,$D$22*$D$21*$D$24,0)</f>
        <v>45.6</v>
      </c>
      <c r="AQ77" s="48" t="n">
        <f aca="false">IF(AQ42=1,$D$22*$D$21*$D$24,0)</f>
        <v>45.6</v>
      </c>
      <c r="AR77" s="48" t="n">
        <f aca="false">IF(AR42=1,$D$22*$D$21*$D$24,0)</f>
        <v>45.6</v>
      </c>
      <c r="AS77" s="48" t="n">
        <f aca="false">IF(AS42=1,$D$22*$D$21*$D$24,0)</f>
        <v>45.6</v>
      </c>
      <c r="AT77" s="48" t="n">
        <f aca="false">IF(AT42=1,$D$22*$D$21*$D$24,0)</f>
        <v>45.6</v>
      </c>
      <c r="AU77" s="48" t="n">
        <f aca="false">IF(AU42=1,$D$22*$D$21*$D$24,0)</f>
        <v>45.6</v>
      </c>
      <c r="AV77" s="48" t="n">
        <f aca="false">IF(AV42=1,$D$22*$D$21*$D$24,0)</f>
        <v>45.6</v>
      </c>
      <c r="AW77" s="48" t="n">
        <f aca="false">IF(AW42=1,$D$22*$D$21*$D$24,0)</f>
        <v>45.6</v>
      </c>
      <c r="AX77" s="48" t="n">
        <f aca="false">IF(AX42=1,$D$22*$D$21*$D$24,0)</f>
        <v>45.6</v>
      </c>
      <c r="AY77" s="48" t="n">
        <f aca="false">IF(AY42=1,$D$22*$D$21*$D$24,0)</f>
        <v>45.6</v>
      </c>
      <c r="AZ77" s="48" t="n">
        <f aca="false">IF(AZ42=1,$D$22*$D$21*$D$24,0)</f>
        <v>45.6</v>
      </c>
      <c r="BA77" s="48" t="n">
        <f aca="false">IF(BA42=1,$D$22*$D$21*$D$24,0)</f>
        <v>45.6</v>
      </c>
      <c r="BB77" s="48" t="n">
        <f aca="false">IF(BB42=1,$D$22*$D$21*$D$24,0)</f>
        <v>45.6</v>
      </c>
      <c r="BC77" s="48" t="n">
        <f aca="false">IF(BC42=1,$D$22*$D$21*$D$24,0)</f>
        <v>45.6</v>
      </c>
      <c r="BD77" s="48" t="n">
        <f aca="false">IF(BD42=1,$D$22*$D$21*$D$24,0)</f>
        <v>45.6</v>
      </c>
      <c r="BE77" s="48" t="n">
        <f aca="false">IF(BE42=1,$D$22*$D$21*$D$24,0)</f>
        <v>45.6</v>
      </c>
      <c r="BF77" s="48" t="n">
        <f aca="false">IF(BF42=1,$D$22*$D$21*$D$24,0)</f>
        <v>45.6</v>
      </c>
      <c r="BG77" s="48" t="n">
        <f aca="false">IF(BG42=1,$D$22*$D$21*$D$24,0)</f>
        <v>45.6</v>
      </c>
      <c r="BH77" s="48" t="n">
        <f aca="false">IF(BH42=1,$D$22*$D$21*$D$24,0)</f>
        <v>45.6</v>
      </c>
      <c r="BI77" s="48" t="n">
        <f aca="false">IF(BI42=1,$D$22*$D$21*$D$24,0)</f>
        <v>45.6</v>
      </c>
      <c r="BJ77" s="48" t="n">
        <f aca="false">IF(BJ42=1,$D$22*$D$21*$D$24,0)</f>
        <v>45.6</v>
      </c>
      <c r="BK77" s="48" t="n">
        <f aca="false">IF(BK42=1,$D$22*$D$21*$D$24,0)</f>
        <v>45.6</v>
      </c>
      <c r="BL77" s="48" t="n">
        <f aca="false">IF(BL42=1,$D$22*$D$21*$D$24,0)</f>
        <v>45.6</v>
      </c>
      <c r="BM77" s="48" t="n">
        <f aca="false">IF(BM42=1,$D$22*$D$21*$D$24,0)</f>
        <v>45.6</v>
      </c>
      <c r="BN77" s="48" t="n">
        <f aca="false">IF(BN42=1,$D$22*$D$21*$D$24,0)</f>
        <v>45.6</v>
      </c>
      <c r="BO77" s="48" t="n">
        <f aca="false">IF(BO42=1,$D$22*$D$21*$D$24,0)</f>
        <v>45.6</v>
      </c>
      <c r="BP77" s="48" t="n">
        <f aca="false">IF(BP42=1,$D$22*$D$21*$D$24,0)</f>
        <v>45.6</v>
      </c>
      <c r="BQ77" s="48" t="n">
        <f aca="false">IF(BQ42=1,$D$22*$D$21*$D$24,0)</f>
        <v>45.6</v>
      </c>
      <c r="BR77" s="48" t="n">
        <f aca="false">IF(BR42=1,$D$22*$D$21*$D$24,0)</f>
        <v>45.6</v>
      </c>
      <c r="BS77" s="48" t="n">
        <f aca="false">IF(BS42=1,$D$22*$D$21*$D$24,0)</f>
        <v>45.6</v>
      </c>
      <c r="BT77" s="48" t="n">
        <f aca="false">IF(BT42=1,$D$22*$D$21*$D$24,0)</f>
        <v>45.6</v>
      </c>
      <c r="BU77" s="48" t="n">
        <f aca="false">IF(BU42=1,$D$22*$D$21*$D$24,0)</f>
        <v>45.6</v>
      </c>
      <c r="BV77" s="48" t="n">
        <f aca="false">IF(BV42=1,$D$22*$D$21*$D$24,0)</f>
        <v>45.6</v>
      </c>
      <c r="BW77" s="48" t="n">
        <f aca="false">IF(BW42=1,$D$22*$D$21*$D$24,0)</f>
        <v>0</v>
      </c>
      <c r="BX77" s="48" t="n">
        <f aca="false">IF(BX42=1,$D$22*$D$21*$D$24,0)</f>
        <v>0</v>
      </c>
    </row>
    <row r="78" customFormat="false" ht="15" hidden="false" customHeight="false" outlineLevel="0" collapsed="false">
      <c r="A78" s="1"/>
      <c r="B78" s="8" t="s">
        <v>343</v>
      </c>
      <c r="C78" s="8" t="s">
        <v>126</v>
      </c>
      <c r="D78" s="44" t="n">
        <f aca="false">SUM(G78:BX78)</f>
        <v>278.755890742866</v>
      </c>
      <c r="E78" s="1"/>
      <c r="F78" s="1"/>
      <c r="G78" s="48" t="n">
        <f aca="false">IF(G42=1,$D$18*MAX(G65,0),0)</f>
        <v>0</v>
      </c>
      <c r="H78" s="48" t="n">
        <f aca="false">IF(H42=1,$D$18*MAX(H65,0),0)</f>
        <v>0</v>
      </c>
      <c r="I78" s="48" t="n">
        <f aca="false">IF(I42=1,$D$18*MAX(I65,0),0)</f>
        <v>0</v>
      </c>
      <c r="J78" s="48" t="n">
        <f aca="false">IF(J42=1,$D$18*MAX(J65,0),0)</f>
        <v>0</v>
      </c>
      <c r="K78" s="48" t="n">
        <f aca="false">IF(K42=1,$D$18*MAX(K65,0),0)</f>
        <v>0</v>
      </c>
      <c r="L78" s="48" t="n">
        <f aca="false">IF(L42=1,$D$18*MAX(L65,0),0)</f>
        <v>0</v>
      </c>
      <c r="M78" s="48" t="n">
        <f aca="false">IF(M42=1,$D$18*MAX(M65,0),0)</f>
        <v>0</v>
      </c>
      <c r="N78" s="48" t="n">
        <f aca="false">IF(N42=1,$D$18*MAX(N65,0),0)</f>
        <v>0</v>
      </c>
      <c r="O78" s="48" t="n">
        <f aca="false">IF(O42=1,$D$18*MAX(O65,0),0)</f>
        <v>4.89565113173292</v>
      </c>
      <c r="P78" s="48" t="n">
        <f aca="false">IF(P42=1,$D$18*MAX(P65,0),0)</f>
        <v>4.64685432196087</v>
      </c>
      <c r="Q78" s="48" t="n">
        <f aca="false">IF(Q42=1,$D$18*MAX(Q65,0),0)</f>
        <v>4.62335108598246</v>
      </c>
      <c r="R78" s="48" t="n">
        <f aca="false">IF(R42=1,$D$18*MAX(R65,0),0)</f>
        <v>4.97620474346665</v>
      </c>
      <c r="S78" s="48" t="n">
        <f aca="false">IF(S42=1,$D$18*MAX(S65,0),0)</f>
        <v>4.72247887798286</v>
      </c>
      <c r="T78" s="48" t="n">
        <f aca="false">IF(T42=1,$D$18*MAX(T65,0),0)</f>
        <v>4.6982343755574</v>
      </c>
      <c r="U78" s="48" t="n">
        <f aca="false">IF(U42=1,$D$18*MAX(U65,0),0)</f>
        <v>4.91330575165255</v>
      </c>
      <c r="V78" s="48" t="n">
        <f aca="false">IF(V42=1,$D$18*MAX(V65,0),0)</f>
        <v>4.67395998750763</v>
      </c>
      <c r="W78" s="48" t="n">
        <f aca="false">IF(W42=1,$D$18*MAX(W65,0),0)</f>
        <v>4.66182989123551</v>
      </c>
      <c r="X78" s="48" t="n">
        <f aca="false">IF(X42=1,$D$18*MAX(X65,0),0)</f>
        <v>4.51442516791546</v>
      </c>
      <c r="Y78" s="48" t="n">
        <f aca="false">IF(Y42=1,$D$18*MAX(Y65,0),0)</f>
        <v>4.63747672113307</v>
      </c>
      <c r="Z78" s="48" t="n">
        <f aca="false">IF(Z42=1,$D$18*MAX(Z65,0),0)</f>
        <v>4.62530648004345</v>
      </c>
      <c r="AA78" s="48" t="n">
        <f aca="false">IF(AA42=1,$D$18*MAX(AA65,0),0)</f>
        <v>4.8378822214594</v>
      </c>
      <c r="AB78" s="48" t="n">
        <f aca="false">IF(AB42=1,$D$18*MAX(AB65,0),0)</f>
        <v>4.60104154409235</v>
      </c>
      <c r="AC78" s="48" t="n">
        <f aca="false">IF(AC42=1,$D$18*MAX(AC65,0),0)</f>
        <v>4.58874609050286</v>
      </c>
      <c r="AD78" s="48" t="n">
        <f aca="false">IF(AD42=1,$D$18*MAX(AD65,0),0)</f>
        <v>4.80013810901847</v>
      </c>
      <c r="AE78" s="48" t="n">
        <f aca="false">IF(AE42=1,$D$18*MAX(AE65,0),0)</f>
        <v>4.57637857289423</v>
      </c>
      <c r="AF78" s="48" t="n">
        <f aca="false">IF(AF42=1,$D$18*MAX(AF65,0),0)</f>
        <v>4.57623813055921</v>
      </c>
      <c r="AG78" s="48" t="n">
        <f aca="false">IF(AG42=1,$D$18*MAX(AG65,0),0)</f>
        <v>4.80021135890017</v>
      </c>
      <c r="AH78" s="48" t="n">
        <f aca="false">IF(AH42=1,$D$18*MAX(AH65,0),0)</f>
        <v>4.38461228366241</v>
      </c>
      <c r="AI78" s="48" t="n">
        <f aca="false">IF(AI42=1,$D$18*MAX(AI65,0),0)</f>
        <v>4.57597090041991</v>
      </c>
      <c r="AJ78" s="48" t="n">
        <f aca="false">IF(AJ42=1,$D$18*MAX(AJ65,0),0)</f>
        <v>4.80032209509917</v>
      </c>
      <c r="AK78" s="48" t="n">
        <f aca="false">IF(AK42=1,$D$18*MAX(AK65,0),0)</f>
        <v>4.57556049566988</v>
      </c>
      <c r="AL78" s="48" t="n">
        <f aca="false">IF(AL42=1,$D$18*MAX(AL65,0),0)</f>
        <v>4.57551780626472</v>
      </c>
      <c r="AM78" s="48" t="n">
        <f aca="false">IF(AM42=1,$D$18*MAX(AM65,0),0)</f>
        <v>4.8005341159562</v>
      </c>
      <c r="AN78" s="48" t="n">
        <f aca="false">IF(AN42=1,$D$18*MAX(AN65,0),0)</f>
        <v>4.57526767313917</v>
      </c>
      <c r="AO78" s="48" t="n">
        <f aca="false">IF(AO42=1,$D$18*MAX(AO65,0),0)</f>
        <v>4.57522135991752</v>
      </c>
      <c r="AP78" s="48" t="n">
        <f aca="false">IF(AP42=1,$D$18*MAX(AP65,0),0)</f>
        <v>4.80068342098639</v>
      </c>
      <c r="AQ78" s="48" t="n">
        <f aca="false">IF(AQ42=1,$D$18*MAX(AQ65,0),0)</f>
        <v>4.57522135991752</v>
      </c>
      <c r="AR78" s="48" t="n">
        <f aca="false">IF(AR42=1,$D$18*MAX(AR65,0),0)</f>
        <v>4.38240363305021</v>
      </c>
      <c r="AS78" s="48" t="n">
        <f aca="false">IF(AS42=1,$D$18*MAX(AS65,0),0)</f>
        <v>4.80068342098639</v>
      </c>
      <c r="AT78" s="48" t="n">
        <f aca="false">IF(AT42=1,$D$18*MAX(AT65,0),0)</f>
        <v>4.57522135991752</v>
      </c>
      <c r="AU78" s="48" t="n">
        <f aca="false">IF(AU42=1,$D$18*MAX(AU65,0),0)</f>
        <v>4.57522135991752</v>
      </c>
      <c r="AV78" s="48" t="n">
        <f aca="false">IF(AV42=1,$D$18*MAX(AV65,0),0)</f>
        <v>4.80068342098639</v>
      </c>
      <c r="AW78" s="48" t="n">
        <f aca="false">IF(AW42=1,$D$18*MAX(AW65,0),0)</f>
        <v>4.57522135991752</v>
      </c>
      <c r="AX78" s="48" t="n">
        <f aca="false">IF(AX42=1,$D$18*MAX(AX65,0),0)</f>
        <v>4.57522135991752</v>
      </c>
      <c r="AY78" s="48" t="n">
        <f aca="false">IF(AY42=1,$D$18*MAX(AY65,0),0)</f>
        <v>4.80068342098639</v>
      </c>
      <c r="AZ78" s="48" t="n">
        <f aca="false">IF(AZ42=1,$D$18*MAX(AZ65,0),0)</f>
        <v>4.57522135991752</v>
      </c>
      <c r="BA78" s="48" t="n">
        <f aca="false">IF(BA42=1,$D$18*MAX(BA65,0),0)</f>
        <v>4.57522135991752</v>
      </c>
      <c r="BB78" s="48" t="n">
        <f aca="false">IF(BB42=1,$D$18*MAX(BB65,0),0)</f>
        <v>4.43991850169224</v>
      </c>
      <c r="BC78" s="48" t="n">
        <f aca="false">IF(BC42=1,$D$18*MAX(BC65,0),0)</f>
        <v>4.57522135991752</v>
      </c>
      <c r="BD78" s="48" t="n">
        <f aca="false">IF(BD42=1,$D$18*MAX(BD65,0),0)</f>
        <v>4.57522135991752</v>
      </c>
      <c r="BE78" s="48" t="n">
        <f aca="false">IF(BE42=1,$D$18*MAX(BE65,0),0)</f>
        <v>4.80068342098639</v>
      </c>
      <c r="BF78" s="48" t="n">
        <f aca="false">IF(BF42=1,$D$18*MAX(BF65,0),0)</f>
        <v>4.57522135991752</v>
      </c>
      <c r="BG78" s="48" t="n">
        <f aca="false">IF(BG42=1,$D$18*MAX(BG65,0),0)</f>
        <v>4.57522135991752</v>
      </c>
      <c r="BH78" s="48" t="n">
        <f aca="false">IF(BH42=1,$D$18*MAX(BH65,0),0)</f>
        <v>4.80068342098639</v>
      </c>
      <c r="BI78" s="48" t="n">
        <f aca="false">IF(BI42=1,$D$18*MAX(BI65,0),0)</f>
        <v>4.57522135991752</v>
      </c>
      <c r="BJ78" s="48" t="n">
        <f aca="false">IF(BJ42=1,$D$18*MAX(BJ65,0),0)</f>
        <v>4.57522135991752</v>
      </c>
      <c r="BK78" s="48" t="n">
        <f aca="false">IF(BK42=1,$D$18*MAX(BK65,0),0)</f>
        <v>4.80068342098639</v>
      </c>
      <c r="BL78" s="48" t="n">
        <f aca="false">IF(BL42=1,$D$18*MAX(BL65,0),0)</f>
        <v>4.38240363305021</v>
      </c>
      <c r="BM78" s="48" t="n">
        <f aca="false">IF(BM42=1,$D$18*MAX(BM65,0),0)</f>
        <v>4.57522135991752</v>
      </c>
      <c r="BN78" s="48" t="n">
        <f aca="false">IF(BN42=1,$D$18*MAX(BN65,0),0)</f>
        <v>4.80068342098639</v>
      </c>
      <c r="BO78" s="48" t="n">
        <f aca="false">IF(BO42=1,$D$18*MAX(BO65,0),0)</f>
        <v>4.57522135991752</v>
      </c>
      <c r="BP78" s="48" t="n">
        <f aca="false">IF(BP42=1,$D$18*MAX(BP65,0),0)</f>
        <v>4.57522135991752</v>
      </c>
      <c r="BQ78" s="48" t="n">
        <f aca="false">IF(BQ42=1,$D$18*MAX(BQ65,0),0)</f>
        <v>4.80068342098639</v>
      </c>
      <c r="BR78" s="48" t="n">
        <f aca="false">IF(BR42=1,$D$18*MAX(BR65,0),0)</f>
        <v>4.57522135991752</v>
      </c>
      <c r="BS78" s="48" t="n">
        <f aca="false">IF(BS42=1,$D$18*MAX(BS65,0),0)</f>
        <v>4.57522135991752</v>
      </c>
      <c r="BT78" s="48" t="n">
        <f aca="false">IF(BT42=1,$D$18*MAX(BT65,0),0)</f>
        <v>4.80068342098639</v>
      </c>
      <c r="BU78" s="48" t="n">
        <f aca="false">IF(BU42=1,$D$18*MAX(BU65,0),0)</f>
        <v>4.57522135991752</v>
      </c>
      <c r="BV78" s="48" t="n">
        <f aca="false">IF(BV42=1,$D$18*MAX(BV65,0),0)</f>
        <v>4.38240363305021</v>
      </c>
      <c r="BW78" s="48" t="n">
        <f aca="false">IF(BW42=1,$D$18*MAX(BW65,0),0)</f>
        <v>0</v>
      </c>
      <c r="BX78" s="48" t="n">
        <f aca="false">IF(BX42=1,$D$18*MAX(BX65,0),0)</f>
        <v>0</v>
      </c>
    </row>
    <row r="79" customFormat="false" ht="15" hidden="false" customHeight="false" outlineLevel="0" collapsed="false">
      <c r="A79" s="1"/>
      <c r="B79" s="4" t="s">
        <v>344</v>
      </c>
      <c r="C79" s="8" t="s">
        <v>126</v>
      </c>
      <c r="D79" s="44" t="n">
        <f aca="false">SUM(G79:BX79)</f>
        <v>25800.5875762929</v>
      </c>
      <c r="E79" s="1"/>
      <c r="F79" s="1"/>
      <c r="G79" s="44" t="n">
        <f aca="false">G68+G69+G70+G71+G72+G73+G75+G76+G77+G78</f>
        <v>0</v>
      </c>
      <c r="H79" s="44" t="n">
        <f aca="false">H68+H69+H70+H71+H72+H73+H75+H76+H77+H78</f>
        <v>0</v>
      </c>
      <c r="I79" s="44" t="n">
        <f aca="false">I68+I69+I70+I71+I72+I73+I75+I76+I77+I78</f>
        <v>0</v>
      </c>
      <c r="J79" s="44" t="n">
        <f aca="false">J68+J69+J70+J71+J72+J73+J75+J76+J77+J78</f>
        <v>0</v>
      </c>
      <c r="K79" s="44" t="n">
        <f aca="false">K68+K69+K70+K71+K72+K73+K75+K76+K77+K78</f>
        <v>0</v>
      </c>
      <c r="L79" s="44" t="n">
        <f aca="false">L68+L69+L70+L71+L72+L73+L75+L76+L77+L78</f>
        <v>0</v>
      </c>
      <c r="M79" s="44" t="n">
        <f aca="false">M68+M69+M70+M71+M72+M73+M75+M76+M77+M78</f>
        <v>0</v>
      </c>
      <c r="N79" s="44" t="n">
        <f aca="false">N68+N69+N70+N71+N72+N73+N75+N76+N77+N78</f>
        <v>0</v>
      </c>
      <c r="O79" s="44" t="n">
        <f aca="false">O68+O69+O70+O71+O72+O73+O75+O76+O77+O78</f>
        <v>506.065226454257</v>
      </c>
      <c r="P79" s="44" t="n">
        <f aca="false">P68+P69+P70+P71+P72+P73+P75+P76+P77+P78</f>
        <v>498.977356876983</v>
      </c>
      <c r="Q79" s="44" t="n">
        <f aca="false">Q68+Q69+Q70+Q71+Q72+Q73+Q75+Q76+Q77+Q78</f>
        <v>498.935101663295</v>
      </c>
      <c r="R79" s="44" t="n">
        <f aca="false">R68+R69+R70+R71+R72+R73+R75+R76+R77+R78</f>
        <v>432.447358157782</v>
      </c>
      <c r="S79" s="44" t="n">
        <f aca="false">S68+S69+S70+S71+S72+S73+S75+S76+S77+S78</f>
        <v>425.150106624935</v>
      </c>
      <c r="T79" s="44" t="n">
        <f aca="false">T68+T69+T70+T71+T72+T73+T75+T76+T77+T78</f>
        <v>425.10780396626</v>
      </c>
      <c r="U79" s="44" t="n">
        <f aca="false">U68+U69+U70+U71+U72+U73+U75+U76+U77+U78</f>
        <v>432.361071182356</v>
      </c>
      <c r="V79" s="44" t="n">
        <f aca="false">V68+V69+V70+V71+V72+V73+V75+V76+V77+V78</f>
        <v>425.070243008384</v>
      </c>
      <c r="W79" s="44" t="n">
        <f aca="false">W68+W69+W70+W71+W72+W73+W75+W76+W77+W78</f>
        <v>425.052783084749</v>
      </c>
      <c r="X79" s="44" t="n">
        <f aca="false">X68+X69+X70+X71+X72+X73+X75+X76+X77+X78</f>
        <v>420.194178591272</v>
      </c>
      <c r="Y79" s="44" t="n">
        <f aca="false">Y68+Y69+Y70+Y71+Y72+Y73+Y75+Y76+Y77+Y78</f>
        <v>424.99716118573</v>
      </c>
      <c r="Z79" s="44" t="n">
        <f aca="false">Z68+Z69+Z70+Z71+Z72+Z73+Z75+Z76+Z77+Z78</f>
        <v>424.971251561845</v>
      </c>
      <c r="AA79" s="44" t="n">
        <f aca="false">AA68+AA69+AA70+AA71+AA72+AA73+AA75+AA76+AA77+AA78</f>
        <v>432.208207763307</v>
      </c>
      <c r="AB79" s="44" t="n">
        <f aca="false">AB68+AB69+AB70+AB71+AB72+AB73+AB75+AB76+AB77+AB78</f>
        <v>424.93317124594</v>
      </c>
      <c r="AC79" s="44" t="n">
        <f aca="false">AC68+AC69+AC70+AC71+AC72+AC73+AC75+AC76+AC77+AC78</f>
        <v>424.879505649649</v>
      </c>
      <c r="AD79" s="44" t="n">
        <f aca="false">AD68+AD69+AD70+AD71+AD72+AD73+AD75+AD76+AD77+AD78</f>
        <v>432.123763680802</v>
      </c>
      <c r="AE79" s="44" t="n">
        <f aca="false">AE68+AE69+AE70+AE71+AE72+AE73+AE75+AE76+AE77+AE78</f>
        <v>424.820514159134</v>
      </c>
      <c r="AF79" s="44" t="n">
        <f aca="false">AF68+AF69+AF70+AF71+AF72+AF73+AF75+AF76+AF77+AF78</f>
        <v>424.802391557709</v>
      </c>
      <c r="AG79" s="44" t="n">
        <f aca="false">AG68+AG69+AG70+AG71+AG72+AG73+AG75+AG76+AG77+AG78</f>
        <v>432.058777985719</v>
      </c>
      <c r="AH79" s="44" t="n">
        <f aca="false">AH68+AH69+AH70+AH71+AH72+AH73+AH75+AH76+AH77+AH78</f>
        <v>417.550344935426</v>
      </c>
      <c r="AI79" s="44" t="n">
        <f aca="false">AI68+AI69+AI70+AI71+AI72+AI73+AI75+AI76+AI77+AI78</f>
        <v>424.774569564821</v>
      </c>
      <c r="AJ79" s="44" t="n">
        <f aca="false">AJ68+AJ69+AJ70+AJ71+AJ72+AJ73+AJ75+AJ76+AJ77+AJ78</f>
        <v>432.000518043221</v>
      </c>
      <c r="AK79" s="44" t="n">
        <f aca="false">AK68+AK69+AK70+AK71+AK72+AK73+AK75+AK76+AK77+AK78</f>
        <v>424.708918789976</v>
      </c>
      <c r="AL79" s="44" t="n">
        <f aca="false">AL68+AL69+AL70+AL71+AL72+AL73+AL75+AL76+AL77+AL78</f>
        <v>424.708876100571</v>
      </c>
      <c r="AM79" s="44" t="n">
        <f aca="false">AM68+AM69+AM70+AM71+AM72+AM73+AM75+AM76+AM77+AM78</f>
        <v>431.962515646604</v>
      </c>
      <c r="AN79" s="44" t="n">
        <f aca="false">AN68+AN69+AN70+AN71+AN72+AN73+AN75+AN76+AN77+AN78</f>
        <v>424.675665380175</v>
      </c>
      <c r="AO79" s="44" t="n">
        <f aca="false">AO68+AO69+AO70+AO71+AO72+AO73+AO75+AO76+AO77+AO78</f>
        <v>424.674532015887</v>
      </c>
      <c r="AP79" s="44" t="n">
        <f aca="false">AP68+AP69+AP70+AP71+AP72+AP73+AP75+AP76+AP77+AP78</f>
        <v>431.938189916956</v>
      </c>
      <c r="AQ79" s="44" t="n">
        <f aca="false">AQ68+AQ69+AQ70+AQ71+AQ72+AQ73+AQ75+AQ76+AQ77+AQ78</f>
        <v>424.674532015887</v>
      </c>
      <c r="AR79" s="44" t="n">
        <f aca="false">AR68+AR69+AR70+AR71+AR72+AR73+AR75+AR76+AR77+AR78</f>
        <v>417.443518449019</v>
      </c>
      <c r="AS79" s="44" t="n">
        <f aca="false">AS68+AS69+AS70+AS71+AS72+AS73+AS75+AS76+AS77+AS78</f>
        <v>431.938189916956</v>
      </c>
      <c r="AT79" s="44" t="n">
        <f aca="false">AT68+AT69+AT70+AT71+AT72+AT73+AT75+AT76+AT77+AT78</f>
        <v>424.674532015887</v>
      </c>
      <c r="AU79" s="44" t="n">
        <f aca="false">AU68+AU69+AU70+AU71+AU72+AU73+AU75+AU76+AU77+AU78</f>
        <v>424.674532015887</v>
      </c>
      <c r="AV79" s="44" t="n">
        <f aca="false">AV68+AV69+AV70+AV71+AV72+AV73+AV75+AV76+AV77+AV78</f>
        <v>431.938189916956</v>
      </c>
      <c r="AW79" s="44" t="n">
        <f aca="false">AW68+AW69+AW70+AW71+AW72+AW73+AW75+AW76+AW77+AW78</f>
        <v>424.674532015887</v>
      </c>
      <c r="AX79" s="44" t="n">
        <f aca="false">AX68+AX69+AX70+AX71+AX72+AX73+AX75+AX76+AX77+AX78</f>
        <v>424.674532015887</v>
      </c>
      <c r="AY79" s="44" t="n">
        <f aca="false">AY68+AY69+AY70+AY71+AY72+AY73+AY75+AY76+AY77+AY78</f>
        <v>431.938189916956</v>
      </c>
      <c r="AZ79" s="44" t="n">
        <f aca="false">AZ68+AZ69+AZ70+AZ71+AZ72+AZ73+AZ75+AZ76+AZ77+AZ78</f>
        <v>424.674532015887</v>
      </c>
      <c r="BA79" s="44" t="n">
        <f aca="false">BA68+BA69+BA70+BA71+BA72+BA73+BA75+BA76+BA77+BA78</f>
        <v>424.674532015887</v>
      </c>
      <c r="BB79" s="44" t="n">
        <f aca="false">BB68+BB69+BB70+BB71+BB72+BB73+BB75+BB76+BB77+BB78</f>
        <v>419.847098597662</v>
      </c>
      <c r="BC79" s="44" t="n">
        <f aca="false">BC68+BC69+BC70+BC71+BC72+BC73+BC75+BC76+BC77+BC78</f>
        <v>424.674532015887</v>
      </c>
      <c r="BD79" s="44" t="n">
        <f aca="false">BD68+BD69+BD70+BD71+BD72+BD73+BD75+BD76+BD77+BD78</f>
        <v>424.674532015887</v>
      </c>
      <c r="BE79" s="44" t="n">
        <f aca="false">BE68+BE69+BE70+BE71+BE72+BE73+BE75+BE76+BE77+BE78</f>
        <v>431.938189916956</v>
      </c>
      <c r="BF79" s="44" t="n">
        <f aca="false">BF68+BF69+BF70+BF71+BF72+BF73+BF75+BF76+BF77+BF78</f>
        <v>424.674532015887</v>
      </c>
      <c r="BG79" s="44" t="n">
        <f aca="false">BG68+BG69+BG70+BG71+BG72+BG73+BG75+BG76+BG77+BG78</f>
        <v>424.674532015887</v>
      </c>
      <c r="BH79" s="44" t="n">
        <f aca="false">BH68+BH69+BH70+BH71+BH72+BH73+BH75+BH76+BH77+BH78</f>
        <v>431.938189916956</v>
      </c>
      <c r="BI79" s="44" t="n">
        <f aca="false">BI68+BI69+BI70+BI71+BI72+BI73+BI75+BI76+BI77+BI78</f>
        <v>424.674532015887</v>
      </c>
      <c r="BJ79" s="44" t="n">
        <f aca="false">BJ68+BJ69+BJ70+BJ71+BJ72+BJ73+BJ75+BJ76+BJ77+BJ78</f>
        <v>424.674532015887</v>
      </c>
      <c r="BK79" s="44" t="n">
        <f aca="false">BK68+BK69+BK70+BK71+BK72+BK73+BK75+BK76+BK77+BK78</f>
        <v>431.938189916956</v>
      </c>
      <c r="BL79" s="44" t="n">
        <f aca="false">BL68+BL69+BL70+BL71+BL72+BL73+BL75+BL76+BL77+BL78</f>
        <v>417.443518449019</v>
      </c>
      <c r="BM79" s="44" t="n">
        <f aca="false">BM68+BM69+BM70+BM71+BM72+BM73+BM75+BM76+BM77+BM78</f>
        <v>424.674532015887</v>
      </c>
      <c r="BN79" s="44" t="n">
        <f aca="false">BN68+BN69+BN70+BN71+BN72+BN73+BN75+BN76+BN77+BN78</f>
        <v>431.938189916956</v>
      </c>
      <c r="BO79" s="44" t="n">
        <f aca="false">BO68+BO69+BO70+BO71+BO72+BO73+BO75+BO76+BO77+BO78</f>
        <v>424.674532015887</v>
      </c>
      <c r="BP79" s="44" t="n">
        <f aca="false">BP68+BP69+BP70+BP71+BP72+BP73+BP75+BP76+BP77+BP78</f>
        <v>424.674532015887</v>
      </c>
      <c r="BQ79" s="44" t="n">
        <f aca="false">BQ68+BQ69+BQ70+BQ71+BQ72+BQ73+BQ75+BQ76+BQ77+BQ78</f>
        <v>431.938189916956</v>
      </c>
      <c r="BR79" s="44" t="n">
        <f aca="false">BR68+BR69+BR70+BR71+BR72+BR73+BR75+BR76+BR77+BR78</f>
        <v>424.674532015887</v>
      </c>
      <c r="BS79" s="44" t="n">
        <f aca="false">BS68+BS69+BS70+BS71+BS72+BS73+BS75+BS76+BS77+BS78</f>
        <v>424.674532015887</v>
      </c>
      <c r="BT79" s="44" t="n">
        <f aca="false">BT68+BT69+BT70+BT71+BT72+BT73+BT75+BT76+BT77+BT78</f>
        <v>431.938189916956</v>
      </c>
      <c r="BU79" s="44" t="n">
        <f aca="false">BU68+BU69+BU70+BU71+BU72+BU73+BU75+BU76+BU77+BU78</f>
        <v>424.674532015887</v>
      </c>
      <c r="BV79" s="44" t="n">
        <f aca="false">BV68+BV69+BV70+BV71+BV72+BV73+BV75+BV76+BV77+BV78</f>
        <v>417.443518449019</v>
      </c>
      <c r="BW79" s="44" t="n">
        <f aca="false">BW68+BW69+BW70+BW71+BW72+BW73+BW75+BW76+BW77+BW78</f>
        <v>0</v>
      </c>
      <c r="BX79" s="44" t="n">
        <f aca="false">BX68+BX69+BX70+BX71+BX72+BX73+BX75+BX76+BX77+BX78</f>
        <v>0</v>
      </c>
    </row>
    <row r="80" customFormat="false" ht="15" hidden="false" customHeight="false" outlineLevel="0" collapsed="false">
      <c r="A80" s="1"/>
      <c r="B80" s="4" t="s">
        <v>345</v>
      </c>
      <c r="C80" s="8" t="s">
        <v>126</v>
      </c>
      <c r="D80" s="44" t="n">
        <f aca="false">SUM(G80:BX80)</f>
        <v>29950.5905722803</v>
      </c>
      <c r="E80" s="1"/>
      <c r="F80" s="1"/>
      <c r="G80" s="44" t="n">
        <f aca="false">G65-G79</f>
        <v>0</v>
      </c>
      <c r="H80" s="44" t="n">
        <f aca="false">H65-H79</f>
        <v>0</v>
      </c>
      <c r="I80" s="44" t="n">
        <f aca="false">I65-I79</f>
        <v>0</v>
      </c>
      <c r="J80" s="44" t="n">
        <f aca="false">J65-J79</f>
        <v>0</v>
      </c>
      <c r="K80" s="44" t="n">
        <f aca="false">K65-K79</f>
        <v>0</v>
      </c>
      <c r="L80" s="44" t="n">
        <f aca="false">L65-L79</f>
        <v>0</v>
      </c>
      <c r="M80" s="44" t="n">
        <f aca="false">M65-M79</f>
        <v>0</v>
      </c>
      <c r="N80" s="44" t="n">
        <f aca="false">N65-N79</f>
        <v>0</v>
      </c>
      <c r="O80" s="44" t="n">
        <f aca="false">O65-O79</f>
        <v>473.064999892327</v>
      </c>
      <c r="P80" s="44" t="n">
        <f aca="false">P65-P79</f>
        <v>430.393507515191</v>
      </c>
      <c r="Q80" s="44" t="n">
        <f aca="false">Q65-Q79</f>
        <v>425.735115533197</v>
      </c>
      <c r="R80" s="44" t="n">
        <f aca="false">R65-R79</f>
        <v>562.793590535548</v>
      </c>
      <c r="S80" s="44" t="n">
        <f aca="false">S65-S79</f>
        <v>519.345668971638</v>
      </c>
      <c r="T80" s="44" t="n">
        <f aca="false">T65-T79</f>
        <v>514.53907114522</v>
      </c>
      <c r="U80" s="44" t="n">
        <f aca="false">U65-U79</f>
        <v>550.300079148154</v>
      </c>
      <c r="V80" s="44" t="n">
        <f aca="false">V65-V79</f>
        <v>509.721754493142</v>
      </c>
      <c r="W80" s="44" t="n">
        <f aca="false">W65-W79</f>
        <v>507.313195162353</v>
      </c>
      <c r="X80" s="44" t="n">
        <f aca="false">X65-X79</f>
        <v>482.690854991819</v>
      </c>
      <c r="Y80" s="44" t="n">
        <f aca="false">Y65-Y79</f>
        <v>502.498183040885</v>
      </c>
      <c r="Z80" s="44" t="n">
        <f aca="false">Z65-Z79</f>
        <v>500.090044446845</v>
      </c>
      <c r="AA80" s="44" t="n">
        <f aca="false">AA65-AA79</f>
        <v>535.368236528573</v>
      </c>
      <c r="AB80" s="44" t="n">
        <f aca="false">AB65-AB79</f>
        <v>495.275137572529</v>
      </c>
      <c r="AC80" s="44" t="n">
        <f aca="false">AC65-AC79</f>
        <v>492.869712450924</v>
      </c>
      <c r="AD80" s="44" t="n">
        <f aca="false">AD65-AD79</f>
        <v>527.903858122891</v>
      </c>
      <c r="AE80" s="44" t="n">
        <f aca="false">AE65-AE79</f>
        <v>490.455200419711</v>
      </c>
      <c r="AF80" s="44" t="n">
        <f aca="false">AF65-AF79</f>
        <v>490.445234554133</v>
      </c>
      <c r="AG80" s="44" t="n">
        <f aca="false">AG65-AG79</f>
        <v>527.983493794314</v>
      </c>
      <c r="AH80" s="44" t="n">
        <f aca="false">AH65-AH79</f>
        <v>459.372111797056</v>
      </c>
      <c r="AI80" s="44" t="n">
        <f aca="false">AI65-AI79</f>
        <v>490.419610519161</v>
      </c>
      <c r="AJ80" s="44" t="n">
        <f aca="false">AJ65-AJ79</f>
        <v>528.063900976613</v>
      </c>
      <c r="AK80" s="44" t="n">
        <f aca="false">AK65-AK79</f>
        <v>490.403180343999</v>
      </c>
      <c r="AL80" s="44" t="n">
        <f aca="false">AL65-AL79</f>
        <v>490.394685152372</v>
      </c>
      <c r="AM80" s="44" t="n">
        <f aca="false">AM65-AM79</f>
        <v>528.144307544635</v>
      </c>
      <c r="AN80" s="44" t="n">
        <f aca="false">AN65-AN79</f>
        <v>490.377869247659</v>
      </c>
      <c r="AO80" s="44" t="n">
        <f aca="false">AO65-AO79</f>
        <v>490.369739967617</v>
      </c>
      <c r="AP80" s="44" t="n">
        <f aca="false">AP65-AP79</f>
        <v>528.198494280322</v>
      </c>
      <c r="AQ80" s="44" t="n">
        <f aca="false">AQ65-AQ79</f>
        <v>490.369739967617</v>
      </c>
      <c r="AR80" s="44" t="n">
        <f aca="false">AR65-AR79</f>
        <v>459.037208161022</v>
      </c>
      <c r="AS80" s="44" t="n">
        <f aca="false">AS65-AS79</f>
        <v>528.198494280322</v>
      </c>
      <c r="AT80" s="44" t="n">
        <f aca="false">AT65-AT79</f>
        <v>490.369739967617</v>
      </c>
      <c r="AU80" s="44" t="n">
        <f aca="false">AU65-AU79</f>
        <v>490.369739967617</v>
      </c>
      <c r="AV80" s="44" t="n">
        <f aca="false">AV65-AV79</f>
        <v>528.198494280322</v>
      </c>
      <c r="AW80" s="44" t="n">
        <f aca="false">AW65-AW79</f>
        <v>490.369739967617</v>
      </c>
      <c r="AX80" s="44" t="n">
        <f aca="false">AX65-AX79</f>
        <v>490.369739967617</v>
      </c>
      <c r="AY80" s="44" t="n">
        <f aca="false">AY65-AY79</f>
        <v>528.198494280322</v>
      </c>
      <c r="AZ80" s="44" t="n">
        <f aca="false">AZ65-AZ79</f>
        <v>490.369739967617</v>
      </c>
      <c r="BA80" s="44" t="n">
        <f aca="false">BA65-BA79</f>
        <v>490.369739967617</v>
      </c>
      <c r="BB80" s="44" t="n">
        <f aca="false">BB65-BB79</f>
        <v>468.136601740787</v>
      </c>
      <c r="BC80" s="44" t="n">
        <f aca="false">BC65-BC79</f>
        <v>490.369739967617</v>
      </c>
      <c r="BD80" s="44" t="n">
        <f aca="false">BD65-BD79</f>
        <v>490.369739967617</v>
      </c>
      <c r="BE80" s="44" t="n">
        <f aca="false">BE65-BE79</f>
        <v>528.198494280322</v>
      </c>
      <c r="BF80" s="44" t="n">
        <f aca="false">BF65-BF79</f>
        <v>490.369739967617</v>
      </c>
      <c r="BG80" s="44" t="n">
        <f aca="false">BG65-BG79</f>
        <v>490.369739967617</v>
      </c>
      <c r="BH80" s="44" t="n">
        <f aca="false">BH65-BH79</f>
        <v>528.198494280322</v>
      </c>
      <c r="BI80" s="44" t="n">
        <f aca="false">BI65-BI79</f>
        <v>490.369739967617</v>
      </c>
      <c r="BJ80" s="44" t="n">
        <f aca="false">BJ65-BJ79</f>
        <v>490.369739967617</v>
      </c>
      <c r="BK80" s="44" t="n">
        <f aca="false">BK65-BK79</f>
        <v>528.198494280322</v>
      </c>
      <c r="BL80" s="44" t="n">
        <f aca="false">BL65-BL79</f>
        <v>459.037208161022</v>
      </c>
      <c r="BM80" s="44" t="n">
        <f aca="false">BM65-BM79</f>
        <v>490.369739967617</v>
      </c>
      <c r="BN80" s="44" t="n">
        <f aca="false">BN65-BN79</f>
        <v>528.198494280322</v>
      </c>
      <c r="BO80" s="44" t="n">
        <f aca="false">BO65-BO79</f>
        <v>490.369739967617</v>
      </c>
      <c r="BP80" s="44" t="n">
        <f aca="false">BP65-BP79</f>
        <v>490.369739967617</v>
      </c>
      <c r="BQ80" s="44" t="n">
        <f aca="false">BQ65-BQ79</f>
        <v>528.198494280322</v>
      </c>
      <c r="BR80" s="44" t="n">
        <f aca="false">BR65-BR79</f>
        <v>490.369739967617</v>
      </c>
      <c r="BS80" s="44" t="n">
        <f aca="false">BS65-BS79</f>
        <v>490.369739967617</v>
      </c>
      <c r="BT80" s="44" t="n">
        <f aca="false">BT65-BT79</f>
        <v>528.198494280322</v>
      </c>
      <c r="BU80" s="44" t="n">
        <f aca="false">BU65-BU79</f>
        <v>490.369739967617</v>
      </c>
      <c r="BV80" s="44" t="n">
        <f aca="false">BV65-BV79</f>
        <v>459.037208161022</v>
      </c>
      <c r="BW80" s="44" t="n">
        <f aca="false">BW65-BW79</f>
        <v>0</v>
      </c>
      <c r="BX80" s="44" t="n">
        <f aca="false">BX65-BX79</f>
        <v>0</v>
      </c>
    </row>
    <row r="81" customFormat="false" ht="15" hidden="false" customHeight="false" outlineLevel="0" collapsed="false">
      <c r="A81" s="1"/>
      <c r="B81" s="8" t="s">
        <v>346</v>
      </c>
      <c r="C81" s="8" t="s">
        <v>126</v>
      </c>
      <c r="D81" s="44" t="n">
        <f aca="false">SUM(G81:BX81)</f>
        <v>0</v>
      </c>
      <c r="E81" s="1"/>
      <c r="F81" s="1"/>
      <c r="G81" s="48" t="n">
        <f aca="false">0</f>
        <v>0</v>
      </c>
      <c r="H81" s="48" t="n">
        <f aca="false">0</f>
        <v>0</v>
      </c>
      <c r="I81" s="48" t="n">
        <f aca="false">0</f>
        <v>0</v>
      </c>
      <c r="J81" s="48" t="n">
        <f aca="false">0</f>
        <v>0</v>
      </c>
      <c r="K81" s="48" t="n">
        <f aca="false">0</f>
        <v>0</v>
      </c>
      <c r="L81" s="48" t="n">
        <f aca="false">0</f>
        <v>0</v>
      </c>
      <c r="M81" s="48" t="n">
        <f aca="false">0</f>
        <v>0</v>
      </c>
      <c r="N81" s="48" t="n">
        <f aca="false">0</f>
        <v>0</v>
      </c>
      <c r="O81" s="48" t="n">
        <f aca="false">0</f>
        <v>0</v>
      </c>
      <c r="P81" s="48" t="n">
        <f aca="false">0</f>
        <v>0</v>
      </c>
      <c r="Q81" s="48" t="n">
        <f aca="false">0</f>
        <v>0</v>
      </c>
      <c r="R81" s="48" t="n">
        <f aca="false">0</f>
        <v>0</v>
      </c>
      <c r="S81" s="48" t="n">
        <f aca="false">0</f>
        <v>0</v>
      </c>
      <c r="T81" s="48" t="n">
        <f aca="false">0</f>
        <v>0</v>
      </c>
      <c r="U81" s="48" t="n">
        <f aca="false">0</f>
        <v>0</v>
      </c>
      <c r="V81" s="48" t="n">
        <f aca="false">0</f>
        <v>0</v>
      </c>
      <c r="W81" s="48" t="n">
        <f aca="false">0</f>
        <v>0</v>
      </c>
      <c r="X81" s="48" t="n">
        <f aca="false">0</f>
        <v>0</v>
      </c>
      <c r="Y81" s="48" t="n">
        <f aca="false">0</f>
        <v>0</v>
      </c>
      <c r="Z81" s="48" t="n">
        <f aca="false">0</f>
        <v>0</v>
      </c>
      <c r="AA81" s="48" t="n">
        <f aca="false">0</f>
        <v>0</v>
      </c>
      <c r="AB81" s="48" t="n">
        <f aca="false">0</f>
        <v>0</v>
      </c>
      <c r="AC81" s="48" t="n">
        <f aca="false">0</f>
        <v>0</v>
      </c>
      <c r="AD81" s="48" t="n">
        <f aca="false">0</f>
        <v>0</v>
      </c>
      <c r="AE81" s="48" t="n">
        <f aca="false">0</f>
        <v>0</v>
      </c>
      <c r="AF81" s="48" t="n">
        <f aca="false">0</f>
        <v>0</v>
      </c>
      <c r="AG81" s="48" t="n">
        <f aca="false">0</f>
        <v>0</v>
      </c>
      <c r="AH81" s="48" t="n">
        <f aca="false">0</f>
        <v>0</v>
      </c>
      <c r="AI81" s="48" t="n">
        <f aca="false">0</f>
        <v>0</v>
      </c>
      <c r="AJ81" s="48" t="n">
        <f aca="false">0</f>
        <v>0</v>
      </c>
      <c r="AK81" s="48" t="n">
        <f aca="false">0</f>
        <v>0</v>
      </c>
      <c r="AL81" s="48" t="n">
        <f aca="false">0</f>
        <v>0</v>
      </c>
      <c r="AM81" s="48" t="n">
        <f aca="false">0</f>
        <v>0</v>
      </c>
      <c r="AN81" s="48" t="n">
        <f aca="false">0</f>
        <v>0</v>
      </c>
      <c r="AO81" s="48" t="n">
        <f aca="false">0</f>
        <v>0</v>
      </c>
      <c r="AP81" s="48" t="n">
        <f aca="false">0</f>
        <v>0</v>
      </c>
      <c r="AQ81" s="48" t="n">
        <f aca="false">0</f>
        <v>0</v>
      </c>
      <c r="AR81" s="48" t="n">
        <f aca="false">0</f>
        <v>0</v>
      </c>
      <c r="AS81" s="48" t="n">
        <f aca="false">0</f>
        <v>0</v>
      </c>
      <c r="AT81" s="48" t="n">
        <f aca="false">0</f>
        <v>0</v>
      </c>
      <c r="AU81" s="48" t="n">
        <f aca="false">0</f>
        <v>0</v>
      </c>
      <c r="AV81" s="48" t="n">
        <f aca="false">0</f>
        <v>0</v>
      </c>
      <c r="AW81" s="48" t="n">
        <f aca="false">0</f>
        <v>0</v>
      </c>
      <c r="AX81" s="48" t="n">
        <f aca="false">0</f>
        <v>0</v>
      </c>
      <c r="AY81" s="48" t="n">
        <f aca="false">0</f>
        <v>0</v>
      </c>
      <c r="AZ81" s="48" t="n">
        <f aca="false">0</f>
        <v>0</v>
      </c>
      <c r="BA81" s="48" t="n">
        <f aca="false">0</f>
        <v>0</v>
      </c>
      <c r="BB81" s="48" t="n">
        <f aca="false">0</f>
        <v>0</v>
      </c>
      <c r="BC81" s="48" t="n">
        <f aca="false">0</f>
        <v>0</v>
      </c>
      <c r="BD81" s="48" t="n">
        <f aca="false">0</f>
        <v>0</v>
      </c>
      <c r="BE81" s="48" t="n">
        <f aca="false">0</f>
        <v>0</v>
      </c>
      <c r="BF81" s="48" t="n">
        <f aca="false">0</f>
        <v>0</v>
      </c>
      <c r="BG81" s="48" t="n">
        <f aca="false">0</f>
        <v>0</v>
      </c>
      <c r="BH81" s="48" t="n">
        <f aca="false">0</f>
        <v>0</v>
      </c>
      <c r="BI81" s="48" t="n">
        <f aca="false">0</f>
        <v>0</v>
      </c>
      <c r="BJ81" s="48" t="n">
        <f aca="false">0</f>
        <v>0</v>
      </c>
      <c r="BK81" s="48" t="n">
        <f aca="false">0</f>
        <v>0</v>
      </c>
      <c r="BL81" s="48" t="n">
        <f aca="false">0</f>
        <v>0</v>
      </c>
      <c r="BM81" s="48" t="n">
        <f aca="false">0</f>
        <v>0</v>
      </c>
      <c r="BN81" s="48" t="n">
        <f aca="false">0</f>
        <v>0</v>
      </c>
      <c r="BO81" s="48" t="n">
        <f aca="false">0</f>
        <v>0</v>
      </c>
      <c r="BP81" s="48" t="n">
        <f aca="false">0</f>
        <v>0</v>
      </c>
      <c r="BQ81" s="48" t="n">
        <f aca="false">0</f>
        <v>0</v>
      </c>
      <c r="BR81" s="48" t="n">
        <f aca="false">0</f>
        <v>0</v>
      </c>
      <c r="BS81" s="48" t="n">
        <f aca="false">0</f>
        <v>0</v>
      </c>
      <c r="BT81" s="48" t="n">
        <f aca="false">0</f>
        <v>0</v>
      </c>
      <c r="BU81" s="48" t="n">
        <f aca="false">0</f>
        <v>0</v>
      </c>
      <c r="BV81" s="48" t="n">
        <f aca="false">0</f>
        <v>0</v>
      </c>
      <c r="BW81" s="48" t="n">
        <f aca="false">0</f>
        <v>0</v>
      </c>
      <c r="BX81" s="48" t="n">
        <f aca="false">0</f>
        <v>0</v>
      </c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</row>
    <row r="83" customFormat="false" ht="15" hidden="false" customHeight="false" outlineLevel="0" collapsed="false">
      <c r="A83" s="1"/>
      <c r="B83" s="13" t="s">
        <v>347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</row>
    <row r="84" customFormat="false" ht="15" hidden="false" customHeight="false" outlineLevel="0" collapsed="false">
      <c r="A84" s="1"/>
      <c r="B84" s="8" t="s">
        <v>348</v>
      </c>
      <c r="C84" s="8" t="s">
        <v>126</v>
      </c>
      <c r="D84" s="44" t="n">
        <f aca="false">SUM(G84:BX84)</f>
        <v>2515</v>
      </c>
      <c r="E84" s="1"/>
      <c r="F84" s="1"/>
      <c r="G84" s="48" t="n">
        <f aca="false">IF(AND(G42=1,G43&lt;=ROUNDUP(1/Input!$H$142,0)),MIN($D$52*Input!$H$76*Input!$H$142,MAX($D$52*Input!$H$76-$D$52*Input!$H$76*Input!$H$142*(G43-1),0)),0)</f>
        <v>0</v>
      </c>
      <c r="H84" s="48" t="n">
        <f aca="false">IF(AND(H42=1,H43&lt;=ROUNDUP(1/Input!$H$142,0)),MIN($D$52*Input!$H$76*Input!$H$142,MAX($D$52*Input!$H$76-$D$52*Input!$H$76*Input!$H$142*(H43-1),0)),0)</f>
        <v>0</v>
      </c>
      <c r="I84" s="48" t="n">
        <f aca="false">IF(AND(I42=1,I43&lt;=ROUNDUP(1/Input!$H$142,0)),MIN($D$52*Input!$H$76*Input!$H$142,MAX($D$52*Input!$H$76-$D$52*Input!$H$76*Input!$H$142*(I43-1),0)),0)</f>
        <v>0</v>
      </c>
      <c r="J84" s="48" t="n">
        <f aca="false">IF(AND(J42=1,J43&lt;=ROUNDUP(1/Input!$H$142,0)),MIN($D$52*Input!$H$76*Input!$H$142,MAX($D$52*Input!$H$76-$D$52*Input!$H$76*Input!$H$142*(J43-1),0)),0)</f>
        <v>0</v>
      </c>
      <c r="K84" s="48" t="n">
        <f aca="false">IF(AND(K42=1,K43&lt;=ROUNDUP(1/Input!$H$142,0)),MIN($D$52*Input!$H$76*Input!$H$142,MAX($D$52*Input!$H$76-$D$52*Input!$H$76*Input!$H$142*(K43-1),0)),0)</f>
        <v>0</v>
      </c>
      <c r="L84" s="48" t="n">
        <f aca="false">IF(AND(L42=1,L43&lt;=ROUNDUP(1/Input!$H$142,0)),MIN($D$52*Input!$H$76*Input!$H$142,MAX($D$52*Input!$H$76-$D$52*Input!$H$76*Input!$H$142*(L43-1),0)),0)</f>
        <v>0</v>
      </c>
      <c r="M84" s="48" t="n">
        <f aca="false">IF(AND(M42=1,M43&lt;=ROUNDUP(1/Input!$H$142,0)),MIN($D$52*Input!$H$76*Input!$H$142,MAX($D$52*Input!$H$76-$D$52*Input!$H$76*Input!$H$142*(M43-1),0)),0)</f>
        <v>0</v>
      </c>
      <c r="N84" s="48" t="n">
        <f aca="false">IF(AND(N42=1,N43&lt;=ROUNDUP(1/Input!$H$142,0)),MIN($D$52*Input!$H$76*Input!$H$142,MAX($D$52*Input!$H$76-$D$52*Input!$H$76*Input!$H$142*(N43-1),0)),0)</f>
        <v>0</v>
      </c>
      <c r="O84" s="48" t="n">
        <f aca="false">IF(AND(O42=1,O43&lt;=ROUNDUP(1/Input!$H$142,0)),MIN($D$52*Input!$H$76*Input!$H$142,MAX($D$52*Input!$H$76-$D$52*Input!$H$76*Input!$H$142*(O43-1),0)),0)</f>
        <v>62.875</v>
      </c>
      <c r="P84" s="48" t="n">
        <f aca="false">IF(AND(P42=1,P43&lt;=ROUNDUP(1/Input!$H$142,0)),MIN($D$52*Input!$H$76*Input!$H$142,MAX($D$52*Input!$H$76-$D$52*Input!$H$76*Input!$H$142*(P43-1),0)),0)</f>
        <v>62.875</v>
      </c>
      <c r="Q84" s="48" t="n">
        <f aca="false">IF(AND(Q42=1,Q43&lt;=ROUNDUP(1/Input!$H$142,0)),MIN($D$52*Input!$H$76*Input!$H$142,MAX($D$52*Input!$H$76-$D$52*Input!$H$76*Input!$H$142*(Q43-1),0)),0)</f>
        <v>62.875</v>
      </c>
      <c r="R84" s="48" t="n">
        <f aca="false">IF(AND(R42=1,R43&lt;=ROUNDUP(1/Input!$H$142,0)),MIN($D$52*Input!$H$76*Input!$H$142,MAX($D$52*Input!$H$76-$D$52*Input!$H$76*Input!$H$142*(R43-1),0)),0)</f>
        <v>62.875</v>
      </c>
      <c r="S84" s="48" t="n">
        <f aca="false">IF(AND(S42=1,S43&lt;=ROUNDUP(1/Input!$H$142,0)),MIN($D$52*Input!$H$76*Input!$H$142,MAX($D$52*Input!$H$76-$D$52*Input!$H$76*Input!$H$142*(S43-1),0)),0)</f>
        <v>62.875</v>
      </c>
      <c r="T84" s="48" t="n">
        <f aca="false">IF(AND(T42=1,T43&lt;=ROUNDUP(1/Input!$H$142,0)),MIN($D$52*Input!$H$76*Input!$H$142,MAX($D$52*Input!$H$76-$D$52*Input!$H$76*Input!$H$142*(T43-1),0)),0)</f>
        <v>62.875</v>
      </c>
      <c r="U84" s="48" t="n">
        <f aca="false">IF(AND(U42=1,U43&lt;=ROUNDUP(1/Input!$H$142,0)),MIN($D$52*Input!$H$76*Input!$H$142,MAX($D$52*Input!$H$76-$D$52*Input!$H$76*Input!$H$142*(U43-1),0)),0)</f>
        <v>62.875</v>
      </c>
      <c r="V84" s="48" t="n">
        <f aca="false">IF(AND(V42=1,V43&lt;=ROUNDUP(1/Input!$H$142,0)),MIN($D$52*Input!$H$76*Input!$H$142,MAX($D$52*Input!$H$76-$D$52*Input!$H$76*Input!$H$142*(V43-1),0)),0)</f>
        <v>62.875</v>
      </c>
      <c r="W84" s="48" t="n">
        <f aca="false">IF(AND(W42=1,W43&lt;=ROUNDUP(1/Input!$H$142,0)),MIN($D$52*Input!$H$76*Input!$H$142,MAX($D$52*Input!$H$76-$D$52*Input!$H$76*Input!$H$142*(W43-1),0)),0)</f>
        <v>62.875</v>
      </c>
      <c r="X84" s="48" t="n">
        <f aca="false">IF(AND(X42=1,X43&lt;=ROUNDUP(1/Input!$H$142,0)),MIN($D$52*Input!$H$76*Input!$H$142,MAX($D$52*Input!$H$76-$D$52*Input!$H$76*Input!$H$142*(X43-1),0)),0)</f>
        <v>62.875</v>
      </c>
      <c r="Y84" s="48" t="n">
        <f aca="false">IF(AND(Y42=1,Y43&lt;=ROUNDUP(1/Input!$H$142,0)),MIN($D$52*Input!$H$76*Input!$H$142,MAX($D$52*Input!$H$76-$D$52*Input!$H$76*Input!$H$142*(Y43-1),0)),0)</f>
        <v>62.875</v>
      </c>
      <c r="Z84" s="48" t="n">
        <f aca="false">IF(AND(Z42=1,Z43&lt;=ROUNDUP(1/Input!$H$142,0)),MIN($D$52*Input!$H$76*Input!$H$142,MAX($D$52*Input!$H$76-$D$52*Input!$H$76*Input!$H$142*(Z43-1),0)),0)</f>
        <v>62.875</v>
      </c>
      <c r="AA84" s="48" t="n">
        <f aca="false">IF(AND(AA42=1,AA43&lt;=ROUNDUP(1/Input!$H$142,0)),MIN($D$52*Input!$H$76*Input!$H$142,MAX($D$52*Input!$H$76-$D$52*Input!$H$76*Input!$H$142*(AA43-1),0)),0)</f>
        <v>62.875</v>
      </c>
      <c r="AB84" s="48" t="n">
        <f aca="false">IF(AND(AB42=1,AB43&lt;=ROUNDUP(1/Input!$H$142,0)),MIN($D$52*Input!$H$76*Input!$H$142,MAX($D$52*Input!$H$76-$D$52*Input!$H$76*Input!$H$142*(AB43-1),0)),0)</f>
        <v>62.875</v>
      </c>
      <c r="AC84" s="48" t="n">
        <f aca="false">IF(AND(AC42=1,AC43&lt;=ROUNDUP(1/Input!$H$142,0)),MIN($D$52*Input!$H$76*Input!$H$142,MAX($D$52*Input!$H$76-$D$52*Input!$H$76*Input!$H$142*(AC43-1),0)),0)</f>
        <v>62.875</v>
      </c>
      <c r="AD84" s="48" t="n">
        <f aca="false">IF(AND(AD42=1,AD43&lt;=ROUNDUP(1/Input!$H$142,0)),MIN($D$52*Input!$H$76*Input!$H$142,MAX($D$52*Input!$H$76-$D$52*Input!$H$76*Input!$H$142*(AD43-1),0)),0)</f>
        <v>62.875</v>
      </c>
      <c r="AE84" s="48" t="n">
        <f aca="false">IF(AND(AE42=1,AE43&lt;=ROUNDUP(1/Input!$H$142,0)),MIN($D$52*Input!$H$76*Input!$H$142,MAX($D$52*Input!$H$76-$D$52*Input!$H$76*Input!$H$142*(AE43-1),0)),0)</f>
        <v>62.875</v>
      </c>
      <c r="AF84" s="48" t="n">
        <f aca="false">IF(AND(AF42=1,AF43&lt;=ROUNDUP(1/Input!$H$142,0)),MIN($D$52*Input!$H$76*Input!$H$142,MAX($D$52*Input!$H$76-$D$52*Input!$H$76*Input!$H$142*(AF43-1),0)),0)</f>
        <v>62.875</v>
      </c>
      <c r="AG84" s="48" t="n">
        <f aca="false">IF(AND(AG42=1,AG43&lt;=ROUNDUP(1/Input!$H$142,0)),MIN($D$52*Input!$H$76*Input!$H$142,MAX($D$52*Input!$H$76-$D$52*Input!$H$76*Input!$H$142*(AG43-1),0)),0)</f>
        <v>62.875</v>
      </c>
      <c r="AH84" s="48" t="n">
        <f aca="false">IF(AND(AH42=1,AH43&lt;=ROUNDUP(1/Input!$H$142,0)),MIN($D$52*Input!$H$76*Input!$H$142,MAX($D$52*Input!$H$76-$D$52*Input!$H$76*Input!$H$142*(AH43-1),0)),0)</f>
        <v>62.875</v>
      </c>
      <c r="AI84" s="48" t="n">
        <f aca="false">IF(AND(AI42=1,AI43&lt;=ROUNDUP(1/Input!$H$142,0)),MIN($D$52*Input!$H$76*Input!$H$142,MAX($D$52*Input!$H$76-$D$52*Input!$H$76*Input!$H$142*(AI43-1),0)),0)</f>
        <v>62.875</v>
      </c>
      <c r="AJ84" s="48" t="n">
        <f aca="false">IF(AND(AJ42=1,AJ43&lt;=ROUNDUP(1/Input!$H$142,0)),MIN($D$52*Input!$H$76*Input!$H$142,MAX($D$52*Input!$H$76-$D$52*Input!$H$76*Input!$H$142*(AJ43-1),0)),0)</f>
        <v>62.875</v>
      </c>
      <c r="AK84" s="48" t="n">
        <f aca="false">IF(AND(AK42=1,AK43&lt;=ROUNDUP(1/Input!$H$142,0)),MIN($D$52*Input!$H$76*Input!$H$142,MAX($D$52*Input!$H$76-$D$52*Input!$H$76*Input!$H$142*(AK43-1),0)),0)</f>
        <v>62.875</v>
      </c>
      <c r="AL84" s="48" t="n">
        <f aca="false">IF(AND(AL42=1,AL43&lt;=ROUNDUP(1/Input!$H$142,0)),MIN($D$52*Input!$H$76*Input!$H$142,MAX($D$52*Input!$H$76-$D$52*Input!$H$76*Input!$H$142*(AL43-1),0)),0)</f>
        <v>62.875</v>
      </c>
      <c r="AM84" s="48" t="n">
        <f aca="false">IF(AND(AM42=1,AM43&lt;=ROUNDUP(1/Input!$H$142,0)),MIN($D$52*Input!$H$76*Input!$H$142,MAX($D$52*Input!$H$76-$D$52*Input!$H$76*Input!$H$142*(AM43-1),0)),0)</f>
        <v>62.875</v>
      </c>
      <c r="AN84" s="48" t="n">
        <f aca="false">IF(AND(AN42=1,AN43&lt;=ROUNDUP(1/Input!$H$142,0)),MIN($D$52*Input!$H$76*Input!$H$142,MAX($D$52*Input!$H$76-$D$52*Input!$H$76*Input!$H$142*(AN43-1),0)),0)</f>
        <v>62.875</v>
      </c>
      <c r="AO84" s="48" t="n">
        <f aca="false">IF(AND(AO42=1,AO43&lt;=ROUNDUP(1/Input!$H$142,0)),MIN($D$52*Input!$H$76*Input!$H$142,MAX($D$52*Input!$H$76-$D$52*Input!$H$76*Input!$H$142*(AO43-1),0)),0)</f>
        <v>62.875</v>
      </c>
      <c r="AP84" s="48" t="n">
        <f aca="false">IF(AND(AP42=1,AP43&lt;=ROUNDUP(1/Input!$H$142,0)),MIN($D$52*Input!$H$76*Input!$H$142,MAX($D$52*Input!$H$76-$D$52*Input!$H$76*Input!$H$142*(AP43-1),0)),0)</f>
        <v>62.875</v>
      </c>
      <c r="AQ84" s="48" t="n">
        <f aca="false">IF(AND(AQ42=1,AQ43&lt;=ROUNDUP(1/Input!$H$142,0)),MIN($D$52*Input!$H$76*Input!$H$142,MAX($D$52*Input!$H$76-$D$52*Input!$H$76*Input!$H$142*(AQ43-1),0)),0)</f>
        <v>62.875</v>
      </c>
      <c r="AR84" s="48" t="n">
        <f aca="false">IF(AND(AR42=1,AR43&lt;=ROUNDUP(1/Input!$H$142,0)),MIN($D$52*Input!$H$76*Input!$H$142,MAX($D$52*Input!$H$76-$D$52*Input!$H$76*Input!$H$142*(AR43-1),0)),0)</f>
        <v>62.875</v>
      </c>
      <c r="AS84" s="48" t="n">
        <f aca="false">IF(AND(AS42=1,AS43&lt;=ROUNDUP(1/Input!$H$142,0)),MIN($D$52*Input!$H$76*Input!$H$142,MAX($D$52*Input!$H$76-$D$52*Input!$H$76*Input!$H$142*(AS43-1),0)),0)</f>
        <v>62.875</v>
      </c>
      <c r="AT84" s="48" t="n">
        <f aca="false">IF(AND(AT42=1,AT43&lt;=ROUNDUP(1/Input!$H$142,0)),MIN($D$52*Input!$H$76*Input!$H$142,MAX($D$52*Input!$H$76-$D$52*Input!$H$76*Input!$H$142*(AT43-1),0)),0)</f>
        <v>62.875</v>
      </c>
      <c r="AU84" s="48" t="n">
        <f aca="false">IF(AND(AU42=1,AU43&lt;=ROUNDUP(1/Input!$H$142,0)),MIN($D$52*Input!$H$76*Input!$H$142,MAX($D$52*Input!$H$76-$D$52*Input!$H$76*Input!$H$142*(AU43-1),0)),0)</f>
        <v>62.875</v>
      </c>
      <c r="AV84" s="48" t="n">
        <f aca="false">IF(AND(AV42=1,AV43&lt;=ROUNDUP(1/Input!$H$142,0)),MIN($D$52*Input!$H$76*Input!$H$142,MAX($D$52*Input!$H$76-$D$52*Input!$H$76*Input!$H$142*(AV43-1),0)),0)</f>
        <v>62.875</v>
      </c>
      <c r="AW84" s="48" t="n">
        <f aca="false">IF(AND(AW42=1,AW43&lt;=ROUNDUP(1/Input!$H$142,0)),MIN($D$52*Input!$H$76*Input!$H$142,MAX($D$52*Input!$H$76-$D$52*Input!$H$76*Input!$H$142*(AW43-1),0)),0)</f>
        <v>62.875</v>
      </c>
      <c r="AX84" s="48" t="n">
        <f aca="false">IF(AND(AX42=1,AX43&lt;=ROUNDUP(1/Input!$H$142,0)),MIN($D$52*Input!$H$76*Input!$H$142,MAX($D$52*Input!$H$76-$D$52*Input!$H$76*Input!$H$142*(AX43-1),0)),0)</f>
        <v>62.875</v>
      </c>
      <c r="AY84" s="48" t="n">
        <f aca="false">IF(AND(AY42=1,AY43&lt;=ROUNDUP(1/Input!$H$142,0)),MIN($D$52*Input!$H$76*Input!$H$142,MAX($D$52*Input!$H$76-$D$52*Input!$H$76*Input!$H$142*(AY43-1),0)),0)</f>
        <v>62.875</v>
      </c>
      <c r="AZ84" s="48" t="n">
        <f aca="false">IF(AND(AZ42=1,AZ43&lt;=ROUNDUP(1/Input!$H$142,0)),MIN($D$52*Input!$H$76*Input!$H$142,MAX($D$52*Input!$H$76-$D$52*Input!$H$76*Input!$H$142*(AZ43-1),0)),0)</f>
        <v>62.875</v>
      </c>
      <c r="BA84" s="48" t="n">
        <f aca="false">IF(AND(BA42=1,BA43&lt;=ROUNDUP(1/Input!$H$142,0)),MIN($D$52*Input!$H$76*Input!$H$142,MAX($D$52*Input!$H$76-$D$52*Input!$H$76*Input!$H$142*(BA43-1),0)),0)</f>
        <v>62.875</v>
      </c>
      <c r="BB84" s="48" t="n">
        <f aca="false">IF(AND(BB42=1,BB43&lt;=ROUNDUP(1/Input!$H$142,0)),MIN($D$52*Input!$H$76*Input!$H$142,MAX($D$52*Input!$H$76-$D$52*Input!$H$76*Input!$H$142*(BB43-1),0)),0)</f>
        <v>62.875</v>
      </c>
      <c r="BC84" s="48" t="n">
        <f aca="false">IF(AND(BC42=1,BC43&lt;=ROUNDUP(1/Input!$H$142,0)),MIN($D$52*Input!$H$76*Input!$H$142,MAX($D$52*Input!$H$76-$D$52*Input!$H$76*Input!$H$142*(BC43-1),0)),0)</f>
        <v>0</v>
      </c>
      <c r="BD84" s="48" t="n">
        <f aca="false">IF(AND(BD42=1,BD43&lt;=ROUNDUP(1/Input!$H$142,0)),MIN($D$52*Input!$H$76*Input!$H$142,MAX($D$52*Input!$H$76-$D$52*Input!$H$76*Input!$H$142*(BD43-1),0)),0)</f>
        <v>0</v>
      </c>
      <c r="BE84" s="48" t="n">
        <f aca="false">IF(AND(BE42=1,BE43&lt;=ROUNDUP(1/Input!$H$142,0)),MIN($D$52*Input!$H$76*Input!$H$142,MAX($D$52*Input!$H$76-$D$52*Input!$H$76*Input!$H$142*(BE43-1),0)),0)</f>
        <v>0</v>
      </c>
      <c r="BF84" s="48" t="n">
        <f aca="false">IF(AND(BF42=1,BF43&lt;=ROUNDUP(1/Input!$H$142,0)),MIN($D$52*Input!$H$76*Input!$H$142,MAX($D$52*Input!$H$76-$D$52*Input!$H$76*Input!$H$142*(BF43-1),0)),0)</f>
        <v>0</v>
      </c>
      <c r="BG84" s="48" t="n">
        <f aca="false">IF(AND(BG42=1,BG43&lt;=ROUNDUP(1/Input!$H$142,0)),MIN($D$52*Input!$H$76*Input!$H$142,MAX($D$52*Input!$H$76-$D$52*Input!$H$76*Input!$H$142*(BG43-1),0)),0)</f>
        <v>0</v>
      </c>
      <c r="BH84" s="48" t="n">
        <f aca="false">IF(AND(BH42=1,BH43&lt;=ROUNDUP(1/Input!$H$142,0)),MIN($D$52*Input!$H$76*Input!$H$142,MAX($D$52*Input!$H$76-$D$52*Input!$H$76*Input!$H$142*(BH43-1),0)),0)</f>
        <v>0</v>
      </c>
      <c r="BI84" s="48" t="n">
        <f aca="false">IF(AND(BI42=1,BI43&lt;=ROUNDUP(1/Input!$H$142,0)),MIN($D$52*Input!$H$76*Input!$H$142,MAX($D$52*Input!$H$76-$D$52*Input!$H$76*Input!$H$142*(BI43-1),0)),0)</f>
        <v>0</v>
      </c>
      <c r="BJ84" s="48" t="n">
        <f aca="false">IF(AND(BJ42=1,BJ43&lt;=ROUNDUP(1/Input!$H$142,0)),MIN($D$52*Input!$H$76*Input!$H$142,MAX($D$52*Input!$H$76-$D$52*Input!$H$76*Input!$H$142*(BJ43-1),0)),0)</f>
        <v>0</v>
      </c>
      <c r="BK84" s="48" t="n">
        <f aca="false">IF(AND(BK42=1,BK43&lt;=ROUNDUP(1/Input!$H$142,0)),MIN($D$52*Input!$H$76*Input!$H$142,MAX($D$52*Input!$H$76-$D$52*Input!$H$76*Input!$H$142*(BK43-1),0)),0)</f>
        <v>0</v>
      </c>
      <c r="BL84" s="48" t="n">
        <f aca="false">IF(AND(BL42=1,BL43&lt;=ROUNDUP(1/Input!$H$142,0)),MIN($D$52*Input!$H$76*Input!$H$142,MAX($D$52*Input!$H$76-$D$52*Input!$H$76*Input!$H$142*(BL43-1),0)),0)</f>
        <v>0</v>
      </c>
      <c r="BM84" s="48" t="n">
        <f aca="false">IF(AND(BM42=1,BM43&lt;=ROUNDUP(1/Input!$H$142,0)),MIN($D$52*Input!$H$76*Input!$H$142,MAX($D$52*Input!$H$76-$D$52*Input!$H$76*Input!$H$142*(BM43-1),0)),0)</f>
        <v>0</v>
      </c>
      <c r="BN84" s="48" t="n">
        <f aca="false">IF(AND(BN42=1,BN43&lt;=ROUNDUP(1/Input!$H$142,0)),MIN($D$52*Input!$H$76*Input!$H$142,MAX($D$52*Input!$H$76-$D$52*Input!$H$76*Input!$H$142*(BN43-1),0)),0)</f>
        <v>0</v>
      </c>
      <c r="BO84" s="48" t="n">
        <f aca="false">IF(AND(BO42=1,BO43&lt;=ROUNDUP(1/Input!$H$142,0)),MIN($D$52*Input!$H$76*Input!$H$142,MAX($D$52*Input!$H$76-$D$52*Input!$H$76*Input!$H$142*(BO43-1),0)),0)</f>
        <v>0</v>
      </c>
      <c r="BP84" s="48" t="n">
        <f aca="false">IF(AND(BP42=1,BP43&lt;=ROUNDUP(1/Input!$H$142,0)),MIN($D$52*Input!$H$76*Input!$H$142,MAX($D$52*Input!$H$76-$D$52*Input!$H$76*Input!$H$142*(BP43-1),0)),0)</f>
        <v>0</v>
      </c>
      <c r="BQ84" s="48" t="n">
        <f aca="false">IF(AND(BQ42=1,BQ43&lt;=ROUNDUP(1/Input!$H$142,0)),MIN($D$52*Input!$H$76*Input!$H$142,MAX($D$52*Input!$H$76-$D$52*Input!$H$76*Input!$H$142*(BQ43-1),0)),0)</f>
        <v>0</v>
      </c>
      <c r="BR84" s="48" t="n">
        <f aca="false">IF(AND(BR42=1,BR43&lt;=ROUNDUP(1/Input!$H$142,0)),MIN($D$52*Input!$H$76*Input!$H$142,MAX($D$52*Input!$H$76-$D$52*Input!$H$76*Input!$H$142*(BR43-1),0)),0)</f>
        <v>0</v>
      </c>
      <c r="BS84" s="48" t="n">
        <f aca="false">IF(AND(BS42=1,BS43&lt;=ROUNDUP(1/Input!$H$142,0)),MIN($D$52*Input!$H$76*Input!$H$142,MAX($D$52*Input!$H$76-$D$52*Input!$H$76*Input!$H$142*(BS43-1),0)),0)</f>
        <v>0</v>
      </c>
      <c r="BT84" s="48" t="n">
        <f aca="false">IF(AND(BT42=1,BT43&lt;=ROUNDUP(1/Input!$H$142,0)),MIN($D$52*Input!$H$76*Input!$H$142,MAX($D$52*Input!$H$76-$D$52*Input!$H$76*Input!$H$142*(BT43-1),0)),0)</f>
        <v>0</v>
      </c>
      <c r="BU84" s="48" t="n">
        <f aca="false">IF(AND(BU42=1,BU43&lt;=ROUNDUP(1/Input!$H$142,0)),MIN($D$52*Input!$H$76*Input!$H$142,MAX($D$52*Input!$H$76-$D$52*Input!$H$76*Input!$H$142*(BU43-1),0)),0)</f>
        <v>0</v>
      </c>
      <c r="BV84" s="48" t="n">
        <f aca="false">IF(AND(BV42=1,BV43&lt;=ROUNDUP(1/Input!$H$142,0)),MIN($D$52*Input!$H$76*Input!$H$142,MAX($D$52*Input!$H$76-$D$52*Input!$H$76*Input!$H$142*(BV43-1),0)),0)</f>
        <v>0</v>
      </c>
      <c r="BW84" s="48" t="n">
        <f aca="false">IF(AND(BW42=1,BW43&lt;=ROUNDUP(1/Input!$H$142,0)),MIN($D$52*Input!$H$76*Input!$H$142,MAX($D$52*Input!$H$76-$D$52*Input!$H$76*Input!$H$142*(BW43-1),0)),0)</f>
        <v>0</v>
      </c>
      <c r="BX84" s="48" t="n">
        <f aca="false">IF(AND(BX42=1,BX43&lt;=ROUNDUP(1/Input!$H$142,0)),MIN($D$52*Input!$H$76*Input!$H$142,MAX($D$52*Input!$H$76-$D$52*Input!$H$76*Input!$H$142*(BX43-1),0)),0)</f>
        <v>0</v>
      </c>
    </row>
    <row r="85" customFormat="false" ht="15" hidden="false" customHeight="false" outlineLevel="0" collapsed="false">
      <c r="A85" s="1"/>
      <c r="B85" s="8" t="s">
        <v>349</v>
      </c>
      <c r="C85" s="8" t="s">
        <v>126</v>
      </c>
      <c r="D85" s="44" t="n">
        <f aca="false">SUM(G85:BX85)</f>
        <v>1886.25</v>
      </c>
      <c r="E85" s="1"/>
      <c r="F85" s="1"/>
      <c r="G85" s="48" t="n">
        <f aca="false">IF(AND(G42=1,G43&lt;=ROUNDUP(1/Input!$H$143,0)),MIN($D$52*Input!$H$77*Input!$H$143,MAX($D$52*Input!$H$77-$D$52*Input!$H$77*Input!$H$143*(G43-1),0)),0)</f>
        <v>0</v>
      </c>
      <c r="H85" s="48" t="n">
        <f aca="false">IF(AND(H42=1,H43&lt;=ROUNDUP(1/Input!$H$143,0)),MIN($D$52*Input!$H$77*Input!$H$143,MAX($D$52*Input!$H$77-$D$52*Input!$H$77*Input!$H$143*(H43-1),0)),0)</f>
        <v>0</v>
      </c>
      <c r="I85" s="48" t="n">
        <f aca="false">IF(AND(I42=1,I43&lt;=ROUNDUP(1/Input!$H$143,0)),MIN($D$52*Input!$H$77*Input!$H$143,MAX($D$52*Input!$H$77-$D$52*Input!$H$77*Input!$H$143*(I43-1),0)),0)</f>
        <v>0</v>
      </c>
      <c r="J85" s="48" t="n">
        <f aca="false">IF(AND(J42=1,J43&lt;=ROUNDUP(1/Input!$H$143,0)),MIN($D$52*Input!$H$77*Input!$H$143,MAX($D$52*Input!$H$77-$D$52*Input!$H$77*Input!$H$143*(J43-1),0)),0)</f>
        <v>0</v>
      </c>
      <c r="K85" s="48" t="n">
        <f aca="false">IF(AND(K42=1,K43&lt;=ROUNDUP(1/Input!$H$143,0)),MIN($D$52*Input!$H$77*Input!$H$143,MAX($D$52*Input!$H$77-$D$52*Input!$H$77*Input!$H$143*(K43-1),0)),0)</f>
        <v>0</v>
      </c>
      <c r="L85" s="48" t="n">
        <f aca="false">IF(AND(L42=1,L43&lt;=ROUNDUP(1/Input!$H$143,0)),MIN($D$52*Input!$H$77*Input!$H$143,MAX($D$52*Input!$H$77-$D$52*Input!$H$77*Input!$H$143*(L43-1),0)),0)</f>
        <v>0</v>
      </c>
      <c r="M85" s="48" t="n">
        <f aca="false">IF(AND(M42=1,M43&lt;=ROUNDUP(1/Input!$H$143,0)),MIN($D$52*Input!$H$77*Input!$H$143,MAX($D$52*Input!$H$77-$D$52*Input!$H$77*Input!$H$143*(M43-1),0)),0)</f>
        <v>0</v>
      </c>
      <c r="N85" s="48" t="n">
        <f aca="false">IF(AND(N42=1,N43&lt;=ROUNDUP(1/Input!$H$143,0)),MIN($D$52*Input!$H$77*Input!$H$143,MAX($D$52*Input!$H$77-$D$52*Input!$H$77*Input!$H$143*(N43-1),0)),0)</f>
        <v>0</v>
      </c>
      <c r="O85" s="48" t="n">
        <f aca="false">IF(AND(O42=1,O43&lt;=ROUNDUP(1/Input!$H$143,0)),MIN($D$52*Input!$H$77*Input!$H$143,MAX($D$52*Input!$H$77-$D$52*Input!$H$77*Input!$H$143*(O43-1),0)),0)</f>
        <v>84.88125</v>
      </c>
      <c r="P85" s="48" t="n">
        <f aca="false">IF(AND(P42=1,P43&lt;=ROUNDUP(1/Input!$H$143,0)),MIN($D$52*Input!$H$77*Input!$H$143,MAX($D$52*Input!$H$77-$D$52*Input!$H$77*Input!$H$143*(P43-1),0)),0)</f>
        <v>84.88125</v>
      </c>
      <c r="Q85" s="48" t="n">
        <f aca="false">IF(AND(Q42=1,Q43&lt;=ROUNDUP(1/Input!$H$143,0)),MIN($D$52*Input!$H$77*Input!$H$143,MAX($D$52*Input!$H$77-$D$52*Input!$H$77*Input!$H$143*(Q43-1),0)),0)</f>
        <v>84.88125</v>
      </c>
      <c r="R85" s="48" t="n">
        <f aca="false">IF(AND(R42=1,R43&lt;=ROUNDUP(1/Input!$H$143,0)),MIN($D$52*Input!$H$77*Input!$H$143,MAX($D$52*Input!$H$77-$D$52*Input!$H$77*Input!$H$143*(R43-1),0)),0)</f>
        <v>84.88125</v>
      </c>
      <c r="S85" s="48" t="n">
        <f aca="false">IF(AND(S42=1,S43&lt;=ROUNDUP(1/Input!$H$143,0)),MIN($D$52*Input!$H$77*Input!$H$143,MAX($D$52*Input!$H$77-$D$52*Input!$H$77*Input!$H$143*(S43-1),0)),0)</f>
        <v>84.88125</v>
      </c>
      <c r="T85" s="48" t="n">
        <f aca="false">IF(AND(T42=1,T43&lt;=ROUNDUP(1/Input!$H$143,0)),MIN($D$52*Input!$H$77*Input!$H$143,MAX($D$52*Input!$H$77-$D$52*Input!$H$77*Input!$H$143*(T43-1),0)),0)</f>
        <v>84.88125</v>
      </c>
      <c r="U85" s="48" t="n">
        <f aca="false">IF(AND(U42=1,U43&lt;=ROUNDUP(1/Input!$H$143,0)),MIN($D$52*Input!$H$77*Input!$H$143,MAX($D$52*Input!$H$77-$D$52*Input!$H$77*Input!$H$143*(U43-1),0)),0)</f>
        <v>84.88125</v>
      </c>
      <c r="V85" s="48" t="n">
        <f aca="false">IF(AND(V42=1,V43&lt;=ROUNDUP(1/Input!$H$143,0)),MIN($D$52*Input!$H$77*Input!$H$143,MAX($D$52*Input!$H$77-$D$52*Input!$H$77*Input!$H$143*(V43-1),0)),0)</f>
        <v>84.88125</v>
      </c>
      <c r="W85" s="48" t="n">
        <f aca="false">IF(AND(W42=1,W43&lt;=ROUNDUP(1/Input!$H$143,0)),MIN($D$52*Input!$H$77*Input!$H$143,MAX($D$52*Input!$H$77-$D$52*Input!$H$77*Input!$H$143*(W43-1),0)),0)</f>
        <v>84.88125</v>
      </c>
      <c r="X85" s="48" t="n">
        <f aca="false">IF(AND(X42=1,X43&lt;=ROUNDUP(1/Input!$H$143,0)),MIN($D$52*Input!$H$77*Input!$H$143,MAX($D$52*Input!$H$77-$D$52*Input!$H$77*Input!$H$143*(X43-1),0)),0)</f>
        <v>84.88125</v>
      </c>
      <c r="Y85" s="48" t="n">
        <f aca="false">IF(AND(Y42=1,Y43&lt;=ROUNDUP(1/Input!$H$143,0)),MIN($D$52*Input!$H$77*Input!$H$143,MAX($D$52*Input!$H$77-$D$52*Input!$H$77*Input!$H$143*(Y43-1),0)),0)</f>
        <v>84.88125</v>
      </c>
      <c r="Z85" s="48" t="n">
        <f aca="false">IF(AND(Z42=1,Z43&lt;=ROUNDUP(1/Input!$H$143,0)),MIN($D$52*Input!$H$77*Input!$H$143,MAX($D$52*Input!$H$77-$D$52*Input!$H$77*Input!$H$143*(Z43-1),0)),0)</f>
        <v>84.88125</v>
      </c>
      <c r="AA85" s="48" t="n">
        <f aca="false">IF(AND(AA42=1,AA43&lt;=ROUNDUP(1/Input!$H$143,0)),MIN($D$52*Input!$H$77*Input!$H$143,MAX($D$52*Input!$H$77-$D$52*Input!$H$77*Input!$H$143*(AA43-1),0)),0)</f>
        <v>84.88125</v>
      </c>
      <c r="AB85" s="48" t="n">
        <f aca="false">IF(AND(AB42=1,AB43&lt;=ROUNDUP(1/Input!$H$143,0)),MIN($D$52*Input!$H$77*Input!$H$143,MAX($D$52*Input!$H$77-$D$52*Input!$H$77*Input!$H$143*(AB43-1),0)),0)</f>
        <v>84.88125</v>
      </c>
      <c r="AC85" s="48" t="n">
        <f aca="false">IF(AND(AC42=1,AC43&lt;=ROUNDUP(1/Input!$H$143,0)),MIN($D$52*Input!$H$77*Input!$H$143,MAX($D$52*Input!$H$77-$D$52*Input!$H$77*Input!$H$143*(AC43-1),0)),0)</f>
        <v>84.88125</v>
      </c>
      <c r="AD85" s="48" t="n">
        <f aca="false">IF(AND(AD42=1,AD43&lt;=ROUNDUP(1/Input!$H$143,0)),MIN($D$52*Input!$H$77*Input!$H$143,MAX($D$52*Input!$H$77-$D$52*Input!$H$77*Input!$H$143*(AD43-1),0)),0)</f>
        <v>84.88125</v>
      </c>
      <c r="AE85" s="48" t="n">
        <f aca="false">IF(AND(AE42=1,AE43&lt;=ROUNDUP(1/Input!$H$143,0)),MIN($D$52*Input!$H$77*Input!$H$143,MAX($D$52*Input!$H$77-$D$52*Input!$H$77*Input!$H$143*(AE43-1),0)),0)</f>
        <v>84.88125</v>
      </c>
      <c r="AF85" s="48" t="n">
        <f aca="false">IF(AND(AF42=1,AF43&lt;=ROUNDUP(1/Input!$H$143,0)),MIN($D$52*Input!$H$77*Input!$H$143,MAX($D$52*Input!$H$77-$D$52*Input!$H$77*Input!$H$143*(AF43-1),0)),0)</f>
        <v>84.88125</v>
      </c>
      <c r="AG85" s="48" t="n">
        <f aca="false">IF(AND(AG42=1,AG43&lt;=ROUNDUP(1/Input!$H$143,0)),MIN($D$52*Input!$H$77*Input!$H$143,MAX($D$52*Input!$H$77-$D$52*Input!$H$77*Input!$H$143*(AG43-1),0)),0)</f>
        <v>84.88125</v>
      </c>
      <c r="AH85" s="48" t="n">
        <f aca="false">IF(AND(AH42=1,AH43&lt;=ROUNDUP(1/Input!$H$143,0)),MIN($D$52*Input!$H$77*Input!$H$143,MAX($D$52*Input!$H$77-$D$52*Input!$H$77*Input!$H$143*(AH43-1),0)),0)</f>
        <v>84.88125</v>
      </c>
      <c r="AI85" s="48" t="n">
        <f aca="false">IF(AND(AI42=1,AI43&lt;=ROUNDUP(1/Input!$H$143,0)),MIN($D$52*Input!$H$77*Input!$H$143,MAX($D$52*Input!$H$77-$D$52*Input!$H$77*Input!$H$143*(AI43-1),0)),0)</f>
        <v>84.88125</v>
      </c>
      <c r="AJ85" s="48" t="n">
        <f aca="false">IF(AND(AJ42=1,AJ43&lt;=ROUNDUP(1/Input!$H$143,0)),MIN($D$52*Input!$H$77*Input!$H$143,MAX($D$52*Input!$H$77-$D$52*Input!$H$77*Input!$H$143*(AJ43-1),0)),0)</f>
        <v>84.88125</v>
      </c>
      <c r="AK85" s="48" t="n">
        <f aca="false">IF(AND(AK42=1,AK43&lt;=ROUNDUP(1/Input!$H$143,0)),MIN($D$52*Input!$H$77*Input!$H$143,MAX($D$52*Input!$H$77-$D$52*Input!$H$77*Input!$H$143*(AK43-1),0)),0)</f>
        <v>18.8625000000002</v>
      </c>
      <c r="AL85" s="48" t="n">
        <f aca="false">IF(AND(AL42=1,AL43&lt;=ROUNDUP(1/Input!$H$143,0)),MIN($D$52*Input!$H$77*Input!$H$143,MAX($D$52*Input!$H$77-$D$52*Input!$H$77*Input!$H$143*(AL43-1),0)),0)</f>
        <v>0</v>
      </c>
      <c r="AM85" s="48" t="n">
        <f aca="false">IF(AND(AM42=1,AM43&lt;=ROUNDUP(1/Input!$H$143,0)),MIN($D$52*Input!$H$77*Input!$H$143,MAX($D$52*Input!$H$77-$D$52*Input!$H$77*Input!$H$143*(AM43-1),0)),0)</f>
        <v>0</v>
      </c>
      <c r="AN85" s="48" t="n">
        <f aca="false">IF(AND(AN42=1,AN43&lt;=ROUNDUP(1/Input!$H$143,0)),MIN($D$52*Input!$H$77*Input!$H$143,MAX($D$52*Input!$H$77-$D$52*Input!$H$77*Input!$H$143*(AN43-1),0)),0)</f>
        <v>0</v>
      </c>
      <c r="AO85" s="48" t="n">
        <f aca="false">IF(AND(AO42=1,AO43&lt;=ROUNDUP(1/Input!$H$143,0)),MIN($D$52*Input!$H$77*Input!$H$143,MAX($D$52*Input!$H$77-$D$52*Input!$H$77*Input!$H$143*(AO43-1),0)),0)</f>
        <v>0</v>
      </c>
      <c r="AP85" s="48" t="n">
        <f aca="false">IF(AND(AP42=1,AP43&lt;=ROUNDUP(1/Input!$H$143,0)),MIN($D$52*Input!$H$77*Input!$H$143,MAX($D$52*Input!$H$77-$D$52*Input!$H$77*Input!$H$143*(AP43-1),0)),0)</f>
        <v>0</v>
      </c>
      <c r="AQ85" s="48" t="n">
        <f aca="false">IF(AND(AQ42=1,AQ43&lt;=ROUNDUP(1/Input!$H$143,0)),MIN($D$52*Input!$H$77*Input!$H$143,MAX($D$52*Input!$H$77-$D$52*Input!$H$77*Input!$H$143*(AQ43-1),0)),0)</f>
        <v>0</v>
      </c>
      <c r="AR85" s="48" t="n">
        <f aca="false">IF(AND(AR42=1,AR43&lt;=ROUNDUP(1/Input!$H$143,0)),MIN($D$52*Input!$H$77*Input!$H$143,MAX($D$52*Input!$H$77-$D$52*Input!$H$77*Input!$H$143*(AR43-1),0)),0)</f>
        <v>0</v>
      </c>
      <c r="AS85" s="48" t="n">
        <f aca="false">IF(AND(AS42=1,AS43&lt;=ROUNDUP(1/Input!$H$143,0)),MIN($D$52*Input!$H$77*Input!$H$143,MAX($D$52*Input!$H$77-$D$52*Input!$H$77*Input!$H$143*(AS43-1),0)),0)</f>
        <v>0</v>
      </c>
      <c r="AT85" s="48" t="n">
        <f aca="false">IF(AND(AT42=1,AT43&lt;=ROUNDUP(1/Input!$H$143,0)),MIN($D$52*Input!$H$77*Input!$H$143,MAX($D$52*Input!$H$77-$D$52*Input!$H$77*Input!$H$143*(AT43-1),0)),0)</f>
        <v>0</v>
      </c>
      <c r="AU85" s="48" t="n">
        <f aca="false">IF(AND(AU42=1,AU43&lt;=ROUNDUP(1/Input!$H$143,0)),MIN($D$52*Input!$H$77*Input!$H$143,MAX($D$52*Input!$H$77-$D$52*Input!$H$77*Input!$H$143*(AU43-1),0)),0)</f>
        <v>0</v>
      </c>
      <c r="AV85" s="48" t="n">
        <f aca="false">IF(AND(AV42=1,AV43&lt;=ROUNDUP(1/Input!$H$143,0)),MIN($D$52*Input!$H$77*Input!$H$143,MAX($D$52*Input!$H$77-$D$52*Input!$H$77*Input!$H$143*(AV43-1),0)),0)</f>
        <v>0</v>
      </c>
      <c r="AW85" s="48" t="n">
        <f aca="false">IF(AND(AW42=1,AW43&lt;=ROUNDUP(1/Input!$H$143,0)),MIN($D$52*Input!$H$77*Input!$H$143,MAX($D$52*Input!$H$77-$D$52*Input!$H$77*Input!$H$143*(AW43-1),0)),0)</f>
        <v>0</v>
      </c>
      <c r="AX85" s="48" t="n">
        <f aca="false">IF(AND(AX42=1,AX43&lt;=ROUNDUP(1/Input!$H$143,0)),MIN($D$52*Input!$H$77*Input!$H$143,MAX($D$52*Input!$H$77-$D$52*Input!$H$77*Input!$H$143*(AX43-1),0)),0)</f>
        <v>0</v>
      </c>
      <c r="AY85" s="48" t="n">
        <f aca="false">IF(AND(AY42=1,AY43&lt;=ROUNDUP(1/Input!$H$143,0)),MIN($D$52*Input!$H$77*Input!$H$143,MAX($D$52*Input!$H$77-$D$52*Input!$H$77*Input!$H$143*(AY43-1),0)),0)</f>
        <v>0</v>
      </c>
      <c r="AZ85" s="48" t="n">
        <f aca="false">IF(AND(AZ42=1,AZ43&lt;=ROUNDUP(1/Input!$H$143,0)),MIN($D$52*Input!$H$77*Input!$H$143,MAX($D$52*Input!$H$77-$D$52*Input!$H$77*Input!$H$143*(AZ43-1),0)),0)</f>
        <v>0</v>
      </c>
      <c r="BA85" s="48" t="n">
        <f aca="false">IF(AND(BA42=1,BA43&lt;=ROUNDUP(1/Input!$H$143,0)),MIN($D$52*Input!$H$77*Input!$H$143,MAX($D$52*Input!$H$77-$D$52*Input!$H$77*Input!$H$143*(BA43-1),0)),0)</f>
        <v>0</v>
      </c>
      <c r="BB85" s="48" t="n">
        <f aca="false">IF(AND(BB42=1,BB43&lt;=ROUNDUP(1/Input!$H$143,0)),MIN($D$52*Input!$H$77*Input!$H$143,MAX($D$52*Input!$H$77-$D$52*Input!$H$77*Input!$H$143*(BB43-1),0)),0)</f>
        <v>0</v>
      </c>
      <c r="BC85" s="48" t="n">
        <f aca="false">IF(AND(BC42=1,BC43&lt;=ROUNDUP(1/Input!$H$143,0)),MIN($D$52*Input!$H$77*Input!$H$143,MAX($D$52*Input!$H$77-$D$52*Input!$H$77*Input!$H$143*(BC43-1),0)),0)</f>
        <v>0</v>
      </c>
      <c r="BD85" s="48" t="n">
        <f aca="false">IF(AND(BD42=1,BD43&lt;=ROUNDUP(1/Input!$H$143,0)),MIN($D$52*Input!$H$77*Input!$H$143,MAX($D$52*Input!$H$77-$D$52*Input!$H$77*Input!$H$143*(BD43-1),0)),0)</f>
        <v>0</v>
      </c>
      <c r="BE85" s="48" t="n">
        <f aca="false">IF(AND(BE42=1,BE43&lt;=ROUNDUP(1/Input!$H$143,0)),MIN($D$52*Input!$H$77*Input!$H$143,MAX($D$52*Input!$H$77-$D$52*Input!$H$77*Input!$H$143*(BE43-1),0)),0)</f>
        <v>0</v>
      </c>
      <c r="BF85" s="48" t="n">
        <f aca="false">IF(AND(BF42=1,BF43&lt;=ROUNDUP(1/Input!$H$143,0)),MIN($D$52*Input!$H$77*Input!$H$143,MAX($D$52*Input!$H$77-$D$52*Input!$H$77*Input!$H$143*(BF43-1),0)),0)</f>
        <v>0</v>
      </c>
      <c r="BG85" s="48" t="n">
        <f aca="false">IF(AND(BG42=1,BG43&lt;=ROUNDUP(1/Input!$H$143,0)),MIN($D$52*Input!$H$77*Input!$H$143,MAX($D$52*Input!$H$77-$D$52*Input!$H$77*Input!$H$143*(BG43-1),0)),0)</f>
        <v>0</v>
      </c>
      <c r="BH85" s="48" t="n">
        <f aca="false">IF(AND(BH42=1,BH43&lt;=ROUNDUP(1/Input!$H$143,0)),MIN($D$52*Input!$H$77*Input!$H$143,MAX($D$52*Input!$H$77-$D$52*Input!$H$77*Input!$H$143*(BH43-1),0)),0)</f>
        <v>0</v>
      </c>
      <c r="BI85" s="48" t="n">
        <f aca="false">IF(AND(BI42=1,BI43&lt;=ROUNDUP(1/Input!$H$143,0)),MIN($D$52*Input!$H$77*Input!$H$143,MAX($D$52*Input!$H$77-$D$52*Input!$H$77*Input!$H$143*(BI43-1),0)),0)</f>
        <v>0</v>
      </c>
      <c r="BJ85" s="48" t="n">
        <f aca="false">IF(AND(BJ42=1,BJ43&lt;=ROUNDUP(1/Input!$H$143,0)),MIN($D$52*Input!$H$77*Input!$H$143,MAX($D$52*Input!$H$77-$D$52*Input!$H$77*Input!$H$143*(BJ43-1),0)),0)</f>
        <v>0</v>
      </c>
      <c r="BK85" s="48" t="n">
        <f aca="false">IF(AND(BK42=1,BK43&lt;=ROUNDUP(1/Input!$H$143,0)),MIN($D$52*Input!$H$77*Input!$H$143,MAX($D$52*Input!$H$77-$D$52*Input!$H$77*Input!$H$143*(BK43-1),0)),0)</f>
        <v>0</v>
      </c>
      <c r="BL85" s="48" t="n">
        <f aca="false">IF(AND(BL42=1,BL43&lt;=ROUNDUP(1/Input!$H$143,0)),MIN($D$52*Input!$H$77*Input!$H$143,MAX($D$52*Input!$H$77-$D$52*Input!$H$77*Input!$H$143*(BL43-1),0)),0)</f>
        <v>0</v>
      </c>
      <c r="BM85" s="48" t="n">
        <f aca="false">IF(AND(BM42=1,BM43&lt;=ROUNDUP(1/Input!$H$143,0)),MIN($D$52*Input!$H$77*Input!$H$143,MAX($D$52*Input!$H$77-$D$52*Input!$H$77*Input!$H$143*(BM43-1),0)),0)</f>
        <v>0</v>
      </c>
      <c r="BN85" s="48" t="n">
        <f aca="false">IF(AND(BN42=1,BN43&lt;=ROUNDUP(1/Input!$H$143,0)),MIN($D$52*Input!$H$77*Input!$H$143,MAX($D$52*Input!$H$77-$D$52*Input!$H$77*Input!$H$143*(BN43-1),0)),0)</f>
        <v>0</v>
      </c>
      <c r="BO85" s="48" t="n">
        <f aca="false">IF(AND(BO42=1,BO43&lt;=ROUNDUP(1/Input!$H$143,0)),MIN($D$52*Input!$H$77*Input!$H$143,MAX($D$52*Input!$H$77-$D$52*Input!$H$77*Input!$H$143*(BO43-1),0)),0)</f>
        <v>0</v>
      </c>
      <c r="BP85" s="48" t="n">
        <f aca="false">IF(AND(BP42=1,BP43&lt;=ROUNDUP(1/Input!$H$143,0)),MIN($D$52*Input!$H$77*Input!$H$143,MAX($D$52*Input!$H$77-$D$52*Input!$H$77*Input!$H$143*(BP43-1),0)),0)</f>
        <v>0</v>
      </c>
      <c r="BQ85" s="48" t="n">
        <f aca="false">IF(AND(BQ42=1,BQ43&lt;=ROUNDUP(1/Input!$H$143,0)),MIN($D$52*Input!$H$77*Input!$H$143,MAX($D$52*Input!$H$77-$D$52*Input!$H$77*Input!$H$143*(BQ43-1),0)),0)</f>
        <v>0</v>
      </c>
      <c r="BR85" s="48" t="n">
        <f aca="false">IF(AND(BR42=1,BR43&lt;=ROUNDUP(1/Input!$H$143,0)),MIN($D$52*Input!$H$77*Input!$H$143,MAX($D$52*Input!$H$77-$D$52*Input!$H$77*Input!$H$143*(BR43-1),0)),0)</f>
        <v>0</v>
      </c>
      <c r="BS85" s="48" t="n">
        <f aca="false">IF(AND(BS42=1,BS43&lt;=ROUNDUP(1/Input!$H$143,0)),MIN($D$52*Input!$H$77*Input!$H$143,MAX($D$52*Input!$H$77-$D$52*Input!$H$77*Input!$H$143*(BS43-1),0)),0)</f>
        <v>0</v>
      </c>
      <c r="BT85" s="48" t="n">
        <f aca="false">IF(AND(BT42=1,BT43&lt;=ROUNDUP(1/Input!$H$143,0)),MIN($D$52*Input!$H$77*Input!$H$143,MAX($D$52*Input!$H$77-$D$52*Input!$H$77*Input!$H$143*(BT43-1),0)),0)</f>
        <v>0</v>
      </c>
      <c r="BU85" s="48" t="n">
        <f aca="false">IF(AND(BU42=1,BU43&lt;=ROUNDUP(1/Input!$H$143,0)),MIN($D$52*Input!$H$77*Input!$H$143,MAX($D$52*Input!$H$77-$D$52*Input!$H$77*Input!$H$143*(BU43-1),0)),0)</f>
        <v>0</v>
      </c>
      <c r="BV85" s="48" t="n">
        <f aca="false">IF(AND(BV42=1,BV43&lt;=ROUNDUP(1/Input!$H$143,0)),MIN($D$52*Input!$H$77*Input!$H$143,MAX($D$52*Input!$H$77-$D$52*Input!$H$77*Input!$H$143*(BV43-1),0)),0)</f>
        <v>0</v>
      </c>
      <c r="BW85" s="48" t="n">
        <f aca="false">IF(AND(BW42=1,BW43&lt;=ROUNDUP(1/Input!$H$143,0)),MIN($D$52*Input!$H$77*Input!$H$143,MAX($D$52*Input!$H$77-$D$52*Input!$H$77*Input!$H$143*(BW43-1),0)),0)</f>
        <v>0</v>
      </c>
      <c r="BX85" s="48" t="n">
        <f aca="false">IF(AND(BX42=1,BX43&lt;=ROUNDUP(1/Input!$H$143,0)),MIN($D$52*Input!$H$77*Input!$H$143,MAX($D$52*Input!$H$77-$D$52*Input!$H$77*Input!$H$143*(BX43-1),0)),0)</f>
        <v>0</v>
      </c>
    </row>
    <row r="86" customFormat="false" ht="15" hidden="false" customHeight="false" outlineLevel="0" collapsed="false">
      <c r="A86" s="1"/>
      <c r="B86" s="8" t="s">
        <v>350</v>
      </c>
      <c r="C86" s="8" t="s">
        <v>126</v>
      </c>
      <c r="D86" s="44" t="n">
        <f aca="false">SUM(G86:BX86)</f>
        <v>3143.75</v>
      </c>
      <c r="E86" s="1"/>
      <c r="F86" s="1"/>
      <c r="G86" s="48" t="n">
        <f aca="false">IF(AND(G42=1,G43&lt;=ROUNDUP(1/Input!$H$144,0)),MIN($D$52*Input!$H$78*Input!$H$144,MAX($D$52*Input!$H$78-$D$52*Input!$H$78*Input!$H$144*(G43-1),0)),0)</f>
        <v>0</v>
      </c>
      <c r="H86" s="48" t="n">
        <f aca="false">IF(AND(H42=1,H43&lt;=ROUNDUP(1/Input!$H$144,0)),MIN($D$52*Input!$H$78*Input!$H$144,MAX($D$52*Input!$H$78-$D$52*Input!$H$78*Input!$H$144*(H43-1),0)),0)</f>
        <v>0</v>
      </c>
      <c r="I86" s="48" t="n">
        <f aca="false">IF(AND(I42=1,I43&lt;=ROUNDUP(1/Input!$H$144,0)),MIN($D$52*Input!$H$78*Input!$H$144,MAX($D$52*Input!$H$78-$D$52*Input!$H$78*Input!$H$144*(I43-1),0)),0)</f>
        <v>0</v>
      </c>
      <c r="J86" s="48" t="n">
        <f aca="false">IF(AND(J42=1,J43&lt;=ROUNDUP(1/Input!$H$144,0)),MIN($D$52*Input!$H$78*Input!$H$144,MAX($D$52*Input!$H$78-$D$52*Input!$H$78*Input!$H$144*(J43-1),0)),0)</f>
        <v>0</v>
      </c>
      <c r="K86" s="48" t="n">
        <f aca="false">IF(AND(K42=1,K43&lt;=ROUNDUP(1/Input!$H$144,0)),MIN($D$52*Input!$H$78*Input!$H$144,MAX($D$52*Input!$H$78-$D$52*Input!$H$78*Input!$H$144*(K43-1),0)),0)</f>
        <v>0</v>
      </c>
      <c r="L86" s="48" t="n">
        <f aca="false">IF(AND(L42=1,L43&lt;=ROUNDUP(1/Input!$H$144,0)),MIN($D$52*Input!$H$78*Input!$H$144,MAX($D$52*Input!$H$78-$D$52*Input!$H$78*Input!$H$144*(L43-1),0)),0)</f>
        <v>0</v>
      </c>
      <c r="M86" s="48" t="n">
        <f aca="false">IF(AND(M42=1,M43&lt;=ROUNDUP(1/Input!$H$144,0)),MIN($D$52*Input!$H$78*Input!$H$144,MAX($D$52*Input!$H$78-$D$52*Input!$H$78*Input!$H$144*(M43-1),0)),0)</f>
        <v>0</v>
      </c>
      <c r="N86" s="48" t="n">
        <f aca="false">IF(AND(N42=1,N43&lt;=ROUNDUP(1/Input!$H$144,0)),MIN($D$52*Input!$H$78*Input!$H$144,MAX($D$52*Input!$H$78-$D$52*Input!$H$78*Input!$H$144*(N43-1),0)),0)</f>
        <v>0</v>
      </c>
      <c r="O86" s="48" t="n">
        <f aca="false">IF(AND(O42=1,O43&lt;=ROUNDUP(1/Input!$H$144,0)),MIN($D$52*Input!$H$78*Input!$H$144,MAX($D$52*Input!$H$78-$D$52*Input!$H$78*Input!$H$144*(O43-1),0)),0)</f>
        <v>440.125</v>
      </c>
      <c r="P86" s="48" t="n">
        <f aca="false">IF(AND(P42=1,P43&lt;=ROUNDUP(1/Input!$H$144,0)),MIN($D$52*Input!$H$78*Input!$H$144,MAX($D$52*Input!$H$78-$D$52*Input!$H$78*Input!$H$144*(P43-1),0)),0)</f>
        <v>440.125</v>
      </c>
      <c r="Q86" s="48" t="n">
        <f aca="false">IF(AND(Q42=1,Q43&lt;=ROUNDUP(1/Input!$H$144,0)),MIN($D$52*Input!$H$78*Input!$H$144,MAX($D$52*Input!$H$78-$D$52*Input!$H$78*Input!$H$144*(Q43-1),0)),0)</f>
        <v>440.125</v>
      </c>
      <c r="R86" s="48" t="n">
        <f aca="false">IF(AND(R42=1,R43&lt;=ROUNDUP(1/Input!$H$144,0)),MIN($D$52*Input!$H$78*Input!$H$144,MAX($D$52*Input!$H$78-$D$52*Input!$H$78*Input!$H$144*(R43-1),0)),0)</f>
        <v>440.125</v>
      </c>
      <c r="S86" s="48" t="n">
        <f aca="false">IF(AND(S42=1,S43&lt;=ROUNDUP(1/Input!$H$144,0)),MIN($D$52*Input!$H$78*Input!$H$144,MAX($D$52*Input!$H$78-$D$52*Input!$H$78*Input!$H$144*(S43-1),0)),0)</f>
        <v>440.125</v>
      </c>
      <c r="T86" s="48" t="n">
        <f aca="false">IF(AND(T42=1,T43&lt;=ROUNDUP(1/Input!$H$144,0)),MIN($D$52*Input!$H$78*Input!$H$144,MAX($D$52*Input!$H$78-$D$52*Input!$H$78*Input!$H$144*(T43-1),0)),0)</f>
        <v>440.125</v>
      </c>
      <c r="U86" s="48" t="n">
        <f aca="false">IF(AND(U42=1,U43&lt;=ROUNDUP(1/Input!$H$144,0)),MIN($D$52*Input!$H$78*Input!$H$144,MAX($D$52*Input!$H$78-$D$52*Input!$H$78*Input!$H$144*(U43-1),0)),0)</f>
        <v>440.125</v>
      </c>
      <c r="V86" s="48" t="n">
        <f aca="false">IF(AND(V42=1,V43&lt;=ROUNDUP(1/Input!$H$144,0)),MIN($D$52*Input!$H$78*Input!$H$144,MAX($D$52*Input!$H$78-$D$52*Input!$H$78*Input!$H$144*(V43-1),0)),0)</f>
        <v>62.8749999999995</v>
      </c>
      <c r="W86" s="48" t="n">
        <f aca="false">IF(AND(W42=1,W43&lt;=ROUNDUP(1/Input!$H$144,0)),MIN($D$52*Input!$H$78*Input!$H$144,MAX($D$52*Input!$H$78-$D$52*Input!$H$78*Input!$H$144*(W43-1),0)),0)</f>
        <v>0</v>
      </c>
      <c r="X86" s="48" t="n">
        <f aca="false">IF(AND(X42=1,X43&lt;=ROUNDUP(1/Input!$H$144,0)),MIN($D$52*Input!$H$78*Input!$H$144,MAX($D$52*Input!$H$78-$D$52*Input!$H$78*Input!$H$144*(X43-1),0)),0)</f>
        <v>0</v>
      </c>
      <c r="Y86" s="48" t="n">
        <f aca="false">IF(AND(Y42=1,Y43&lt;=ROUNDUP(1/Input!$H$144,0)),MIN($D$52*Input!$H$78*Input!$H$144,MAX($D$52*Input!$H$78-$D$52*Input!$H$78*Input!$H$144*(Y43-1),0)),0)</f>
        <v>0</v>
      </c>
      <c r="Z86" s="48" t="n">
        <f aca="false">IF(AND(Z42=1,Z43&lt;=ROUNDUP(1/Input!$H$144,0)),MIN($D$52*Input!$H$78*Input!$H$144,MAX($D$52*Input!$H$78-$D$52*Input!$H$78*Input!$H$144*(Z43-1),0)),0)</f>
        <v>0</v>
      </c>
      <c r="AA86" s="48" t="n">
        <f aca="false">IF(AND(AA42=1,AA43&lt;=ROUNDUP(1/Input!$H$144,0)),MIN($D$52*Input!$H$78*Input!$H$144,MAX($D$52*Input!$H$78-$D$52*Input!$H$78*Input!$H$144*(AA43-1),0)),0)</f>
        <v>0</v>
      </c>
      <c r="AB86" s="48" t="n">
        <f aca="false">IF(AND(AB42=1,AB43&lt;=ROUNDUP(1/Input!$H$144,0)),MIN($D$52*Input!$H$78*Input!$H$144,MAX($D$52*Input!$H$78-$D$52*Input!$H$78*Input!$H$144*(AB43-1),0)),0)</f>
        <v>0</v>
      </c>
      <c r="AC86" s="48" t="n">
        <f aca="false">IF(AND(AC42=1,AC43&lt;=ROUNDUP(1/Input!$H$144,0)),MIN($D$52*Input!$H$78*Input!$H$144,MAX($D$52*Input!$H$78-$D$52*Input!$H$78*Input!$H$144*(AC43-1),0)),0)</f>
        <v>0</v>
      </c>
      <c r="AD86" s="48" t="n">
        <f aca="false">IF(AND(AD42=1,AD43&lt;=ROUNDUP(1/Input!$H$144,0)),MIN($D$52*Input!$H$78*Input!$H$144,MAX($D$52*Input!$H$78-$D$52*Input!$H$78*Input!$H$144*(AD43-1),0)),0)</f>
        <v>0</v>
      </c>
      <c r="AE86" s="48" t="n">
        <f aca="false">IF(AND(AE42=1,AE43&lt;=ROUNDUP(1/Input!$H$144,0)),MIN($D$52*Input!$H$78*Input!$H$144,MAX($D$52*Input!$H$78-$D$52*Input!$H$78*Input!$H$144*(AE43-1),0)),0)</f>
        <v>0</v>
      </c>
      <c r="AF86" s="48" t="n">
        <f aca="false">IF(AND(AF42=1,AF43&lt;=ROUNDUP(1/Input!$H$144,0)),MIN($D$52*Input!$H$78*Input!$H$144,MAX($D$52*Input!$H$78-$D$52*Input!$H$78*Input!$H$144*(AF43-1),0)),0)</f>
        <v>0</v>
      </c>
      <c r="AG86" s="48" t="n">
        <f aca="false">IF(AND(AG42=1,AG43&lt;=ROUNDUP(1/Input!$H$144,0)),MIN($D$52*Input!$H$78*Input!$H$144,MAX($D$52*Input!$H$78-$D$52*Input!$H$78*Input!$H$144*(AG43-1),0)),0)</f>
        <v>0</v>
      </c>
      <c r="AH86" s="48" t="n">
        <f aca="false">IF(AND(AH42=1,AH43&lt;=ROUNDUP(1/Input!$H$144,0)),MIN($D$52*Input!$H$78*Input!$H$144,MAX($D$52*Input!$H$78-$D$52*Input!$H$78*Input!$H$144*(AH43-1),0)),0)</f>
        <v>0</v>
      </c>
      <c r="AI86" s="48" t="n">
        <f aca="false">IF(AND(AI42=1,AI43&lt;=ROUNDUP(1/Input!$H$144,0)),MIN($D$52*Input!$H$78*Input!$H$144,MAX($D$52*Input!$H$78-$D$52*Input!$H$78*Input!$H$144*(AI43-1),0)),0)</f>
        <v>0</v>
      </c>
      <c r="AJ86" s="48" t="n">
        <f aca="false">IF(AND(AJ42=1,AJ43&lt;=ROUNDUP(1/Input!$H$144,0)),MIN($D$52*Input!$H$78*Input!$H$144,MAX($D$52*Input!$H$78-$D$52*Input!$H$78*Input!$H$144*(AJ43-1),0)),0)</f>
        <v>0</v>
      </c>
      <c r="AK86" s="48" t="n">
        <f aca="false">IF(AND(AK42=1,AK43&lt;=ROUNDUP(1/Input!$H$144,0)),MIN($D$52*Input!$H$78*Input!$H$144,MAX($D$52*Input!$H$78-$D$52*Input!$H$78*Input!$H$144*(AK43-1),0)),0)</f>
        <v>0</v>
      </c>
      <c r="AL86" s="48" t="n">
        <f aca="false">IF(AND(AL42=1,AL43&lt;=ROUNDUP(1/Input!$H$144,0)),MIN($D$52*Input!$H$78*Input!$H$144,MAX($D$52*Input!$H$78-$D$52*Input!$H$78*Input!$H$144*(AL43-1),0)),0)</f>
        <v>0</v>
      </c>
      <c r="AM86" s="48" t="n">
        <f aca="false">IF(AND(AM42=1,AM43&lt;=ROUNDUP(1/Input!$H$144,0)),MIN($D$52*Input!$H$78*Input!$H$144,MAX($D$52*Input!$H$78-$D$52*Input!$H$78*Input!$H$144*(AM43-1),0)),0)</f>
        <v>0</v>
      </c>
      <c r="AN86" s="48" t="n">
        <f aca="false">IF(AND(AN42=1,AN43&lt;=ROUNDUP(1/Input!$H$144,0)),MIN($D$52*Input!$H$78*Input!$H$144,MAX($D$52*Input!$H$78-$D$52*Input!$H$78*Input!$H$144*(AN43-1),0)),0)</f>
        <v>0</v>
      </c>
      <c r="AO86" s="48" t="n">
        <f aca="false">IF(AND(AO42=1,AO43&lt;=ROUNDUP(1/Input!$H$144,0)),MIN($D$52*Input!$H$78*Input!$H$144,MAX($D$52*Input!$H$78-$D$52*Input!$H$78*Input!$H$144*(AO43-1),0)),0)</f>
        <v>0</v>
      </c>
      <c r="AP86" s="48" t="n">
        <f aca="false">IF(AND(AP42=1,AP43&lt;=ROUNDUP(1/Input!$H$144,0)),MIN($D$52*Input!$H$78*Input!$H$144,MAX($D$52*Input!$H$78-$D$52*Input!$H$78*Input!$H$144*(AP43-1),0)),0)</f>
        <v>0</v>
      </c>
      <c r="AQ86" s="48" t="n">
        <f aca="false">IF(AND(AQ42=1,AQ43&lt;=ROUNDUP(1/Input!$H$144,0)),MIN($D$52*Input!$H$78*Input!$H$144,MAX($D$52*Input!$H$78-$D$52*Input!$H$78*Input!$H$144*(AQ43-1),0)),0)</f>
        <v>0</v>
      </c>
      <c r="AR86" s="48" t="n">
        <f aca="false">IF(AND(AR42=1,AR43&lt;=ROUNDUP(1/Input!$H$144,0)),MIN($D$52*Input!$H$78*Input!$H$144,MAX($D$52*Input!$H$78-$D$52*Input!$H$78*Input!$H$144*(AR43-1),0)),0)</f>
        <v>0</v>
      </c>
      <c r="AS86" s="48" t="n">
        <f aca="false">IF(AND(AS42=1,AS43&lt;=ROUNDUP(1/Input!$H$144,0)),MIN($D$52*Input!$H$78*Input!$H$144,MAX($D$52*Input!$H$78-$D$52*Input!$H$78*Input!$H$144*(AS43-1),0)),0)</f>
        <v>0</v>
      </c>
      <c r="AT86" s="48" t="n">
        <f aca="false">IF(AND(AT42=1,AT43&lt;=ROUNDUP(1/Input!$H$144,0)),MIN($D$52*Input!$H$78*Input!$H$144,MAX($D$52*Input!$H$78-$D$52*Input!$H$78*Input!$H$144*(AT43-1),0)),0)</f>
        <v>0</v>
      </c>
      <c r="AU86" s="48" t="n">
        <f aca="false">IF(AND(AU42=1,AU43&lt;=ROUNDUP(1/Input!$H$144,0)),MIN($D$52*Input!$H$78*Input!$H$144,MAX($D$52*Input!$H$78-$D$52*Input!$H$78*Input!$H$144*(AU43-1),0)),0)</f>
        <v>0</v>
      </c>
      <c r="AV86" s="48" t="n">
        <f aca="false">IF(AND(AV42=1,AV43&lt;=ROUNDUP(1/Input!$H$144,0)),MIN($D$52*Input!$H$78*Input!$H$144,MAX($D$52*Input!$H$78-$D$52*Input!$H$78*Input!$H$144*(AV43-1),0)),0)</f>
        <v>0</v>
      </c>
      <c r="AW86" s="48" t="n">
        <f aca="false">IF(AND(AW42=1,AW43&lt;=ROUNDUP(1/Input!$H$144,0)),MIN($D$52*Input!$H$78*Input!$H$144,MAX($D$52*Input!$H$78-$D$52*Input!$H$78*Input!$H$144*(AW43-1),0)),0)</f>
        <v>0</v>
      </c>
      <c r="AX86" s="48" t="n">
        <f aca="false">IF(AND(AX42=1,AX43&lt;=ROUNDUP(1/Input!$H$144,0)),MIN($D$52*Input!$H$78*Input!$H$144,MAX($D$52*Input!$H$78-$D$52*Input!$H$78*Input!$H$144*(AX43-1),0)),0)</f>
        <v>0</v>
      </c>
      <c r="AY86" s="48" t="n">
        <f aca="false">IF(AND(AY42=1,AY43&lt;=ROUNDUP(1/Input!$H$144,0)),MIN($D$52*Input!$H$78*Input!$H$144,MAX($D$52*Input!$H$78-$D$52*Input!$H$78*Input!$H$144*(AY43-1),0)),0)</f>
        <v>0</v>
      </c>
      <c r="AZ86" s="48" t="n">
        <f aca="false">IF(AND(AZ42=1,AZ43&lt;=ROUNDUP(1/Input!$H$144,0)),MIN($D$52*Input!$H$78*Input!$H$144,MAX($D$52*Input!$H$78-$D$52*Input!$H$78*Input!$H$144*(AZ43-1),0)),0)</f>
        <v>0</v>
      </c>
      <c r="BA86" s="48" t="n">
        <f aca="false">IF(AND(BA42=1,BA43&lt;=ROUNDUP(1/Input!$H$144,0)),MIN($D$52*Input!$H$78*Input!$H$144,MAX($D$52*Input!$H$78-$D$52*Input!$H$78*Input!$H$144*(BA43-1),0)),0)</f>
        <v>0</v>
      </c>
      <c r="BB86" s="48" t="n">
        <f aca="false">IF(AND(BB42=1,BB43&lt;=ROUNDUP(1/Input!$H$144,0)),MIN($D$52*Input!$H$78*Input!$H$144,MAX($D$52*Input!$H$78-$D$52*Input!$H$78*Input!$H$144*(BB43-1),0)),0)</f>
        <v>0</v>
      </c>
      <c r="BC86" s="48" t="n">
        <f aca="false">IF(AND(BC42=1,BC43&lt;=ROUNDUP(1/Input!$H$144,0)),MIN($D$52*Input!$H$78*Input!$H$144,MAX($D$52*Input!$H$78-$D$52*Input!$H$78*Input!$H$144*(BC43-1),0)),0)</f>
        <v>0</v>
      </c>
      <c r="BD86" s="48" t="n">
        <f aca="false">IF(AND(BD42=1,BD43&lt;=ROUNDUP(1/Input!$H$144,0)),MIN($D$52*Input!$H$78*Input!$H$144,MAX($D$52*Input!$H$78-$D$52*Input!$H$78*Input!$H$144*(BD43-1),0)),0)</f>
        <v>0</v>
      </c>
      <c r="BE86" s="48" t="n">
        <f aca="false">IF(AND(BE42=1,BE43&lt;=ROUNDUP(1/Input!$H$144,0)),MIN($D$52*Input!$H$78*Input!$H$144,MAX($D$52*Input!$H$78-$D$52*Input!$H$78*Input!$H$144*(BE43-1),0)),0)</f>
        <v>0</v>
      </c>
      <c r="BF86" s="48" t="n">
        <f aca="false">IF(AND(BF42=1,BF43&lt;=ROUNDUP(1/Input!$H$144,0)),MIN($D$52*Input!$H$78*Input!$H$144,MAX($D$52*Input!$H$78-$D$52*Input!$H$78*Input!$H$144*(BF43-1),0)),0)</f>
        <v>0</v>
      </c>
      <c r="BG86" s="48" t="n">
        <f aca="false">IF(AND(BG42=1,BG43&lt;=ROUNDUP(1/Input!$H$144,0)),MIN($D$52*Input!$H$78*Input!$H$144,MAX($D$52*Input!$H$78-$D$52*Input!$H$78*Input!$H$144*(BG43-1),0)),0)</f>
        <v>0</v>
      </c>
      <c r="BH86" s="48" t="n">
        <f aca="false">IF(AND(BH42=1,BH43&lt;=ROUNDUP(1/Input!$H$144,0)),MIN($D$52*Input!$H$78*Input!$H$144,MAX($D$52*Input!$H$78-$D$52*Input!$H$78*Input!$H$144*(BH43-1),0)),0)</f>
        <v>0</v>
      </c>
      <c r="BI86" s="48" t="n">
        <f aca="false">IF(AND(BI42=1,BI43&lt;=ROUNDUP(1/Input!$H$144,0)),MIN($D$52*Input!$H$78*Input!$H$144,MAX($D$52*Input!$H$78-$D$52*Input!$H$78*Input!$H$144*(BI43-1),0)),0)</f>
        <v>0</v>
      </c>
      <c r="BJ86" s="48" t="n">
        <f aca="false">IF(AND(BJ42=1,BJ43&lt;=ROUNDUP(1/Input!$H$144,0)),MIN($D$52*Input!$H$78*Input!$H$144,MAX($D$52*Input!$H$78-$D$52*Input!$H$78*Input!$H$144*(BJ43-1),0)),0)</f>
        <v>0</v>
      </c>
      <c r="BK86" s="48" t="n">
        <f aca="false">IF(AND(BK42=1,BK43&lt;=ROUNDUP(1/Input!$H$144,0)),MIN($D$52*Input!$H$78*Input!$H$144,MAX($D$52*Input!$H$78-$D$52*Input!$H$78*Input!$H$144*(BK43-1),0)),0)</f>
        <v>0</v>
      </c>
      <c r="BL86" s="48" t="n">
        <f aca="false">IF(AND(BL42=1,BL43&lt;=ROUNDUP(1/Input!$H$144,0)),MIN($D$52*Input!$H$78*Input!$H$144,MAX($D$52*Input!$H$78-$D$52*Input!$H$78*Input!$H$144*(BL43-1),0)),0)</f>
        <v>0</v>
      </c>
      <c r="BM86" s="48" t="n">
        <f aca="false">IF(AND(BM42=1,BM43&lt;=ROUNDUP(1/Input!$H$144,0)),MIN($D$52*Input!$H$78*Input!$H$144,MAX($D$52*Input!$H$78-$D$52*Input!$H$78*Input!$H$144*(BM43-1),0)),0)</f>
        <v>0</v>
      </c>
      <c r="BN86" s="48" t="n">
        <f aca="false">IF(AND(BN42=1,BN43&lt;=ROUNDUP(1/Input!$H$144,0)),MIN($D$52*Input!$H$78*Input!$H$144,MAX($D$52*Input!$H$78-$D$52*Input!$H$78*Input!$H$144*(BN43-1),0)),0)</f>
        <v>0</v>
      </c>
      <c r="BO86" s="48" t="n">
        <f aca="false">IF(AND(BO42=1,BO43&lt;=ROUNDUP(1/Input!$H$144,0)),MIN($D$52*Input!$H$78*Input!$H$144,MAX($D$52*Input!$H$78-$D$52*Input!$H$78*Input!$H$144*(BO43-1),0)),0)</f>
        <v>0</v>
      </c>
      <c r="BP86" s="48" t="n">
        <f aca="false">IF(AND(BP42=1,BP43&lt;=ROUNDUP(1/Input!$H$144,0)),MIN($D$52*Input!$H$78*Input!$H$144,MAX($D$52*Input!$H$78-$D$52*Input!$H$78*Input!$H$144*(BP43-1),0)),0)</f>
        <v>0</v>
      </c>
      <c r="BQ86" s="48" t="n">
        <f aca="false">IF(AND(BQ42=1,BQ43&lt;=ROUNDUP(1/Input!$H$144,0)),MIN($D$52*Input!$H$78*Input!$H$144,MAX($D$52*Input!$H$78-$D$52*Input!$H$78*Input!$H$144*(BQ43-1),0)),0)</f>
        <v>0</v>
      </c>
      <c r="BR86" s="48" t="n">
        <f aca="false">IF(AND(BR42=1,BR43&lt;=ROUNDUP(1/Input!$H$144,0)),MIN($D$52*Input!$H$78*Input!$H$144,MAX($D$52*Input!$H$78-$D$52*Input!$H$78*Input!$H$144*(BR43-1),0)),0)</f>
        <v>0</v>
      </c>
      <c r="BS86" s="48" t="n">
        <f aca="false">IF(AND(BS42=1,BS43&lt;=ROUNDUP(1/Input!$H$144,0)),MIN($D$52*Input!$H$78*Input!$H$144,MAX($D$52*Input!$H$78-$D$52*Input!$H$78*Input!$H$144*(BS43-1),0)),0)</f>
        <v>0</v>
      </c>
      <c r="BT86" s="48" t="n">
        <f aca="false">IF(AND(BT42=1,BT43&lt;=ROUNDUP(1/Input!$H$144,0)),MIN($D$52*Input!$H$78*Input!$H$144,MAX($D$52*Input!$H$78-$D$52*Input!$H$78*Input!$H$144*(BT43-1),0)),0)</f>
        <v>0</v>
      </c>
      <c r="BU86" s="48" t="n">
        <f aca="false">IF(AND(BU42=1,BU43&lt;=ROUNDUP(1/Input!$H$144,0)),MIN($D$52*Input!$H$78*Input!$H$144,MAX($D$52*Input!$H$78-$D$52*Input!$H$78*Input!$H$144*(BU43-1),0)),0)</f>
        <v>0</v>
      </c>
      <c r="BV86" s="48" t="n">
        <f aca="false">IF(AND(BV42=1,BV43&lt;=ROUNDUP(1/Input!$H$144,0)),MIN($D$52*Input!$H$78*Input!$H$144,MAX($D$52*Input!$H$78-$D$52*Input!$H$78*Input!$H$144*(BV43-1),0)),0)</f>
        <v>0</v>
      </c>
      <c r="BW86" s="48" t="n">
        <f aca="false">IF(AND(BW42=1,BW43&lt;=ROUNDUP(1/Input!$H$144,0)),MIN($D$52*Input!$H$78*Input!$H$144,MAX($D$52*Input!$H$78-$D$52*Input!$H$78*Input!$H$144*(BW43-1),0)),0)</f>
        <v>0</v>
      </c>
      <c r="BX86" s="48" t="n">
        <f aca="false">IF(AND(BX42=1,BX43&lt;=ROUNDUP(1/Input!$H$144,0)),MIN($D$52*Input!$H$78*Input!$H$144,MAX($D$52*Input!$H$78-$D$52*Input!$H$78*Input!$H$144*(BX43-1),0)),0)</f>
        <v>0</v>
      </c>
    </row>
    <row r="87" customFormat="false" ht="15" hidden="false" customHeight="false" outlineLevel="0" collapsed="false">
      <c r="A87" s="1"/>
      <c r="B87" s="8" t="s">
        <v>351</v>
      </c>
      <c r="C87" s="8" t="s">
        <v>126</v>
      </c>
      <c r="D87" s="44" t="n">
        <f aca="false">SUM(G87:BX87)</f>
        <v>3772.5</v>
      </c>
      <c r="E87" s="1"/>
      <c r="F87" s="1"/>
      <c r="G87" s="48" t="n">
        <f aca="false">IF(AND(G42=1,G43&lt;=ROUNDUP(1/Input!$H$145,0)),MIN($D$52*Input!$H$79*Input!$H$145,MAX($D$52*Input!$H$79-$D$52*Input!$H$79*Input!$H$145*(G43-1),0)),0)</f>
        <v>0</v>
      </c>
      <c r="H87" s="48" t="n">
        <f aca="false">IF(AND(H42=1,H43&lt;=ROUNDUP(1/Input!$H$145,0)),MIN($D$52*Input!$H$79*Input!$H$145,MAX($D$52*Input!$H$79-$D$52*Input!$H$79*Input!$H$145*(H43-1),0)),0)</f>
        <v>0</v>
      </c>
      <c r="I87" s="48" t="n">
        <f aca="false">IF(AND(I42=1,I43&lt;=ROUNDUP(1/Input!$H$145,0)),MIN($D$52*Input!$H$79*Input!$H$145,MAX($D$52*Input!$H$79-$D$52*Input!$H$79*Input!$H$145*(I43-1),0)),0)</f>
        <v>0</v>
      </c>
      <c r="J87" s="48" t="n">
        <f aca="false">IF(AND(J42=1,J43&lt;=ROUNDUP(1/Input!$H$145,0)),MIN($D$52*Input!$H$79*Input!$H$145,MAX($D$52*Input!$H$79-$D$52*Input!$H$79*Input!$H$145*(J43-1),0)),0)</f>
        <v>0</v>
      </c>
      <c r="K87" s="48" t="n">
        <f aca="false">IF(AND(K42=1,K43&lt;=ROUNDUP(1/Input!$H$145,0)),MIN($D$52*Input!$H$79*Input!$H$145,MAX($D$52*Input!$H$79-$D$52*Input!$H$79*Input!$H$145*(K43-1),0)),0)</f>
        <v>0</v>
      </c>
      <c r="L87" s="48" t="n">
        <f aca="false">IF(AND(L42=1,L43&lt;=ROUNDUP(1/Input!$H$145,0)),MIN($D$52*Input!$H$79*Input!$H$145,MAX($D$52*Input!$H$79-$D$52*Input!$H$79*Input!$H$145*(L43-1),0)),0)</f>
        <v>0</v>
      </c>
      <c r="M87" s="48" t="n">
        <f aca="false">IF(AND(M42=1,M43&lt;=ROUNDUP(1/Input!$H$145,0)),MIN($D$52*Input!$H$79*Input!$H$145,MAX($D$52*Input!$H$79-$D$52*Input!$H$79*Input!$H$145*(M43-1),0)),0)</f>
        <v>0</v>
      </c>
      <c r="N87" s="48" t="n">
        <f aca="false">IF(AND(N42=1,N43&lt;=ROUNDUP(1/Input!$H$145,0)),MIN($D$52*Input!$H$79*Input!$H$145,MAX($D$52*Input!$H$79-$D$52*Input!$H$79*Input!$H$145*(N43-1),0)),0)</f>
        <v>0</v>
      </c>
      <c r="O87" s="48" t="n">
        <f aca="false">IF(AND(O42=1,O43&lt;=ROUNDUP(1/Input!$H$145,0)),MIN($D$52*Input!$H$79*Input!$H$145,MAX($D$52*Input!$H$79-$D$52*Input!$H$79*Input!$H$145*(O43-1),0)),0)</f>
        <v>264.075</v>
      </c>
      <c r="P87" s="48" t="n">
        <f aca="false">IF(AND(P42=1,P43&lt;=ROUNDUP(1/Input!$H$145,0)),MIN($D$52*Input!$H$79*Input!$H$145,MAX($D$52*Input!$H$79-$D$52*Input!$H$79*Input!$H$145*(P43-1),0)),0)</f>
        <v>264.075</v>
      </c>
      <c r="Q87" s="48" t="n">
        <f aca="false">IF(AND(Q42=1,Q43&lt;=ROUNDUP(1/Input!$H$145,0)),MIN($D$52*Input!$H$79*Input!$H$145,MAX($D$52*Input!$H$79-$D$52*Input!$H$79*Input!$H$145*(Q43-1),0)),0)</f>
        <v>264.075</v>
      </c>
      <c r="R87" s="48" t="n">
        <f aca="false">IF(AND(R42=1,R43&lt;=ROUNDUP(1/Input!$H$145,0)),MIN($D$52*Input!$H$79*Input!$H$145,MAX($D$52*Input!$H$79-$D$52*Input!$H$79*Input!$H$145*(R43-1),0)),0)</f>
        <v>264.075</v>
      </c>
      <c r="S87" s="48" t="n">
        <f aca="false">IF(AND(S42=1,S43&lt;=ROUNDUP(1/Input!$H$145,0)),MIN($D$52*Input!$H$79*Input!$H$145,MAX($D$52*Input!$H$79-$D$52*Input!$H$79*Input!$H$145*(S43-1),0)),0)</f>
        <v>264.075</v>
      </c>
      <c r="T87" s="48" t="n">
        <f aca="false">IF(AND(T42=1,T43&lt;=ROUNDUP(1/Input!$H$145,0)),MIN($D$52*Input!$H$79*Input!$H$145,MAX($D$52*Input!$H$79-$D$52*Input!$H$79*Input!$H$145*(T43-1),0)),0)</f>
        <v>264.075</v>
      </c>
      <c r="U87" s="48" t="n">
        <f aca="false">IF(AND(U42=1,U43&lt;=ROUNDUP(1/Input!$H$145,0)),MIN($D$52*Input!$H$79*Input!$H$145,MAX($D$52*Input!$H$79-$D$52*Input!$H$79*Input!$H$145*(U43-1),0)),0)</f>
        <v>264.075</v>
      </c>
      <c r="V87" s="48" t="n">
        <f aca="false">IF(AND(V42=1,V43&lt;=ROUNDUP(1/Input!$H$145,0)),MIN($D$52*Input!$H$79*Input!$H$145,MAX($D$52*Input!$H$79-$D$52*Input!$H$79*Input!$H$145*(V43-1),0)),0)</f>
        <v>264.075</v>
      </c>
      <c r="W87" s="48" t="n">
        <f aca="false">IF(AND(W42=1,W43&lt;=ROUNDUP(1/Input!$H$145,0)),MIN($D$52*Input!$H$79*Input!$H$145,MAX($D$52*Input!$H$79-$D$52*Input!$H$79*Input!$H$145*(W43-1),0)),0)</f>
        <v>264.075</v>
      </c>
      <c r="X87" s="48" t="n">
        <f aca="false">IF(AND(X42=1,X43&lt;=ROUNDUP(1/Input!$H$145,0)),MIN($D$52*Input!$H$79*Input!$H$145,MAX($D$52*Input!$H$79-$D$52*Input!$H$79*Input!$H$145*(X43-1),0)),0)</f>
        <v>264.075</v>
      </c>
      <c r="Y87" s="48" t="n">
        <f aca="false">IF(AND(Y42=1,Y43&lt;=ROUNDUP(1/Input!$H$145,0)),MIN($D$52*Input!$H$79*Input!$H$145,MAX($D$52*Input!$H$79-$D$52*Input!$H$79*Input!$H$145*(Y43-1),0)),0)</f>
        <v>264.075</v>
      </c>
      <c r="Z87" s="48" t="n">
        <f aca="false">IF(AND(Z42=1,Z43&lt;=ROUNDUP(1/Input!$H$145,0)),MIN($D$52*Input!$H$79*Input!$H$145,MAX($D$52*Input!$H$79-$D$52*Input!$H$79*Input!$H$145*(Z43-1),0)),0)</f>
        <v>264.075</v>
      </c>
      <c r="AA87" s="48" t="n">
        <f aca="false">IF(AND(AA42=1,AA43&lt;=ROUNDUP(1/Input!$H$145,0)),MIN($D$52*Input!$H$79*Input!$H$145,MAX($D$52*Input!$H$79-$D$52*Input!$H$79*Input!$H$145*(AA43-1),0)),0)</f>
        <v>264.075</v>
      </c>
      <c r="AB87" s="48" t="n">
        <f aca="false">IF(AND(AB42=1,AB43&lt;=ROUNDUP(1/Input!$H$145,0)),MIN($D$52*Input!$H$79*Input!$H$145,MAX($D$52*Input!$H$79-$D$52*Input!$H$79*Input!$H$145*(AB43-1),0)),0)</f>
        <v>264.075</v>
      </c>
      <c r="AC87" s="48" t="n">
        <f aca="false">IF(AND(AC42=1,AC43&lt;=ROUNDUP(1/Input!$H$145,0)),MIN($D$52*Input!$H$79*Input!$H$145,MAX($D$52*Input!$H$79-$D$52*Input!$H$79*Input!$H$145*(AC43-1),0)),0)</f>
        <v>75.4499999999994</v>
      </c>
      <c r="AD87" s="48" t="n">
        <f aca="false">IF(AND(AD42=1,AD43&lt;=ROUNDUP(1/Input!$H$145,0)),MIN($D$52*Input!$H$79*Input!$H$145,MAX($D$52*Input!$H$79-$D$52*Input!$H$79*Input!$H$145*(AD43-1),0)),0)</f>
        <v>0</v>
      </c>
      <c r="AE87" s="48" t="n">
        <f aca="false">IF(AND(AE42=1,AE43&lt;=ROUNDUP(1/Input!$H$145,0)),MIN($D$52*Input!$H$79*Input!$H$145,MAX($D$52*Input!$H$79-$D$52*Input!$H$79*Input!$H$145*(AE43-1),0)),0)</f>
        <v>0</v>
      </c>
      <c r="AF87" s="48" t="n">
        <f aca="false">IF(AND(AF42=1,AF43&lt;=ROUNDUP(1/Input!$H$145,0)),MIN($D$52*Input!$H$79*Input!$H$145,MAX($D$52*Input!$H$79-$D$52*Input!$H$79*Input!$H$145*(AF43-1),0)),0)</f>
        <v>0</v>
      </c>
      <c r="AG87" s="48" t="n">
        <f aca="false">IF(AND(AG42=1,AG43&lt;=ROUNDUP(1/Input!$H$145,0)),MIN($D$52*Input!$H$79*Input!$H$145,MAX($D$52*Input!$H$79-$D$52*Input!$H$79*Input!$H$145*(AG43-1),0)),0)</f>
        <v>0</v>
      </c>
      <c r="AH87" s="48" t="n">
        <f aca="false">IF(AND(AH42=1,AH43&lt;=ROUNDUP(1/Input!$H$145,0)),MIN($D$52*Input!$H$79*Input!$H$145,MAX($D$52*Input!$H$79-$D$52*Input!$H$79*Input!$H$145*(AH43-1),0)),0)</f>
        <v>0</v>
      </c>
      <c r="AI87" s="48" t="n">
        <f aca="false">IF(AND(AI42=1,AI43&lt;=ROUNDUP(1/Input!$H$145,0)),MIN($D$52*Input!$H$79*Input!$H$145,MAX($D$52*Input!$H$79-$D$52*Input!$H$79*Input!$H$145*(AI43-1),0)),0)</f>
        <v>0</v>
      </c>
      <c r="AJ87" s="48" t="n">
        <f aca="false">IF(AND(AJ42=1,AJ43&lt;=ROUNDUP(1/Input!$H$145,0)),MIN($D$52*Input!$H$79*Input!$H$145,MAX($D$52*Input!$H$79-$D$52*Input!$H$79*Input!$H$145*(AJ43-1),0)),0)</f>
        <v>0</v>
      </c>
      <c r="AK87" s="48" t="n">
        <f aca="false">IF(AND(AK42=1,AK43&lt;=ROUNDUP(1/Input!$H$145,0)),MIN($D$52*Input!$H$79*Input!$H$145,MAX($D$52*Input!$H$79-$D$52*Input!$H$79*Input!$H$145*(AK43-1),0)),0)</f>
        <v>0</v>
      </c>
      <c r="AL87" s="48" t="n">
        <f aca="false">IF(AND(AL42=1,AL43&lt;=ROUNDUP(1/Input!$H$145,0)),MIN($D$52*Input!$H$79*Input!$H$145,MAX($D$52*Input!$H$79-$D$52*Input!$H$79*Input!$H$145*(AL43-1),0)),0)</f>
        <v>0</v>
      </c>
      <c r="AM87" s="48" t="n">
        <f aca="false">IF(AND(AM42=1,AM43&lt;=ROUNDUP(1/Input!$H$145,0)),MIN($D$52*Input!$H$79*Input!$H$145,MAX($D$52*Input!$H$79-$D$52*Input!$H$79*Input!$H$145*(AM43-1),0)),0)</f>
        <v>0</v>
      </c>
      <c r="AN87" s="48" t="n">
        <f aca="false">IF(AND(AN42=1,AN43&lt;=ROUNDUP(1/Input!$H$145,0)),MIN($D$52*Input!$H$79*Input!$H$145,MAX($D$52*Input!$H$79-$D$52*Input!$H$79*Input!$H$145*(AN43-1),0)),0)</f>
        <v>0</v>
      </c>
      <c r="AO87" s="48" t="n">
        <f aca="false">IF(AND(AO42=1,AO43&lt;=ROUNDUP(1/Input!$H$145,0)),MIN($D$52*Input!$H$79*Input!$H$145,MAX($D$52*Input!$H$79-$D$52*Input!$H$79*Input!$H$145*(AO43-1),0)),0)</f>
        <v>0</v>
      </c>
      <c r="AP87" s="48" t="n">
        <f aca="false">IF(AND(AP42=1,AP43&lt;=ROUNDUP(1/Input!$H$145,0)),MIN($D$52*Input!$H$79*Input!$H$145,MAX($D$52*Input!$H$79-$D$52*Input!$H$79*Input!$H$145*(AP43-1),0)),0)</f>
        <v>0</v>
      </c>
      <c r="AQ87" s="48" t="n">
        <f aca="false">IF(AND(AQ42=1,AQ43&lt;=ROUNDUP(1/Input!$H$145,0)),MIN($D$52*Input!$H$79*Input!$H$145,MAX($D$52*Input!$H$79-$D$52*Input!$H$79*Input!$H$145*(AQ43-1),0)),0)</f>
        <v>0</v>
      </c>
      <c r="AR87" s="48" t="n">
        <f aca="false">IF(AND(AR42=1,AR43&lt;=ROUNDUP(1/Input!$H$145,0)),MIN($D$52*Input!$H$79*Input!$H$145,MAX($D$52*Input!$H$79-$D$52*Input!$H$79*Input!$H$145*(AR43-1),0)),0)</f>
        <v>0</v>
      </c>
      <c r="AS87" s="48" t="n">
        <f aca="false">IF(AND(AS42=1,AS43&lt;=ROUNDUP(1/Input!$H$145,0)),MIN($D$52*Input!$H$79*Input!$H$145,MAX($D$52*Input!$H$79-$D$52*Input!$H$79*Input!$H$145*(AS43-1),0)),0)</f>
        <v>0</v>
      </c>
      <c r="AT87" s="48" t="n">
        <f aca="false">IF(AND(AT42=1,AT43&lt;=ROUNDUP(1/Input!$H$145,0)),MIN($D$52*Input!$H$79*Input!$H$145,MAX($D$52*Input!$H$79-$D$52*Input!$H$79*Input!$H$145*(AT43-1),0)),0)</f>
        <v>0</v>
      </c>
      <c r="AU87" s="48" t="n">
        <f aca="false">IF(AND(AU42=1,AU43&lt;=ROUNDUP(1/Input!$H$145,0)),MIN($D$52*Input!$H$79*Input!$H$145,MAX($D$52*Input!$H$79-$D$52*Input!$H$79*Input!$H$145*(AU43-1),0)),0)</f>
        <v>0</v>
      </c>
      <c r="AV87" s="48" t="n">
        <f aca="false">IF(AND(AV42=1,AV43&lt;=ROUNDUP(1/Input!$H$145,0)),MIN($D$52*Input!$H$79*Input!$H$145,MAX($D$52*Input!$H$79-$D$52*Input!$H$79*Input!$H$145*(AV43-1),0)),0)</f>
        <v>0</v>
      </c>
      <c r="AW87" s="48" t="n">
        <f aca="false">IF(AND(AW42=1,AW43&lt;=ROUNDUP(1/Input!$H$145,0)),MIN($D$52*Input!$H$79*Input!$H$145,MAX($D$52*Input!$H$79-$D$52*Input!$H$79*Input!$H$145*(AW43-1),0)),0)</f>
        <v>0</v>
      </c>
      <c r="AX87" s="48" t="n">
        <f aca="false">IF(AND(AX42=1,AX43&lt;=ROUNDUP(1/Input!$H$145,0)),MIN($D$52*Input!$H$79*Input!$H$145,MAX($D$52*Input!$H$79-$D$52*Input!$H$79*Input!$H$145*(AX43-1),0)),0)</f>
        <v>0</v>
      </c>
      <c r="AY87" s="48" t="n">
        <f aca="false">IF(AND(AY42=1,AY43&lt;=ROUNDUP(1/Input!$H$145,0)),MIN($D$52*Input!$H$79*Input!$H$145,MAX($D$52*Input!$H$79-$D$52*Input!$H$79*Input!$H$145*(AY43-1),0)),0)</f>
        <v>0</v>
      </c>
      <c r="AZ87" s="48" t="n">
        <f aca="false">IF(AND(AZ42=1,AZ43&lt;=ROUNDUP(1/Input!$H$145,0)),MIN($D$52*Input!$H$79*Input!$H$145,MAX($D$52*Input!$H$79-$D$52*Input!$H$79*Input!$H$145*(AZ43-1),0)),0)</f>
        <v>0</v>
      </c>
      <c r="BA87" s="48" t="n">
        <f aca="false">IF(AND(BA42=1,BA43&lt;=ROUNDUP(1/Input!$H$145,0)),MIN($D$52*Input!$H$79*Input!$H$145,MAX($D$52*Input!$H$79-$D$52*Input!$H$79*Input!$H$145*(BA43-1),0)),0)</f>
        <v>0</v>
      </c>
      <c r="BB87" s="48" t="n">
        <f aca="false">IF(AND(BB42=1,BB43&lt;=ROUNDUP(1/Input!$H$145,0)),MIN($D$52*Input!$H$79*Input!$H$145,MAX($D$52*Input!$H$79-$D$52*Input!$H$79*Input!$H$145*(BB43-1),0)),0)</f>
        <v>0</v>
      </c>
      <c r="BC87" s="48" t="n">
        <f aca="false">IF(AND(BC42=1,BC43&lt;=ROUNDUP(1/Input!$H$145,0)),MIN($D$52*Input!$H$79*Input!$H$145,MAX($D$52*Input!$H$79-$D$52*Input!$H$79*Input!$H$145*(BC43-1),0)),0)</f>
        <v>0</v>
      </c>
      <c r="BD87" s="48" t="n">
        <f aca="false">IF(AND(BD42=1,BD43&lt;=ROUNDUP(1/Input!$H$145,0)),MIN($D$52*Input!$H$79*Input!$H$145,MAX($D$52*Input!$H$79-$D$52*Input!$H$79*Input!$H$145*(BD43-1),0)),0)</f>
        <v>0</v>
      </c>
      <c r="BE87" s="48" t="n">
        <f aca="false">IF(AND(BE42=1,BE43&lt;=ROUNDUP(1/Input!$H$145,0)),MIN($D$52*Input!$H$79*Input!$H$145,MAX($D$52*Input!$H$79-$D$52*Input!$H$79*Input!$H$145*(BE43-1),0)),0)</f>
        <v>0</v>
      </c>
      <c r="BF87" s="48" t="n">
        <f aca="false">IF(AND(BF42=1,BF43&lt;=ROUNDUP(1/Input!$H$145,0)),MIN($D$52*Input!$H$79*Input!$H$145,MAX($D$52*Input!$H$79-$D$52*Input!$H$79*Input!$H$145*(BF43-1),0)),0)</f>
        <v>0</v>
      </c>
      <c r="BG87" s="48" t="n">
        <f aca="false">IF(AND(BG42=1,BG43&lt;=ROUNDUP(1/Input!$H$145,0)),MIN($D$52*Input!$H$79*Input!$H$145,MAX($D$52*Input!$H$79-$D$52*Input!$H$79*Input!$H$145*(BG43-1),0)),0)</f>
        <v>0</v>
      </c>
      <c r="BH87" s="48" t="n">
        <f aca="false">IF(AND(BH42=1,BH43&lt;=ROUNDUP(1/Input!$H$145,0)),MIN($D$52*Input!$H$79*Input!$H$145,MAX($D$52*Input!$H$79-$D$52*Input!$H$79*Input!$H$145*(BH43-1),0)),0)</f>
        <v>0</v>
      </c>
      <c r="BI87" s="48" t="n">
        <f aca="false">IF(AND(BI42=1,BI43&lt;=ROUNDUP(1/Input!$H$145,0)),MIN($D$52*Input!$H$79*Input!$H$145,MAX($D$52*Input!$H$79-$D$52*Input!$H$79*Input!$H$145*(BI43-1),0)),0)</f>
        <v>0</v>
      </c>
      <c r="BJ87" s="48" t="n">
        <f aca="false">IF(AND(BJ42=1,BJ43&lt;=ROUNDUP(1/Input!$H$145,0)),MIN($D$52*Input!$H$79*Input!$H$145,MAX($D$52*Input!$H$79-$D$52*Input!$H$79*Input!$H$145*(BJ43-1),0)),0)</f>
        <v>0</v>
      </c>
      <c r="BK87" s="48" t="n">
        <f aca="false">IF(AND(BK42=1,BK43&lt;=ROUNDUP(1/Input!$H$145,0)),MIN($D$52*Input!$H$79*Input!$H$145,MAX($D$52*Input!$H$79-$D$52*Input!$H$79*Input!$H$145*(BK43-1),0)),0)</f>
        <v>0</v>
      </c>
      <c r="BL87" s="48" t="n">
        <f aca="false">IF(AND(BL42=1,BL43&lt;=ROUNDUP(1/Input!$H$145,0)),MIN($D$52*Input!$H$79*Input!$H$145,MAX($D$52*Input!$H$79-$D$52*Input!$H$79*Input!$H$145*(BL43-1),0)),0)</f>
        <v>0</v>
      </c>
      <c r="BM87" s="48" t="n">
        <f aca="false">IF(AND(BM42=1,BM43&lt;=ROUNDUP(1/Input!$H$145,0)),MIN($D$52*Input!$H$79*Input!$H$145,MAX($D$52*Input!$H$79-$D$52*Input!$H$79*Input!$H$145*(BM43-1),0)),0)</f>
        <v>0</v>
      </c>
      <c r="BN87" s="48" t="n">
        <f aca="false">IF(AND(BN42=1,BN43&lt;=ROUNDUP(1/Input!$H$145,0)),MIN($D$52*Input!$H$79*Input!$H$145,MAX($D$52*Input!$H$79-$D$52*Input!$H$79*Input!$H$145*(BN43-1),0)),0)</f>
        <v>0</v>
      </c>
      <c r="BO87" s="48" t="n">
        <f aca="false">IF(AND(BO42=1,BO43&lt;=ROUNDUP(1/Input!$H$145,0)),MIN($D$52*Input!$H$79*Input!$H$145,MAX($D$52*Input!$H$79-$D$52*Input!$H$79*Input!$H$145*(BO43-1),0)),0)</f>
        <v>0</v>
      </c>
      <c r="BP87" s="48" t="n">
        <f aca="false">IF(AND(BP42=1,BP43&lt;=ROUNDUP(1/Input!$H$145,0)),MIN($D$52*Input!$H$79*Input!$H$145,MAX($D$52*Input!$H$79-$D$52*Input!$H$79*Input!$H$145*(BP43-1),0)),0)</f>
        <v>0</v>
      </c>
      <c r="BQ87" s="48" t="n">
        <f aca="false">IF(AND(BQ42=1,BQ43&lt;=ROUNDUP(1/Input!$H$145,0)),MIN($D$52*Input!$H$79*Input!$H$145,MAX($D$52*Input!$H$79-$D$52*Input!$H$79*Input!$H$145*(BQ43-1),0)),0)</f>
        <v>0</v>
      </c>
      <c r="BR87" s="48" t="n">
        <f aca="false">IF(AND(BR42=1,BR43&lt;=ROUNDUP(1/Input!$H$145,0)),MIN($D$52*Input!$H$79*Input!$H$145,MAX($D$52*Input!$H$79-$D$52*Input!$H$79*Input!$H$145*(BR43-1),0)),0)</f>
        <v>0</v>
      </c>
      <c r="BS87" s="48" t="n">
        <f aca="false">IF(AND(BS42=1,BS43&lt;=ROUNDUP(1/Input!$H$145,0)),MIN($D$52*Input!$H$79*Input!$H$145,MAX($D$52*Input!$H$79-$D$52*Input!$H$79*Input!$H$145*(BS43-1),0)),0)</f>
        <v>0</v>
      </c>
      <c r="BT87" s="48" t="n">
        <f aca="false">IF(AND(BT42=1,BT43&lt;=ROUNDUP(1/Input!$H$145,0)),MIN($D$52*Input!$H$79*Input!$H$145,MAX($D$52*Input!$H$79-$D$52*Input!$H$79*Input!$H$145*(BT43-1),0)),0)</f>
        <v>0</v>
      </c>
      <c r="BU87" s="48" t="n">
        <f aca="false">IF(AND(BU42=1,BU43&lt;=ROUNDUP(1/Input!$H$145,0)),MIN($D$52*Input!$H$79*Input!$H$145,MAX($D$52*Input!$H$79-$D$52*Input!$H$79*Input!$H$145*(BU43-1),0)),0)</f>
        <v>0</v>
      </c>
      <c r="BV87" s="48" t="n">
        <f aca="false">IF(AND(BV42=1,BV43&lt;=ROUNDUP(1/Input!$H$145,0)),MIN($D$52*Input!$H$79*Input!$H$145,MAX($D$52*Input!$H$79-$D$52*Input!$H$79*Input!$H$145*(BV43-1),0)),0)</f>
        <v>0</v>
      </c>
      <c r="BW87" s="48" t="n">
        <f aca="false">IF(AND(BW42=1,BW43&lt;=ROUNDUP(1/Input!$H$145,0)),MIN($D$52*Input!$H$79*Input!$H$145,MAX($D$52*Input!$H$79-$D$52*Input!$H$79*Input!$H$145*(BW43-1),0)),0)</f>
        <v>0</v>
      </c>
      <c r="BX87" s="48" t="n">
        <f aca="false">IF(AND(BX42=1,BX43&lt;=ROUNDUP(1/Input!$H$145,0)),MIN($D$52*Input!$H$79*Input!$H$145,MAX($D$52*Input!$H$79-$D$52*Input!$H$79*Input!$H$145*(BX43-1),0)),0)</f>
        <v>0</v>
      </c>
    </row>
    <row r="88" customFormat="false" ht="15" hidden="false" customHeight="false" outlineLevel="0" collapsed="false">
      <c r="A88" s="1"/>
      <c r="B88" s="8" t="s">
        <v>352</v>
      </c>
      <c r="C88" s="8" t="s">
        <v>126</v>
      </c>
      <c r="D88" s="44" t="n">
        <f aca="false">SUM(G88:BX88)</f>
        <v>1257.5</v>
      </c>
      <c r="E88" s="1"/>
      <c r="F88" s="1"/>
      <c r="G88" s="48" t="n">
        <f aca="false">IF(AND(G42=1,G43&lt;=ROUNDUP(1/Input!$H$146,0)),MIN($D$52*Input!$H$80*Input!$H$146,MAX($D$52*Input!$H$80-$D$52*Input!$H$80*Input!$H$146*(G43-1),0)),0)</f>
        <v>0</v>
      </c>
      <c r="H88" s="48" t="n">
        <f aca="false">IF(AND(H42=1,H43&lt;=ROUNDUP(1/Input!$H$146,0)),MIN($D$52*Input!$H$80*Input!$H$146,MAX($D$52*Input!$H$80-$D$52*Input!$H$80*Input!$H$146*(H43-1),0)),0)</f>
        <v>0</v>
      </c>
      <c r="I88" s="48" t="n">
        <f aca="false">IF(AND(I42=1,I43&lt;=ROUNDUP(1/Input!$H$146,0)),MIN($D$52*Input!$H$80*Input!$H$146,MAX($D$52*Input!$H$80-$D$52*Input!$H$80*Input!$H$146*(I43-1),0)),0)</f>
        <v>0</v>
      </c>
      <c r="J88" s="48" t="n">
        <f aca="false">IF(AND(J42=1,J43&lt;=ROUNDUP(1/Input!$H$146,0)),MIN($D$52*Input!$H$80*Input!$H$146,MAX($D$52*Input!$H$80-$D$52*Input!$H$80*Input!$H$146*(J43-1),0)),0)</f>
        <v>0</v>
      </c>
      <c r="K88" s="48" t="n">
        <f aca="false">IF(AND(K42=1,K43&lt;=ROUNDUP(1/Input!$H$146,0)),MIN($D$52*Input!$H$80*Input!$H$146,MAX($D$52*Input!$H$80-$D$52*Input!$H$80*Input!$H$146*(K43-1),0)),0)</f>
        <v>0</v>
      </c>
      <c r="L88" s="48" t="n">
        <f aca="false">IF(AND(L42=1,L43&lt;=ROUNDUP(1/Input!$H$146,0)),MIN($D$52*Input!$H$80*Input!$H$146,MAX($D$52*Input!$H$80-$D$52*Input!$H$80*Input!$H$146*(L43-1),0)),0)</f>
        <v>0</v>
      </c>
      <c r="M88" s="48" t="n">
        <f aca="false">IF(AND(M42=1,M43&lt;=ROUNDUP(1/Input!$H$146,0)),MIN($D$52*Input!$H$80*Input!$H$146,MAX($D$52*Input!$H$80-$D$52*Input!$H$80*Input!$H$146*(M43-1),0)),0)</f>
        <v>0</v>
      </c>
      <c r="N88" s="48" t="n">
        <f aca="false">IF(AND(N42=1,N43&lt;=ROUNDUP(1/Input!$H$146,0)),MIN($D$52*Input!$H$80*Input!$H$146,MAX($D$52*Input!$H$80-$D$52*Input!$H$80*Input!$H$146*(N43-1),0)),0)</f>
        <v>0</v>
      </c>
      <c r="O88" s="48" t="n">
        <f aca="false">IF(AND(O42=1,O43&lt;=ROUNDUP(1/Input!$H$146,0)),MIN($D$52*Input!$H$80*Input!$H$146,MAX($D$52*Input!$H$80-$D$52*Input!$H$80*Input!$H$146*(O43-1),0)),0)</f>
        <v>125.75</v>
      </c>
      <c r="P88" s="48" t="n">
        <f aca="false">IF(AND(P42=1,P43&lt;=ROUNDUP(1/Input!$H$146,0)),MIN($D$52*Input!$H$80*Input!$H$146,MAX($D$52*Input!$H$80-$D$52*Input!$H$80*Input!$H$146*(P43-1),0)),0)</f>
        <v>125.75</v>
      </c>
      <c r="Q88" s="48" t="n">
        <f aca="false">IF(AND(Q42=1,Q43&lt;=ROUNDUP(1/Input!$H$146,0)),MIN($D$52*Input!$H$80*Input!$H$146,MAX($D$52*Input!$H$80-$D$52*Input!$H$80*Input!$H$146*(Q43-1),0)),0)</f>
        <v>125.75</v>
      </c>
      <c r="R88" s="48" t="n">
        <f aca="false">IF(AND(R42=1,R43&lt;=ROUNDUP(1/Input!$H$146,0)),MIN($D$52*Input!$H$80*Input!$H$146,MAX($D$52*Input!$H$80-$D$52*Input!$H$80*Input!$H$146*(R43-1),0)),0)</f>
        <v>125.75</v>
      </c>
      <c r="S88" s="48" t="n">
        <f aca="false">IF(AND(S42=1,S43&lt;=ROUNDUP(1/Input!$H$146,0)),MIN($D$52*Input!$H$80*Input!$H$146,MAX($D$52*Input!$H$80-$D$52*Input!$H$80*Input!$H$146*(S43-1),0)),0)</f>
        <v>125.75</v>
      </c>
      <c r="T88" s="48" t="n">
        <f aca="false">IF(AND(T42=1,T43&lt;=ROUNDUP(1/Input!$H$146,0)),MIN($D$52*Input!$H$80*Input!$H$146,MAX($D$52*Input!$H$80-$D$52*Input!$H$80*Input!$H$146*(T43-1),0)),0)</f>
        <v>125.75</v>
      </c>
      <c r="U88" s="48" t="n">
        <f aca="false">IF(AND(U42=1,U43&lt;=ROUNDUP(1/Input!$H$146,0)),MIN($D$52*Input!$H$80*Input!$H$146,MAX($D$52*Input!$H$80-$D$52*Input!$H$80*Input!$H$146*(U43-1),0)),0)</f>
        <v>125.75</v>
      </c>
      <c r="V88" s="48" t="n">
        <f aca="false">IF(AND(V42=1,V43&lt;=ROUNDUP(1/Input!$H$146,0)),MIN($D$52*Input!$H$80*Input!$H$146,MAX($D$52*Input!$H$80-$D$52*Input!$H$80*Input!$H$146*(V43-1),0)),0)</f>
        <v>125.75</v>
      </c>
      <c r="W88" s="48" t="n">
        <f aca="false">IF(AND(W42=1,W43&lt;=ROUNDUP(1/Input!$H$146,0)),MIN($D$52*Input!$H$80*Input!$H$146,MAX($D$52*Input!$H$80-$D$52*Input!$H$80*Input!$H$146*(W43-1),0)),0)</f>
        <v>125.75</v>
      </c>
      <c r="X88" s="48" t="n">
        <f aca="false">IF(AND(X42=1,X43&lt;=ROUNDUP(1/Input!$H$146,0)),MIN($D$52*Input!$H$80*Input!$H$146,MAX($D$52*Input!$H$80-$D$52*Input!$H$80*Input!$H$146*(X43-1),0)),0)</f>
        <v>125.75</v>
      </c>
      <c r="Y88" s="48" t="n">
        <f aca="false">IF(AND(Y42=1,Y43&lt;=ROUNDUP(1/Input!$H$146,0)),MIN($D$52*Input!$H$80*Input!$H$146,MAX($D$52*Input!$H$80-$D$52*Input!$H$80*Input!$H$146*(Y43-1),0)),0)</f>
        <v>0</v>
      </c>
      <c r="Z88" s="48" t="n">
        <f aca="false">IF(AND(Z42=1,Z43&lt;=ROUNDUP(1/Input!$H$146,0)),MIN($D$52*Input!$H$80*Input!$H$146,MAX($D$52*Input!$H$80-$D$52*Input!$H$80*Input!$H$146*(Z43-1),0)),0)</f>
        <v>0</v>
      </c>
      <c r="AA88" s="48" t="n">
        <f aca="false">IF(AND(AA42=1,AA43&lt;=ROUNDUP(1/Input!$H$146,0)),MIN($D$52*Input!$H$80*Input!$H$146,MAX($D$52*Input!$H$80-$D$52*Input!$H$80*Input!$H$146*(AA43-1),0)),0)</f>
        <v>0</v>
      </c>
      <c r="AB88" s="48" t="n">
        <f aca="false">IF(AND(AB42=1,AB43&lt;=ROUNDUP(1/Input!$H$146,0)),MIN($D$52*Input!$H$80*Input!$H$146,MAX($D$52*Input!$H$80-$D$52*Input!$H$80*Input!$H$146*(AB43-1),0)),0)</f>
        <v>0</v>
      </c>
      <c r="AC88" s="48" t="n">
        <f aca="false">IF(AND(AC42=1,AC43&lt;=ROUNDUP(1/Input!$H$146,0)),MIN($D$52*Input!$H$80*Input!$H$146,MAX($D$52*Input!$H$80-$D$52*Input!$H$80*Input!$H$146*(AC43-1),0)),0)</f>
        <v>0</v>
      </c>
      <c r="AD88" s="48" t="n">
        <f aca="false">IF(AND(AD42=1,AD43&lt;=ROUNDUP(1/Input!$H$146,0)),MIN($D$52*Input!$H$80*Input!$H$146,MAX($D$52*Input!$H$80-$D$52*Input!$H$80*Input!$H$146*(AD43-1),0)),0)</f>
        <v>0</v>
      </c>
      <c r="AE88" s="48" t="n">
        <f aca="false">IF(AND(AE42=1,AE43&lt;=ROUNDUP(1/Input!$H$146,0)),MIN($D$52*Input!$H$80*Input!$H$146,MAX($D$52*Input!$H$80-$D$52*Input!$H$80*Input!$H$146*(AE43-1),0)),0)</f>
        <v>0</v>
      </c>
      <c r="AF88" s="48" t="n">
        <f aca="false">IF(AND(AF42=1,AF43&lt;=ROUNDUP(1/Input!$H$146,0)),MIN($D$52*Input!$H$80*Input!$H$146,MAX($D$52*Input!$H$80-$D$52*Input!$H$80*Input!$H$146*(AF43-1),0)),0)</f>
        <v>0</v>
      </c>
      <c r="AG88" s="48" t="n">
        <f aca="false">IF(AND(AG42=1,AG43&lt;=ROUNDUP(1/Input!$H$146,0)),MIN($D$52*Input!$H$80*Input!$H$146,MAX($D$52*Input!$H$80-$D$52*Input!$H$80*Input!$H$146*(AG43-1),0)),0)</f>
        <v>0</v>
      </c>
      <c r="AH88" s="48" t="n">
        <f aca="false">IF(AND(AH42=1,AH43&lt;=ROUNDUP(1/Input!$H$146,0)),MIN($D$52*Input!$H$80*Input!$H$146,MAX($D$52*Input!$H$80-$D$52*Input!$H$80*Input!$H$146*(AH43-1),0)),0)</f>
        <v>0</v>
      </c>
      <c r="AI88" s="48" t="n">
        <f aca="false">IF(AND(AI42=1,AI43&lt;=ROUNDUP(1/Input!$H$146,0)),MIN($D$52*Input!$H$80*Input!$H$146,MAX($D$52*Input!$H$80-$D$52*Input!$H$80*Input!$H$146*(AI43-1),0)),0)</f>
        <v>0</v>
      </c>
      <c r="AJ88" s="48" t="n">
        <f aca="false">IF(AND(AJ42=1,AJ43&lt;=ROUNDUP(1/Input!$H$146,0)),MIN($D$52*Input!$H$80*Input!$H$146,MAX($D$52*Input!$H$80-$D$52*Input!$H$80*Input!$H$146*(AJ43-1),0)),0)</f>
        <v>0</v>
      </c>
      <c r="AK88" s="48" t="n">
        <f aca="false">IF(AND(AK42=1,AK43&lt;=ROUNDUP(1/Input!$H$146,0)),MIN($D$52*Input!$H$80*Input!$H$146,MAX($D$52*Input!$H$80-$D$52*Input!$H$80*Input!$H$146*(AK43-1),0)),0)</f>
        <v>0</v>
      </c>
      <c r="AL88" s="48" t="n">
        <f aca="false">IF(AND(AL42=1,AL43&lt;=ROUNDUP(1/Input!$H$146,0)),MIN($D$52*Input!$H$80*Input!$H$146,MAX($D$52*Input!$H$80-$D$52*Input!$H$80*Input!$H$146*(AL43-1),0)),0)</f>
        <v>0</v>
      </c>
      <c r="AM88" s="48" t="n">
        <f aca="false">IF(AND(AM42=1,AM43&lt;=ROUNDUP(1/Input!$H$146,0)),MIN($D$52*Input!$H$80*Input!$H$146,MAX($D$52*Input!$H$80-$D$52*Input!$H$80*Input!$H$146*(AM43-1),0)),0)</f>
        <v>0</v>
      </c>
      <c r="AN88" s="48" t="n">
        <f aca="false">IF(AND(AN42=1,AN43&lt;=ROUNDUP(1/Input!$H$146,0)),MIN($D$52*Input!$H$80*Input!$H$146,MAX($D$52*Input!$H$80-$D$52*Input!$H$80*Input!$H$146*(AN43-1),0)),0)</f>
        <v>0</v>
      </c>
      <c r="AO88" s="48" t="n">
        <f aca="false">IF(AND(AO42=1,AO43&lt;=ROUNDUP(1/Input!$H$146,0)),MIN($D$52*Input!$H$80*Input!$H$146,MAX($D$52*Input!$H$80-$D$52*Input!$H$80*Input!$H$146*(AO43-1),0)),0)</f>
        <v>0</v>
      </c>
      <c r="AP88" s="48" t="n">
        <f aca="false">IF(AND(AP42=1,AP43&lt;=ROUNDUP(1/Input!$H$146,0)),MIN($D$52*Input!$H$80*Input!$H$146,MAX($D$52*Input!$H$80-$D$52*Input!$H$80*Input!$H$146*(AP43-1),0)),0)</f>
        <v>0</v>
      </c>
      <c r="AQ88" s="48" t="n">
        <f aca="false">IF(AND(AQ42=1,AQ43&lt;=ROUNDUP(1/Input!$H$146,0)),MIN($D$52*Input!$H$80*Input!$H$146,MAX($D$52*Input!$H$80-$D$52*Input!$H$80*Input!$H$146*(AQ43-1),0)),0)</f>
        <v>0</v>
      </c>
      <c r="AR88" s="48" t="n">
        <f aca="false">IF(AND(AR42=1,AR43&lt;=ROUNDUP(1/Input!$H$146,0)),MIN($D$52*Input!$H$80*Input!$H$146,MAX($D$52*Input!$H$80-$D$52*Input!$H$80*Input!$H$146*(AR43-1),0)),0)</f>
        <v>0</v>
      </c>
      <c r="AS88" s="48" t="n">
        <f aca="false">IF(AND(AS42=1,AS43&lt;=ROUNDUP(1/Input!$H$146,0)),MIN($D$52*Input!$H$80*Input!$H$146,MAX($D$52*Input!$H$80-$D$52*Input!$H$80*Input!$H$146*(AS43-1),0)),0)</f>
        <v>0</v>
      </c>
      <c r="AT88" s="48" t="n">
        <f aca="false">IF(AND(AT42=1,AT43&lt;=ROUNDUP(1/Input!$H$146,0)),MIN($D$52*Input!$H$80*Input!$H$146,MAX($D$52*Input!$H$80-$D$52*Input!$H$80*Input!$H$146*(AT43-1),0)),0)</f>
        <v>0</v>
      </c>
      <c r="AU88" s="48" t="n">
        <f aca="false">IF(AND(AU42=1,AU43&lt;=ROUNDUP(1/Input!$H$146,0)),MIN($D$52*Input!$H$80*Input!$H$146,MAX($D$52*Input!$H$80-$D$52*Input!$H$80*Input!$H$146*(AU43-1),0)),0)</f>
        <v>0</v>
      </c>
      <c r="AV88" s="48" t="n">
        <f aca="false">IF(AND(AV42=1,AV43&lt;=ROUNDUP(1/Input!$H$146,0)),MIN($D$52*Input!$H$80*Input!$H$146,MAX($D$52*Input!$H$80-$D$52*Input!$H$80*Input!$H$146*(AV43-1),0)),0)</f>
        <v>0</v>
      </c>
      <c r="AW88" s="48" t="n">
        <f aca="false">IF(AND(AW42=1,AW43&lt;=ROUNDUP(1/Input!$H$146,0)),MIN($D$52*Input!$H$80*Input!$H$146,MAX($D$52*Input!$H$80-$D$52*Input!$H$80*Input!$H$146*(AW43-1),0)),0)</f>
        <v>0</v>
      </c>
      <c r="AX88" s="48" t="n">
        <f aca="false">IF(AND(AX42=1,AX43&lt;=ROUNDUP(1/Input!$H$146,0)),MIN($D$52*Input!$H$80*Input!$H$146,MAX($D$52*Input!$H$80-$D$52*Input!$H$80*Input!$H$146*(AX43-1),0)),0)</f>
        <v>0</v>
      </c>
      <c r="AY88" s="48" t="n">
        <f aca="false">IF(AND(AY42=1,AY43&lt;=ROUNDUP(1/Input!$H$146,0)),MIN($D$52*Input!$H$80*Input!$H$146,MAX($D$52*Input!$H$80-$D$52*Input!$H$80*Input!$H$146*(AY43-1),0)),0)</f>
        <v>0</v>
      </c>
      <c r="AZ88" s="48" t="n">
        <f aca="false">IF(AND(AZ42=1,AZ43&lt;=ROUNDUP(1/Input!$H$146,0)),MIN($D$52*Input!$H$80*Input!$H$146,MAX($D$52*Input!$H$80-$D$52*Input!$H$80*Input!$H$146*(AZ43-1),0)),0)</f>
        <v>0</v>
      </c>
      <c r="BA88" s="48" t="n">
        <f aca="false">IF(AND(BA42=1,BA43&lt;=ROUNDUP(1/Input!$H$146,0)),MIN($D$52*Input!$H$80*Input!$H$146,MAX($D$52*Input!$H$80-$D$52*Input!$H$80*Input!$H$146*(BA43-1),0)),0)</f>
        <v>0</v>
      </c>
      <c r="BB88" s="48" t="n">
        <f aca="false">IF(AND(BB42=1,BB43&lt;=ROUNDUP(1/Input!$H$146,0)),MIN($D$52*Input!$H$80*Input!$H$146,MAX($D$52*Input!$H$80-$D$52*Input!$H$80*Input!$H$146*(BB43-1),0)),0)</f>
        <v>0</v>
      </c>
      <c r="BC88" s="48" t="n">
        <f aca="false">IF(AND(BC42=1,BC43&lt;=ROUNDUP(1/Input!$H$146,0)),MIN($D$52*Input!$H$80*Input!$H$146,MAX($D$52*Input!$H$80-$D$52*Input!$H$80*Input!$H$146*(BC43-1),0)),0)</f>
        <v>0</v>
      </c>
      <c r="BD88" s="48" t="n">
        <f aca="false">IF(AND(BD42=1,BD43&lt;=ROUNDUP(1/Input!$H$146,0)),MIN($D$52*Input!$H$80*Input!$H$146,MAX($D$52*Input!$H$80-$D$52*Input!$H$80*Input!$H$146*(BD43-1),0)),0)</f>
        <v>0</v>
      </c>
      <c r="BE88" s="48" t="n">
        <f aca="false">IF(AND(BE42=1,BE43&lt;=ROUNDUP(1/Input!$H$146,0)),MIN($D$52*Input!$H$80*Input!$H$146,MAX($D$52*Input!$H$80-$D$52*Input!$H$80*Input!$H$146*(BE43-1),0)),0)</f>
        <v>0</v>
      </c>
      <c r="BF88" s="48" t="n">
        <f aca="false">IF(AND(BF42=1,BF43&lt;=ROUNDUP(1/Input!$H$146,0)),MIN($D$52*Input!$H$80*Input!$H$146,MAX($D$52*Input!$H$80-$D$52*Input!$H$80*Input!$H$146*(BF43-1),0)),0)</f>
        <v>0</v>
      </c>
      <c r="BG88" s="48" t="n">
        <f aca="false">IF(AND(BG42=1,BG43&lt;=ROUNDUP(1/Input!$H$146,0)),MIN($D$52*Input!$H$80*Input!$H$146,MAX($D$52*Input!$H$80-$D$52*Input!$H$80*Input!$H$146*(BG43-1),0)),0)</f>
        <v>0</v>
      </c>
      <c r="BH88" s="48" t="n">
        <f aca="false">IF(AND(BH42=1,BH43&lt;=ROUNDUP(1/Input!$H$146,0)),MIN($D$52*Input!$H$80*Input!$H$146,MAX($D$52*Input!$H$80-$D$52*Input!$H$80*Input!$H$146*(BH43-1),0)),0)</f>
        <v>0</v>
      </c>
      <c r="BI88" s="48" t="n">
        <f aca="false">IF(AND(BI42=1,BI43&lt;=ROUNDUP(1/Input!$H$146,0)),MIN($D$52*Input!$H$80*Input!$H$146,MAX($D$52*Input!$H$80-$D$52*Input!$H$80*Input!$H$146*(BI43-1),0)),0)</f>
        <v>0</v>
      </c>
      <c r="BJ88" s="48" t="n">
        <f aca="false">IF(AND(BJ42=1,BJ43&lt;=ROUNDUP(1/Input!$H$146,0)),MIN($D$52*Input!$H$80*Input!$H$146,MAX($D$52*Input!$H$80-$D$52*Input!$H$80*Input!$H$146*(BJ43-1),0)),0)</f>
        <v>0</v>
      </c>
      <c r="BK88" s="48" t="n">
        <f aca="false">IF(AND(BK42=1,BK43&lt;=ROUNDUP(1/Input!$H$146,0)),MIN($D$52*Input!$H$80*Input!$H$146,MAX($D$52*Input!$H$80-$D$52*Input!$H$80*Input!$H$146*(BK43-1),0)),0)</f>
        <v>0</v>
      </c>
      <c r="BL88" s="48" t="n">
        <f aca="false">IF(AND(BL42=1,BL43&lt;=ROUNDUP(1/Input!$H$146,0)),MIN($D$52*Input!$H$80*Input!$H$146,MAX($D$52*Input!$H$80-$D$52*Input!$H$80*Input!$H$146*(BL43-1),0)),0)</f>
        <v>0</v>
      </c>
      <c r="BM88" s="48" t="n">
        <f aca="false">IF(AND(BM42=1,BM43&lt;=ROUNDUP(1/Input!$H$146,0)),MIN($D$52*Input!$H$80*Input!$H$146,MAX($D$52*Input!$H$80-$D$52*Input!$H$80*Input!$H$146*(BM43-1),0)),0)</f>
        <v>0</v>
      </c>
      <c r="BN88" s="48" t="n">
        <f aca="false">IF(AND(BN42=1,BN43&lt;=ROUNDUP(1/Input!$H$146,0)),MIN($D$52*Input!$H$80*Input!$H$146,MAX($D$52*Input!$H$80-$D$52*Input!$H$80*Input!$H$146*(BN43-1),0)),0)</f>
        <v>0</v>
      </c>
      <c r="BO88" s="48" t="n">
        <f aca="false">IF(AND(BO42=1,BO43&lt;=ROUNDUP(1/Input!$H$146,0)),MIN($D$52*Input!$H$80*Input!$H$146,MAX($D$52*Input!$H$80-$D$52*Input!$H$80*Input!$H$146*(BO43-1),0)),0)</f>
        <v>0</v>
      </c>
      <c r="BP88" s="48" t="n">
        <f aca="false">IF(AND(BP42=1,BP43&lt;=ROUNDUP(1/Input!$H$146,0)),MIN($D$52*Input!$H$80*Input!$H$146,MAX($D$52*Input!$H$80-$D$52*Input!$H$80*Input!$H$146*(BP43-1),0)),0)</f>
        <v>0</v>
      </c>
      <c r="BQ88" s="48" t="n">
        <f aca="false">IF(AND(BQ42=1,BQ43&lt;=ROUNDUP(1/Input!$H$146,0)),MIN($D$52*Input!$H$80*Input!$H$146,MAX($D$52*Input!$H$80-$D$52*Input!$H$80*Input!$H$146*(BQ43-1),0)),0)</f>
        <v>0</v>
      </c>
      <c r="BR88" s="48" t="n">
        <f aca="false">IF(AND(BR42=1,BR43&lt;=ROUNDUP(1/Input!$H$146,0)),MIN($D$52*Input!$H$80*Input!$H$146,MAX($D$52*Input!$H$80-$D$52*Input!$H$80*Input!$H$146*(BR43-1),0)),0)</f>
        <v>0</v>
      </c>
      <c r="BS88" s="48" t="n">
        <f aca="false">IF(AND(BS42=1,BS43&lt;=ROUNDUP(1/Input!$H$146,0)),MIN($D$52*Input!$H$80*Input!$H$146,MAX($D$52*Input!$H$80-$D$52*Input!$H$80*Input!$H$146*(BS43-1),0)),0)</f>
        <v>0</v>
      </c>
      <c r="BT88" s="48" t="n">
        <f aca="false">IF(AND(BT42=1,BT43&lt;=ROUNDUP(1/Input!$H$146,0)),MIN($D$52*Input!$H$80*Input!$H$146,MAX($D$52*Input!$H$80-$D$52*Input!$H$80*Input!$H$146*(BT43-1),0)),0)</f>
        <v>0</v>
      </c>
      <c r="BU88" s="48" t="n">
        <f aca="false">IF(AND(BU42=1,BU43&lt;=ROUNDUP(1/Input!$H$146,0)),MIN($D$52*Input!$H$80*Input!$H$146,MAX($D$52*Input!$H$80-$D$52*Input!$H$80*Input!$H$146*(BU43-1),0)),0)</f>
        <v>0</v>
      </c>
      <c r="BV88" s="48" t="n">
        <f aca="false">IF(AND(BV42=1,BV43&lt;=ROUNDUP(1/Input!$H$146,0)),MIN($D$52*Input!$H$80*Input!$H$146,MAX($D$52*Input!$H$80-$D$52*Input!$H$80*Input!$H$146*(BV43-1),0)),0)</f>
        <v>0</v>
      </c>
      <c r="BW88" s="48" t="n">
        <f aca="false">IF(AND(BW42=1,BW43&lt;=ROUNDUP(1/Input!$H$146,0)),MIN($D$52*Input!$H$80*Input!$H$146,MAX($D$52*Input!$H$80-$D$52*Input!$H$80*Input!$H$146*(BW43-1),0)),0)</f>
        <v>0</v>
      </c>
      <c r="BX88" s="48" t="n">
        <f aca="false">IF(AND(BX42=1,BX43&lt;=ROUNDUP(1/Input!$H$146,0)),MIN($D$52*Input!$H$80*Input!$H$146,MAX($D$52*Input!$H$80-$D$52*Input!$H$80*Input!$H$146*(BX43-1),0)),0)</f>
        <v>0</v>
      </c>
    </row>
    <row r="89" customFormat="false" ht="15" hidden="false" customHeight="false" outlineLevel="0" collapsed="false">
      <c r="A89" s="1"/>
      <c r="B89" s="4" t="s">
        <v>353</v>
      </c>
      <c r="C89" s="8" t="s">
        <v>126</v>
      </c>
      <c r="D89" s="44" t="n">
        <f aca="false">SUM(G89:BX89)</f>
        <v>12575</v>
      </c>
      <c r="E89" s="1"/>
      <c r="F89" s="1"/>
      <c r="G89" s="44" t="n">
        <f aca="false">G84+G85+G86+G87+G88</f>
        <v>0</v>
      </c>
      <c r="H89" s="44" t="n">
        <f aca="false">H84+H85+H86+H87+H88</f>
        <v>0</v>
      </c>
      <c r="I89" s="44" t="n">
        <f aca="false">I84+I85+I86+I87+I88</f>
        <v>0</v>
      </c>
      <c r="J89" s="44" t="n">
        <f aca="false">J84+J85+J86+J87+J88</f>
        <v>0</v>
      </c>
      <c r="K89" s="44" t="n">
        <f aca="false">K84+K85+K86+K87+K88</f>
        <v>0</v>
      </c>
      <c r="L89" s="44" t="n">
        <f aca="false">L84+L85+L86+L87+L88</f>
        <v>0</v>
      </c>
      <c r="M89" s="44" t="n">
        <f aca="false">M84+M85+M86+M87+M88</f>
        <v>0</v>
      </c>
      <c r="N89" s="44" t="n">
        <f aca="false">N84+N85+N86+N87+N88</f>
        <v>0</v>
      </c>
      <c r="O89" s="44" t="n">
        <f aca="false">O84+O85+O86+O87+O88</f>
        <v>977.70625</v>
      </c>
      <c r="P89" s="44" t="n">
        <f aca="false">P84+P85+P86+P87+P88</f>
        <v>977.70625</v>
      </c>
      <c r="Q89" s="44" t="n">
        <f aca="false">Q84+Q85+Q86+Q87+Q88</f>
        <v>977.70625</v>
      </c>
      <c r="R89" s="44" t="n">
        <f aca="false">R84+R85+R86+R87+R88</f>
        <v>977.70625</v>
      </c>
      <c r="S89" s="44" t="n">
        <f aca="false">S84+S85+S86+S87+S88</f>
        <v>977.70625</v>
      </c>
      <c r="T89" s="44" t="n">
        <f aca="false">T84+T85+T86+T87+T88</f>
        <v>977.70625</v>
      </c>
      <c r="U89" s="44" t="n">
        <f aca="false">U84+U85+U86+U87+U88</f>
        <v>977.70625</v>
      </c>
      <c r="V89" s="44" t="n">
        <f aca="false">V84+V85+V86+V87+V88</f>
        <v>600.45625</v>
      </c>
      <c r="W89" s="44" t="n">
        <f aca="false">W84+W85+W86+W87+W88</f>
        <v>537.58125</v>
      </c>
      <c r="X89" s="44" t="n">
        <f aca="false">X84+X85+X86+X87+X88</f>
        <v>537.58125</v>
      </c>
      <c r="Y89" s="44" t="n">
        <f aca="false">Y84+Y85+Y86+Y87+Y88</f>
        <v>411.83125</v>
      </c>
      <c r="Z89" s="44" t="n">
        <f aca="false">Z84+Z85+Z86+Z87+Z88</f>
        <v>411.83125</v>
      </c>
      <c r="AA89" s="44" t="n">
        <f aca="false">AA84+AA85+AA86+AA87+AA88</f>
        <v>411.83125</v>
      </c>
      <c r="AB89" s="44" t="n">
        <f aca="false">AB84+AB85+AB86+AB87+AB88</f>
        <v>411.83125</v>
      </c>
      <c r="AC89" s="44" t="n">
        <f aca="false">AC84+AC85+AC86+AC87+AC88</f>
        <v>223.206249999999</v>
      </c>
      <c r="AD89" s="44" t="n">
        <f aca="false">AD84+AD85+AD86+AD87+AD88</f>
        <v>147.75625</v>
      </c>
      <c r="AE89" s="44" t="n">
        <f aca="false">AE84+AE85+AE86+AE87+AE88</f>
        <v>147.75625</v>
      </c>
      <c r="AF89" s="44" t="n">
        <f aca="false">AF84+AF85+AF86+AF87+AF88</f>
        <v>147.75625</v>
      </c>
      <c r="AG89" s="44" t="n">
        <f aca="false">AG84+AG85+AG86+AG87+AG88</f>
        <v>147.75625</v>
      </c>
      <c r="AH89" s="44" t="n">
        <f aca="false">AH84+AH85+AH86+AH87+AH88</f>
        <v>147.75625</v>
      </c>
      <c r="AI89" s="44" t="n">
        <f aca="false">AI84+AI85+AI86+AI87+AI88</f>
        <v>147.75625</v>
      </c>
      <c r="AJ89" s="44" t="n">
        <f aca="false">AJ84+AJ85+AJ86+AJ87+AJ88</f>
        <v>147.75625</v>
      </c>
      <c r="AK89" s="44" t="n">
        <f aca="false">AK84+AK85+AK86+AK87+AK88</f>
        <v>81.7375000000002</v>
      </c>
      <c r="AL89" s="44" t="n">
        <f aca="false">AL84+AL85+AL86+AL87+AL88</f>
        <v>62.875</v>
      </c>
      <c r="AM89" s="44" t="n">
        <f aca="false">AM84+AM85+AM86+AM87+AM88</f>
        <v>62.875</v>
      </c>
      <c r="AN89" s="44" t="n">
        <f aca="false">AN84+AN85+AN86+AN87+AN88</f>
        <v>62.875</v>
      </c>
      <c r="AO89" s="44" t="n">
        <f aca="false">AO84+AO85+AO86+AO87+AO88</f>
        <v>62.875</v>
      </c>
      <c r="AP89" s="44" t="n">
        <f aca="false">AP84+AP85+AP86+AP87+AP88</f>
        <v>62.875</v>
      </c>
      <c r="AQ89" s="44" t="n">
        <f aca="false">AQ84+AQ85+AQ86+AQ87+AQ88</f>
        <v>62.875</v>
      </c>
      <c r="AR89" s="44" t="n">
        <f aca="false">AR84+AR85+AR86+AR87+AR88</f>
        <v>62.875</v>
      </c>
      <c r="AS89" s="44" t="n">
        <f aca="false">AS84+AS85+AS86+AS87+AS88</f>
        <v>62.875</v>
      </c>
      <c r="AT89" s="44" t="n">
        <f aca="false">AT84+AT85+AT86+AT87+AT88</f>
        <v>62.875</v>
      </c>
      <c r="AU89" s="44" t="n">
        <f aca="false">AU84+AU85+AU86+AU87+AU88</f>
        <v>62.875</v>
      </c>
      <c r="AV89" s="44" t="n">
        <f aca="false">AV84+AV85+AV86+AV87+AV88</f>
        <v>62.875</v>
      </c>
      <c r="AW89" s="44" t="n">
        <f aca="false">AW84+AW85+AW86+AW87+AW88</f>
        <v>62.875</v>
      </c>
      <c r="AX89" s="44" t="n">
        <f aca="false">AX84+AX85+AX86+AX87+AX88</f>
        <v>62.875</v>
      </c>
      <c r="AY89" s="44" t="n">
        <f aca="false">AY84+AY85+AY86+AY87+AY88</f>
        <v>62.875</v>
      </c>
      <c r="AZ89" s="44" t="n">
        <f aca="false">AZ84+AZ85+AZ86+AZ87+AZ88</f>
        <v>62.875</v>
      </c>
      <c r="BA89" s="44" t="n">
        <f aca="false">BA84+BA85+BA86+BA87+BA88</f>
        <v>62.875</v>
      </c>
      <c r="BB89" s="44" t="n">
        <f aca="false">BB84+BB85+BB86+BB87+BB88</f>
        <v>62.875</v>
      </c>
      <c r="BC89" s="44" t="n">
        <f aca="false">BC84+BC85+BC86+BC87+BC88</f>
        <v>0</v>
      </c>
      <c r="BD89" s="44" t="n">
        <f aca="false">BD84+BD85+BD86+BD87+BD88</f>
        <v>0</v>
      </c>
      <c r="BE89" s="44" t="n">
        <f aca="false">BE84+BE85+BE86+BE87+BE88</f>
        <v>0</v>
      </c>
      <c r="BF89" s="44" t="n">
        <f aca="false">BF84+BF85+BF86+BF87+BF88</f>
        <v>0</v>
      </c>
      <c r="BG89" s="44" t="n">
        <f aca="false">BG84+BG85+BG86+BG87+BG88</f>
        <v>0</v>
      </c>
      <c r="BH89" s="44" t="n">
        <f aca="false">BH84+BH85+BH86+BH87+BH88</f>
        <v>0</v>
      </c>
      <c r="BI89" s="44" t="n">
        <f aca="false">BI84+BI85+BI86+BI87+BI88</f>
        <v>0</v>
      </c>
      <c r="BJ89" s="44" t="n">
        <f aca="false">BJ84+BJ85+BJ86+BJ87+BJ88</f>
        <v>0</v>
      </c>
      <c r="BK89" s="44" t="n">
        <f aca="false">BK84+BK85+BK86+BK87+BK88</f>
        <v>0</v>
      </c>
      <c r="BL89" s="44" t="n">
        <f aca="false">BL84+BL85+BL86+BL87+BL88</f>
        <v>0</v>
      </c>
      <c r="BM89" s="44" t="n">
        <f aca="false">BM84+BM85+BM86+BM87+BM88</f>
        <v>0</v>
      </c>
      <c r="BN89" s="44" t="n">
        <f aca="false">BN84+BN85+BN86+BN87+BN88</f>
        <v>0</v>
      </c>
      <c r="BO89" s="44" t="n">
        <f aca="false">BO84+BO85+BO86+BO87+BO88</f>
        <v>0</v>
      </c>
      <c r="BP89" s="44" t="n">
        <f aca="false">BP84+BP85+BP86+BP87+BP88</f>
        <v>0</v>
      </c>
      <c r="BQ89" s="44" t="n">
        <f aca="false">BQ84+BQ85+BQ86+BQ87+BQ88</f>
        <v>0</v>
      </c>
      <c r="BR89" s="44" t="n">
        <f aca="false">BR84+BR85+BR86+BR87+BR88</f>
        <v>0</v>
      </c>
      <c r="BS89" s="44" t="n">
        <f aca="false">BS84+BS85+BS86+BS87+BS88</f>
        <v>0</v>
      </c>
      <c r="BT89" s="44" t="n">
        <f aca="false">BT84+BT85+BT86+BT87+BT88</f>
        <v>0</v>
      </c>
      <c r="BU89" s="44" t="n">
        <f aca="false">BU84+BU85+BU86+BU87+BU88</f>
        <v>0</v>
      </c>
      <c r="BV89" s="44" t="n">
        <f aca="false">BV84+BV85+BV86+BV87+BV88</f>
        <v>0</v>
      </c>
      <c r="BW89" s="44" t="n">
        <f aca="false">BW84+BW85+BW86+BW87+BW88</f>
        <v>0</v>
      </c>
      <c r="BX89" s="44" t="n">
        <f aca="false">BX84+BX85+BX86+BX87+BX88</f>
        <v>0</v>
      </c>
    </row>
    <row r="90" customFormat="false" ht="15" hidden="false" customHeight="false" outlineLevel="0" collapsed="false">
      <c r="A90" s="1"/>
      <c r="B90" s="8" t="s">
        <v>354</v>
      </c>
      <c r="C90" s="8" t="s">
        <v>126</v>
      </c>
      <c r="D90" s="44" t="n">
        <f aca="false">SUM(G90:BX90)</f>
        <v>17375.5905722803</v>
      </c>
      <c r="E90" s="1"/>
      <c r="F90" s="1"/>
      <c r="G90" s="48" t="n">
        <f aca="false">G80-G89-G81</f>
        <v>0</v>
      </c>
      <c r="H90" s="48" t="n">
        <f aca="false">H80-H89-H81</f>
        <v>0</v>
      </c>
      <c r="I90" s="48" t="n">
        <f aca="false">I80-I89-I81</f>
        <v>0</v>
      </c>
      <c r="J90" s="48" t="n">
        <f aca="false">J80-J89-J81</f>
        <v>0</v>
      </c>
      <c r="K90" s="48" t="n">
        <f aca="false">K80-K89-K81</f>
        <v>0</v>
      </c>
      <c r="L90" s="48" t="n">
        <f aca="false">L80-L89-L81</f>
        <v>0</v>
      </c>
      <c r="M90" s="48" t="n">
        <f aca="false">M80-M89-M81</f>
        <v>0</v>
      </c>
      <c r="N90" s="48" t="n">
        <f aca="false">N80-N89-N81</f>
        <v>0</v>
      </c>
      <c r="O90" s="48" t="n">
        <f aca="false">O80-O89-O81</f>
        <v>-504.641250107673</v>
      </c>
      <c r="P90" s="48" t="n">
        <f aca="false">P80-P89-P81</f>
        <v>-547.312742484809</v>
      </c>
      <c r="Q90" s="48" t="n">
        <f aca="false">Q80-Q89-Q81</f>
        <v>-551.971134466803</v>
      </c>
      <c r="R90" s="48" t="n">
        <f aca="false">R80-R89-R81</f>
        <v>-414.912659464452</v>
      </c>
      <c r="S90" s="48" t="n">
        <f aca="false">S80-S89-S81</f>
        <v>-458.360581028363</v>
      </c>
      <c r="T90" s="48" t="n">
        <f aca="false">T80-T89-T81</f>
        <v>-463.16717885478</v>
      </c>
      <c r="U90" s="48" t="n">
        <f aca="false">U80-U89-U81</f>
        <v>-427.406170851846</v>
      </c>
      <c r="V90" s="48" t="n">
        <f aca="false">V80-V89-V81</f>
        <v>-90.7344955068576</v>
      </c>
      <c r="W90" s="48" t="n">
        <f aca="false">W80-W89-W81</f>
        <v>-30.2680548376473</v>
      </c>
      <c r="X90" s="48" t="n">
        <f aca="false">X80-X89-X81</f>
        <v>-54.8903950081808</v>
      </c>
      <c r="Y90" s="48" t="n">
        <f aca="false">Y80-Y89-Y81</f>
        <v>90.6669330408851</v>
      </c>
      <c r="Z90" s="48" t="n">
        <f aca="false">Z80-Z89-Z81</f>
        <v>88.2587944468449</v>
      </c>
      <c r="AA90" s="48" t="n">
        <f aca="false">AA80-AA89-AA81</f>
        <v>123.536986528573</v>
      </c>
      <c r="AB90" s="48" t="n">
        <f aca="false">AB80-AB89-AB81</f>
        <v>83.4438875725293</v>
      </c>
      <c r="AC90" s="48" t="n">
        <f aca="false">AC80-AC89-AC81</f>
        <v>269.663462450925</v>
      </c>
      <c r="AD90" s="48" t="n">
        <f aca="false">AD80-AD89-AD81</f>
        <v>380.147608122891</v>
      </c>
      <c r="AE90" s="48" t="n">
        <f aca="false">AE80-AE89-AE81</f>
        <v>342.698950419711</v>
      </c>
      <c r="AF90" s="48" t="n">
        <f aca="false">AF80-AF89-AF81</f>
        <v>342.688984554133</v>
      </c>
      <c r="AG90" s="48" t="n">
        <f aca="false">AG80-AG89-AG81</f>
        <v>380.227243794314</v>
      </c>
      <c r="AH90" s="48" t="n">
        <f aca="false">AH80-AH89-AH81</f>
        <v>311.615861797056</v>
      </c>
      <c r="AI90" s="48" t="n">
        <f aca="false">AI80-AI89-AI81</f>
        <v>342.663360519161</v>
      </c>
      <c r="AJ90" s="48" t="n">
        <f aca="false">AJ80-AJ89-AJ81</f>
        <v>380.307650976613</v>
      </c>
      <c r="AK90" s="48" t="n">
        <f aca="false">AK80-AK89-AK81</f>
        <v>408.665680343999</v>
      </c>
      <c r="AL90" s="48" t="n">
        <f aca="false">AL80-AL89-AL81</f>
        <v>427.519685152372</v>
      </c>
      <c r="AM90" s="48" t="n">
        <f aca="false">AM80-AM89-AM81</f>
        <v>465.269307544635</v>
      </c>
      <c r="AN90" s="48" t="n">
        <f aca="false">AN80-AN89-AN81</f>
        <v>427.502869247659</v>
      </c>
      <c r="AO90" s="48" t="n">
        <f aca="false">AO80-AO89-AO81</f>
        <v>427.494739967617</v>
      </c>
      <c r="AP90" s="48" t="n">
        <f aca="false">AP80-AP89-AP81</f>
        <v>465.323494280322</v>
      </c>
      <c r="AQ90" s="48" t="n">
        <f aca="false">AQ80-AQ89-AQ81</f>
        <v>427.494739967617</v>
      </c>
      <c r="AR90" s="48" t="n">
        <f aca="false">AR80-AR89-AR81</f>
        <v>396.162208161022</v>
      </c>
      <c r="AS90" s="48" t="n">
        <f aca="false">AS80-AS89-AS81</f>
        <v>465.323494280322</v>
      </c>
      <c r="AT90" s="48" t="n">
        <f aca="false">AT80-AT89-AT81</f>
        <v>427.494739967617</v>
      </c>
      <c r="AU90" s="48" t="n">
        <f aca="false">AU80-AU89-AU81</f>
        <v>427.494739967617</v>
      </c>
      <c r="AV90" s="48" t="n">
        <f aca="false">AV80-AV89-AV81</f>
        <v>465.323494280322</v>
      </c>
      <c r="AW90" s="48" t="n">
        <f aca="false">AW80-AW89-AW81</f>
        <v>427.494739967617</v>
      </c>
      <c r="AX90" s="48" t="n">
        <f aca="false">AX80-AX89-AX81</f>
        <v>427.494739967617</v>
      </c>
      <c r="AY90" s="48" t="n">
        <f aca="false">AY80-AY89-AY81</f>
        <v>465.323494280322</v>
      </c>
      <c r="AZ90" s="48" t="n">
        <f aca="false">AZ80-AZ89-AZ81</f>
        <v>427.494739967617</v>
      </c>
      <c r="BA90" s="48" t="n">
        <f aca="false">BA80-BA89-BA81</f>
        <v>427.494739967617</v>
      </c>
      <c r="BB90" s="48" t="n">
        <f aca="false">BB80-BB89-BB81</f>
        <v>405.261601740787</v>
      </c>
      <c r="BC90" s="48" t="n">
        <f aca="false">BC80-BC89-BC81</f>
        <v>490.369739967617</v>
      </c>
      <c r="BD90" s="48" t="n">
        <f aca="false">BD80-BD89-BD81</f>
        <v>490.369739967617</v>
      </c>
      <c r="BE90" s="48" t="n">
        <f aca="false">BE80-BE89-BE81</f>
        <v>528.198494280322</v>
      </c>
      <c r="BF90" s="48" t="n">
        <f aca="false">BF80-BF89-BF81</f>
        <v>490.369739967617</v>
      </c>
      <c r="BG90" s="48" t="n">
        <f aca="false">BG80-BG89-BG81</f>
        <v>490.369739967617</v>
      </c>
      <c r="BH90" s="48" t="n">
        <f aca="false">BH80-BH89-BH81</f>
        <v>528.198494280322</v>
      </c>
      <c r="BI90" s="48" t="n">
        <f aca="false">BI80-BI89-BI81</f>
        <v>490.369739967617</v>
      </c>
      <c r="BJ90" s="48" t="n">
        <f aca="false">BJ80-BJ89-BJ81</f>
        <v>490.369739967617</v>
      </c>
      <c r="BK90" s="48" t="n">
        <f aca="false">BK80-BK89-BK81</f>
        <v>528.198494280322</v>
      </c>
      <c r="BL90" s="48" t="n">
        <f aca="false">BL80-BL89-BL81</f>
        <v>459.037208161022</v>
      </c>
      <c r="BM90" s="48" t="n">
        <f aca="false">BM80-BM89-BM81</f>
        <v>490.369739967617</v>
      </c>
      <c r="BN90" s="48" t="n">
        <f aca="false">BN80-BN89-BN81</f>
        <v>528.198494280322</v>
      </c>
      <c r="BO90" s="48" t="n">
        <f aca="false">BO80-BO89-BO81</f>
        <v>490.369739967617</v>
      </c>
      <c r="BP90" s="48" t="n">
        <f aca="false">BP80-BP89-BP81</f>
        <v>490.369739967617</v>
      </c>
      <c r="BQ90" s="48" t="n">
        <f aca="false">BQ80-BQ89-BQ81</f>
        <v>528.198494280322</v>
      </c>
      <c r="BR90" s="48" t="n">
        <f aca="false">BR80-BR89-BR81</f>
        <v>490.369739967617</v>
      </c>
      <c r="BS90" s="48" t="n">
        <f aca="false">BS80-BS89-BS81</f>
        <v>490.369739967617</v>
      </c>
      <c r="BT90" s="48" t="n">
        <f aca="false">BT80-BT89-BT81</f>
        <v>528.198494280322</v>
      </c>
      <c r="BU90" s="48" t="n">
        <f aca="false">BU80-BU89-BU81</f>
        <v>490.369739967617</v>
      </c>
      <c r="BV90" s="48" t="n">
        <f aca="false">BV80-BV89-BV81</f>
        <v>459.037208161022</v>
      </c>
      <c r="BW90" s="48" t="n">
        <f aca="false">BW80-BW89-BW81</f>
        <v>0</v>
      </c>
      <c r="BX90" s="48" t="n">
        <f aca="false">BX80-BX89-BX81</f>
        <v>0</v>
      </c>
    </row>
    <row r="91" customFormat="false" ht="15" hidden="false" customHeight="false" outlineLevel="0" collapsed="false">
      <c r="A91" s="1"/>
      <c r="B91" s="8" t="s">
        <v>355</v>
      </c>
      <c r="C91" s="8" t="s">
        <v>126</v>
      </c>
      <c r="D91" s="1"/>
      <c r="E91" s="1"/>
      <c r="F91" s="1"/>
      <c r="G91" s="48" t="n">
        <f aca="false">0</f>
        <v>0</v>
      </c>
      <c r="H91" s="48" t="n">
        <f aca="false">IF(H90&gt;0,MIN(G92,0.5*H90),0)</f>
        <v>0</v>
      </c>
      <c r="I91" s="48" t="n">
        <f aca="false">IF(I90&gt;0,MIN(H92,0.5*I90),0)</f>
        <v>0</v>
      </c>
      <c r="J91" s="48" t="n">
        <f aca="false">IF(J90&gt;0,MIN(I92,0.5*J90),0)</f>
        <v>0</v>
      </c>
      <c r="K91" s="48" t="n">
        <f aca="false">IF(K90&gt;0,MIN(J92,0.5*K90),0)</f>
        <v>0</v>
      </c>
      <c r="L91" s="48" t="n">
        <f aca="false">IF(L90&gt;0,MIN(K92,0.5*L90),0)</f>
        <v>0</v>
      </c>
      <c r="M91" s="48" t="n">
        <f aca="false">IF(M90&gt;0,MIN(L92,0.5*M90),0)</f>
        <v>0</v>
      </c>
      <c r="N91" s="48" t="n">
        <f aca="false">IF(N90&gt;0,MIN(M92,0.5*N90),0)</f>
        <v>0</v>
      </c>
      <c r="O91" s="48" t="n">
        <f aca="false">IF(O90&gt;0,MIN(N92,0.5*O90),0)</f>
        <v>0</v>
      </c>
      <c r="P91" s="48" t="n">
        <f aca="false">IF(P90&gt;0,MIN(O92,0.5*P90),0)</f>
        <v>0</v>
      </c>
      <c r="Q91" s="48" t="n">
        <f aca="false">IF(Q90&gt;0,MIN(P92,0.5*Q90),0)</f>
        <v>0</v>
      </c>
      <c r="R91" s="48" t="n">
        <f aca="false">IF(R90&gt;0,MIN(Q92,0.5*R90),0)</f>
        <v>0</v>
      </c>
      <c r="S91" s="48" t="n">
        <f aca="false">IF(S90&gt;0,MIN(R92,0.5*S90),0)</f>
        <v>0</v>
      </c>
      <c r="T91" s="48" t="n">
        <f aca="false">IF(T90&gt;0,MIN(S92,0.5*T90),0)</f>
        <v>0</v>
      </c>
      <c r="U91" s="48" t="n">
        <f aca="false">IF(U90&gt;0,MIN(T92,0.5*U90),0)</f>
        <v>0</v>
      </c>
      <c r="V91" s="48" t="n">
        <f aca="false">IF(V90&gt;0,MIN(U92,0.5*V90),0)</f>
        <v>0</v>
      </c>
      <c r="W91" s="48" t="n">
        <f aca="false">IF(W90&gt;0,MIN(V92,0.5*W90),0)</f>
        <v>0</v>
      </c>
      <c r="X91" s="48" t="n">
        <f aca="false">IF(X90&gt;0,MIN(W92,0.5*X90),0)</f>
        <v>0</v>
      </c>
      <c r="Y91" s="48" t="n">
        <f aca="false">IF(Y90&gt;0,MIN(X92,0.5*Y90),0)</f>
        <v>45.3334665204426</v>
      </c>
      <c r="Z91" s="48" t="n">
        <f aca="false">IF(Z90&gt;0,MIN(Y92,0.5*Z90),0)</f>
        <v>44.1293972234224</v>
      </c>
      <c r="AA91" s="48" t="n">
        <f aca="false">IF(AA90&gt;0,MIN(Z92,0.5*AA90),0)</f>
        <v>61.7684932642866</v>
      </c>
      <c r="AB91" s="48" t="n">
        <f aca="false">IF(AB90&gt;0,MIN(AA92,0.5*AB90),0)</f>
        <v>41.7219437862647</v>
      </c>
      <c r="AC91" s="48" t="n">
        <f aca="false">IF(AC90&gt;0,MIN(AB92,0.5*AC90),0)</f>
        <v>134.831731225462</v>
      </c>
      <c r="AD91" s="48" t="n">
        <f aca="false">IF(AD90&gt;0,MIN(AC92,0.5*AD90),0)</f>
        <v>190.073804061446</v>
      </c>
      <c r="AE91" s="48" t="n">
        <f aca="false">IF(AE90&gt;0,MIN(AD92,0.5*AE90),0)</f>
        <v>171.349475209855</v>
      </c>
      <c r="AF91" s="48" t="n">
        <f aca="false">IF(AF90&gt;0,MIN(AE92,0.5*AF90),0)</f>
        <v>171.344492277066</v>
      </c>
      <c r="AG91" s="48" t="n">
        <f aca="false">IF(AG90&gt;0,MIN(AF92,0.5*AG90),0)</f>
        <v>190.113621897157</v>
      </c>
      <c r="AH91" s="48" t="n">
        <f aca="false">IF(AH90&gt;0,MIN(AG92,0.5*AH90),0)</f>
        <v>155.807930898528</v>
      </c>
      <c r="AI91" s="48" t="n">
        <f aca="false">IF(AI90&gt;0,MIN(AH92,0.5*AI90),0)</f>
        <v>171.33168025958</v>
      </c>
      <c r="AJ91" s="48" t="n">
        <f aca="false">IF(AJ90&gt;0,MIN(AI92,0.5*AJ90),0)</f>
        <v>190.153825488306</v>
      </c>
      <c r="AK91" s="48" t="n">
        <f aca="false">IF(AK90&gt;0,MIN(AJ92,0.5*AK90),0)</f>
        <v>204.332840171999</v>
      </c>
      <c r="AL91" s="48" t="n">
        <f aca="false">IF(AL90&gt;0,MIN(AK92,0.5*AL90),0)</f>
        <v>213.759842576186</v>
      </c>
      <c r="AM91" s="48" t="n">
        <f aca="false">IF(AM90&gt;0,MIN(AL92,0.5*AM90),0)</f>
        <v>232.634653772317</v>
      </c>
      <c r="AN91" s="48" t="n">
        <f aca="false">IF(AN90&gt;0,MIN(AM92,0.5*AN90),0)</f>
        <v>213.751434623829</v>
      </c>
      <c r="AO91" s="48" t="n">
        <f aca="false">IF(AO90&gt;0,MIN(AN92,0.5*AO90),0)</f>
        <v>213.747369983808</v>
      </c>
      <c r="AP91" s="48" t="n">
        <f aca="false">IF(AP90&gt;0,MIN(AO92,0.5*AP90),0)</f>
        <v>232.661747140161</v>
      </c>
      <c r="AQ91" s="48" t="n">
        <f aca="false">IF(AQ90&gt;0,MIN(AP92,0.5*AQ90),0)</f>
        <v>213.747369983808</v>
      </c>
      <c r="AR91" s="48" t="n">
        <f aca="false">IF(AR90&gt;0,MIN(AQ92,0.5*AR90),0)</f>
        <v>198.081104080511</v>
      </c>
      <c r="AS91" s="48" t="n">
        <f aca="false">IF(AS90&gt;0,MIN(AR92,0.5*AS90),0)</f>
        <v>232.661747140161</v>
      </c>
      <c r="AT91" s="48" t="n">
        <f aca="false">IF(AT90&gt;0,MIN(AS92,0.5*AT90),0)</f>
        <v>20.3266910268121</v>
      </c>
      <c r="AU91" s="48" t="n">
        <f aca="false">IF(AU90&gt;0,MIN(AT92,0.5*AU90),0)</f>
        <v>0</v>
      </c>
      <c r="AV91" s="48" t="n">
        <f aca="false">IF(AV90&gt;0,MIN(AU92,0.5*AV90),0)</f>
        <v>0</v>
      </c>
      <c r="AW91" s="48" t="n">
        <f aca="false">IF(AW90&gt;0,MIN(AV92,0.5*AW90),0)</f>
        <v>0</v>
      </c>
      <c r="AX91" s="48" t="n">
        <f aca="false">IF(AX90&gt;0,MIN(AW92,0.5*AX90),0)</f>
        <v>0</v>
      </c>
      <c r="AY91" s="48" t="n">
        <f aca="false">IF(AY90&gt;0,MIN(AX92,0.5*AY90),0)</f>
        <v>0</v>
      </c>
      <c r="AZ91" s="48" t="n">
        <f aca="false">IF(AZ90&gt;0,MIN(AY92,0.5*AZ90),0)</f>
        <v>0</v>
      </c>
      <c r="BA91" s="48" t="n">
        <f aca="false">IF(BA90&gt;0,MIN(AZ92,0.5*BA90),0)</f>
        <v>0</v>
      </c>
      <c r="BB91" s="48" t="n">
        <f aca="false">IF(BB90&gt;0,MIN(BA92,0.5*BB90),0)</f>
        <v>0</v>
      </c>
      <c r="BC91" s="48" t="n">
        <f aca="false">IF(BC90&gt;0,MIN(BB92,0.5*BC90),0)</f>
        <v>0</v>
      </c>
      <c r="BD91" s="48" t="n">
        <f aca="false">IF(BD90&gt;0,MIN(BC92,0.5*BD90),0)</f>
        <v>0</v>
      </c>
      <c r="BE91" s="48" t="n">
        <f aca="false">IF(BE90&gt;0,MIN(BD92,0.5*BE90),0)</f>
        <v>0</v>
      </c>
      <c r="BF91" s="48" t="n">
        <f aca="false">IF(BF90&gt;0,MIN(BE92,0.5*BF90),0)</f>
        <v>0</v>
      </c>
      <c r="BG91" s="48" t="n">
        <f aca="false">IF(BG90&gt;0,MIN(BF92,0.5*BG90),0)</f>
        <v>0</v>
      </c>
      <c r="BH91" s="48" t="n">
        <f aca="false">IF(BH90&gt;0,MIN(BG92,0.5*BH90),0)</f>
        <v>0</v>
      </c>
      <c r="BI91" s="48" t="n">
        <f aca="false">IF(BI90&gt;0,MIN(BH92,0.5*BI90),0)</f>
        <v>0</v>
      </c>
      <c r="BJ91" s="48" t="n">
        <f aca="false">IF(BJ90&gt;0,MIN(BI92,0.5*BJ90),0)</f>
        <v>0</v>
      </c>
      <c r="BK91" s="48" t="n">
        <f aca="false">IF(BK90&gt;0,MIN(BJ92,0.5*BK90),0)</f>
        <v>0</v>
      </c>
      <c r="BL91" s="48" t="n">
        <f aca="false">IF(BL90&gt;0,MIN(BK92,0.5*BL90),0)</f>
        <v>0</v>
      </c>
      <c r="BM91" s="48" t="n">
        <f aca="false">IF(BM90&gt;0,MIN(BL92,0.5*BM90),0)</f>
        <v>0</v>
      </c>
      <c r="BN91" s="48" t="n">
        <f aca="false">IF(BN90&gt;0,MIN(BM92,0.5*BN90),0)</f>
        <v>0</v>
      </c>
      <c r="BO91" s="48" t="n">
        <f aca="false">IF(BO90&gt;0,MIN(BN92,0.5*BO90),0)</f>
        <v>0</v>
      </c>
      <c r="BP91" s="48" t="n">
        <f aca="false">IF(BP90&gt;0,MIN(BO92,0.5*BP90),0)</f>
        <v>0</v>
      </c>
      <c r="BQ91" s="48" t="n">
        <f aca="false">IF(BQ90&gt;0,MIN(BP92,0.5*BQ90),0)</f>
        <v>0</v>
      </c>
      <c r="BR91" s="48" t="n">
        <f aca="false">IF(BR90&gt;0,MIN(BQ92,0.5*BR90),0)</f>
        <v>0</v>
      </c>
      <c r="BS91" s="48" t="n">
        <f aca="false">IF(BS90&gt;0,MIN(BR92,0.5*BS90),0)</f>
        <v>0</v>
      </c>
      <c r="BT91" s="48" t="n">
        <f aca="false">IF(BT90&gt;0,MIN(BS92,0.5*BT90),0)</f>
        <v>0</v>
      </c>
      <c r="BU91" s="48" t="n">
        <f aca="false">IF(BU90&gt;0,MIN(BT92,0.5*BU90),0)</f>
        <v>0</v>
      </c>
      <c r="BV91" s="48" t="n">
        <f aca="false">IF(BV90&gt;0,MIN(BU92,0.5*BV90),0)</f>
        <v>0</v>
      </c>
      <c r="BW91" s="48" t="n">
        <f aca="false">IF(BW90&gt;0,MIN(BV92,0.5*BW90),0)</f>
        <v>0</v>
      </c>
      <c r="BX91" s="48" t="n">
        <f aca="false">IF(BX90&gt;0,MIN(BW92,0.5*BX90),0)</f>
        <v>0</v>
      </c>
    </row>
    <row r="92" customFormat="false" ht="15" hidden="false" customHeight="false" outlineLevel="0" collapsed="false">
      <c r="A92" s="1"/>
      <c r="B92" s="8" t="s">
        <v>356</v>
      </c>
      <c r="C92" s="8" t="s">
        <v>126</v>
      </c>
      <c r="D92" s="1"/>
      <c r="E92" s="1"/>
      <c r="F92" s="1"/>
      <c r="G92" s="48" t="n">
        <f aca="false">MAX(-G90,0)</f>
        <v>0</v>
      </c>
      <c r="H92" s="48" t="n">
        <f aca="false">MAX(G92-H91+MAX(-H90,0),0)</f>
        <v>0</v>
      </c>
      <c r="I92" s="48" t="n">
        <f aca="false">MAX(H92-I91+MAX(-I90,0),0)</f>
        <v>0</v>
      </c>
      <c r="J92" s="48" t="n">
        <f aca="false">MAX(I92-J91+MAX(-J90,0),0)</f>
        <v>0</v>
      </c>
      <c r="K92" s="48" t="n">
        <f aca="false">MAX(J92-K91+MAX(-K90,0),0)</f>
        <v>0</v>
      </c>
      <c r="L92" s="48" t="n">
        <f aca="false">MAX(K92-L91+MAX(-L90,0),0)</f>
        <v>0</v>
      </c>
      <c r="M92" s="48" t="n">
        <f aca="false">MAX(L92-M91+MAX(-M90,0),0)</f>
        <v>0</v>
      </c>
      <c r="N92" s="48" t="n">
        <f aca="false">MAX(M92-N91+MAX(-N90,0),0)</f>
        <v>0</v>
      </c>
      <c r="O92" s="48" t="n">
        <f aca="false">MAX(N92-O91+MAX(-O90,0),0)</f>
        <v>504.641250107673</v>
      </c>
      <c r="P92" s="48" t="n">
        <f aca="false">MAX(O92-P91+MAX(-P90,0),0)</f>
        <v>1051.95399259248</v>
      </c>
      <c r="Q92" s="48" t="n">
        <f aca="false">MAX(P92-Q91+MAX(-Q90,0),0)</f>
        <v>1603.92512705929</v>
      </c>
      <c r="R92" s="48" t="n">
        <f aca="false">MAX(Q92-R91+MAX(-R90,0),0)</f>
        <v>2018.83778652374</v>
      </c>
      <c r="S92" s="48" t="n">
        <f aca="false">MAX(R92-S91+MAX(-S90,0),0)</f>
        <v>2477.1983675521</v>
      </c>
      <c r="T92" s="48" t="n">
        <f aca="false">MAX(S92-T91+MAX(-T90,0),0)</f>
        <v>2940.36554640688</v>
      </c>
      <c r="U92" s="48" t="n">
        <f aca="false">MAX(T92-U91+MAX(-U90,0),0)</f>
        <v>3367.77171725873</v>
      </c>
      <c r="V92" s="48" t="n">
        <f aca="false">MAX(U92-V91+MAX(-V90,0),0)</f>
        <v>3458.50621276558</v>
      </c>
      <c r="W92" s="48" t="n">
        <f aca="false">MAX(V92-W91+MAX(-W90,0),0)</f>
        <v>3488.77426760323</v>
      </c>
      <c r="X92" s="48" t="n">
        <f aca="false">MAX(W92-X91+MAX(-X90,0),0)</f>
        <v>3543.66466261141</v>
      </c>
      <c r="Y92" s="48" t="n">
        <f aca="false">MAX(X92-Y91+MAX(-Y90,0),0)</f>
        <v>3498.33119609097</v>
      </c>
      <c r="Z92" s="48" t="n">
        <f aca="false">MAX(Y92-Z91+MAX(-Z90,0),0)</f>
        <v>3454.20179886755</v>
      </c>
      <c r="AA92" s="48" t="n">
        <f aca="false">MAX(Z92-AA91+MAX(-AA90,0),0)</f>
        <v>3392.43330560326</v>
      </c>
      <c r="AB92" s="48" t="n">
        <f aca="false">MAX(AA92-AB91+MAX(-AB90,0),0)</f>
        <v>3350.711361817</v>
      </c>
      <c r="AC92" s="48" t="n">
        <f aca="false">MAX(AB92-AC91+MAX(-AC90,0),0)</f>
        <v>3215.87963059153</v>
      </c>
      <c r="AD92" s="48" t="n">
        <f aca="false">MAX(AC92-AD91+MAX(-AD90,0),0)</f>
        <v>3025.80582653009</v>
      </c>
      <c r="AE92" s="48" t="n">
        <f aca="false">MAX(AD92-AE91+MAX(-AE90,0),0)</f>
        <v>2854.45635132023</v>
      </c>
      <c r="AF92" s="48" t="n">
        <f aca="false">MAX(AE92-AF91+MAX(-AF90,0),0)</f>
        <v>2683.11185904317</v>
      </c>
      <c r="AG92" s="48" t="n">
        <f aca="false">MAX(AF92-AG91+MAX(-AG90,0),0)</f>
        <v>2492.99823714601</v>
      </c>
      <c r="AH92" s="48" t="n">
        <f aca="false">MAX(AG92-AH91+MAX(-AH90,0),0)</f>
        <v>2337.19030624748</v>
      </c>
      <c r="AI92" s="48" t="n">
        <f aca="false">MAX(AH92-AI91+MAX(-AI90,0),0)</f>
        <v>2165.8586259879</v>
      </c>
      <c r="AJ92" s="48" t="n">
        <f aca="false">MAX(AI92-AJ91+MAX(-AJ90,0),0)</f>
        <v>1975.70480049959</v>
      </c>
      <c r="AK92" s="48" t="n">
        <f aca="false">MAX(AJ92-AK91+MAX(-AK90,0),0)</f>
        <v>1771.37196032759</v>
      </c>
      <c r="AL92" s="48" t="n">
        <f aca="false">MAX(AK92-AL91+MAX(-AL90,0),0)</f>
        <v>1557.61211775141</v>
      </c>
      <c r="AM92" s="48" t="n">
        <f aca="false">MAX(AL92-AM91+MAX(-AM90,0),0)</f>
        <v>1324.97746397909</v>
      </c>
      <c r="AN92" s="48" t="n">
        <f aca="false">MAX(AM92-AN91+MAX(-AN90,0),0)</f>
        <v>1111.22602935526</v>
      </c>
      <c r="AO92" s="48" t="n">
        <f aca="false">MAX(AN92-AO91+MAX(-AO90,0),0)</f>
        <v>897.478659371453</v>
      </c>
      <c r="AP92" s="48" t="n">
        <f aca="false">MAX(AO92-AP91+MAX(-AP90,0),0)</f>
        <v>664.816912231292</v>
      </c>
      <c r="AQ92" s="48" t="n">
        <f aca="false">MAX(AP92-AQ91+MAX(-AQ90,0),0)</f>
        <v>451.069542247484</v>
      </c>
      <c r="AR92" s="48" t="n">
        <f aca="false">MAX(AQ92-AR91+MAX(-AR90,0),0)</f>
        <v>252.988438166973</v>
      </c>
      <c r="AS92" s="48" t="n">
        <f aca="false">MAX(AR92-AS91+MAX(-AS90,0),0)</f>
        <v>20.3266910268121</v>
      </c>
      <c r="AT92" s="48" t="n">
        <f aca="false">MAX(AS92-AT91+MAX(-AT90,0),0)</f>
        <v>0</v>
      </c>
      <c r="AU92" s="48" t="n">
        <f aca="false">MAX(AT92-AU91+MAX(-AU90,0),0)</f>
        <v>0</v>
      </c>
      <c r="AV92" s="48" t="n">
        <f aca="false">MAX(AU92-AV91+MAX(-AV90,0),0)</f>
        <v>0</v>
      </c>
      <c r="AW92" s="48" t="n">
        <f aca="false">MAX(AV92-AW91+MAX(-AW90,0),0)</f>
        <v>0</v>
      </c>
      <c r="AX92" s="48" t="n">
        <f aca="false">MAX(AW92-AX91+MAX(-AX90,0),0)</f>
        <v>0</v>
      </c>
      <c r="AY92" s="48" t="n">
        <f aca="false">MAX(AX92-AY91+MAX(-AY90,0),0)</f>
        <v>0</v>
      </c>
      <c r="AZ92" s="48" t="n">
        <f aca="false">MAX(AY92-AZ91+MAX(-AZ90,0),0)</f>
        <v>0</v>
      </c>
      <c r="BA92" s="48" t="n">
        <f aca="false">MAX(AZ92-BA91+MAX(-BA90,0),0)</f>
        <v>0</v>
      </c>
      <c r="BB92" s="48" t="n">
        <f aca="false">MAX(BA92-BB91+MAX(-BB90,0),0)</f>
        <v>0</v>
      </c>
      <c r="BC92" s="48" t="n">
        <f aca="false">MAX(BB92-BC91+MAX(-BC90,0),0)</f>
        <v>0</v>
      </c>
      <c r="BD92" s="48" t="n">
        <f aca="false">MAX(BC92-BD91+MAX(-BD90,0),0)</f>
        <v>0</v>
      </c>
      <c r="BE92" s="48" t="n">
        <f aca="false">MAX(BD92-BE91+MAX(-BE90,0),0)</f>
        <v>0</v>
      </c>
      <c r="BF92" s="48" t="n">
        <f aca="false">MAX(BE92-BF91+MAX(-BF90,0),0)</f>
        <v>0</v>
      </c>
      <c r="BG92" s="48" t="n">
        <f aca="false">MAX(BF92-BG91+MAX(-BG90,0),0)</f>
        <v>0</v>
      </c>
      <c r="BH92" s="48" t="n">
        <f aca="false">MAX(BG92-BH91+MAX(-BH90,0),0)</f>
        <v>0</v>
      </c>
      <c r="BI92" s="48" t="n">
        <f aca="false">MAX(BH92-BI91+MAX(-BI90,0),0)</f>
        <v>0</v>
      </c>
      <c r="BJ92" s="48" t="n">
        <f aca="false">MAX(BI92-BJ91+MAX(-BJ90,0),0)</f>
        <v>0</v>
      </c>
      <c r="BK92" s="48" t="n">
        <f aca="false">MAX(BJ92-BK91+MAX(-BK90,0),0)</f>
        <v>0</v>
      </c>
      <c r="BL92" s="48" t="n">
        <f aca="false">MAX(BK92-BL91+MAX(-BL90,0),0)</f>
        <v>0</v>
      </c>
      <c r="BM92" s="48" t="n">
        <f aca="false">MAX(BL92-BM91+MAX(-BM90,0),0)</f>
        <v>0</v>
      </c>
      <c r="BN92" s="48" t="n">
        <f aca="false">MAX(BM92-BN91+MAX(-BN90,0),0)</f>
        <v>0</v>
      </c>
      <c r="BO92" s="48" t="n">
        <f aca="false">MAX(BN92-BO91+MAX(-BO90,0),0)</f>
        <v>0</v>
      </c>
      <c r="BP92" s="48" t="n">
        <f aca="false">MAX(BO92-BP91+MAX(-BP90,0),0)</f>
        <v>0</v>
      </c>
      <c r="BQ92" s="48" t="n">
        <f aca="false">MAX(BP92-BQ91+MAX(-BQ90,0),0)</f>
        <v>0</v>
      </c>
      <c r="BR92" s="48" t="n">
        <f aca="false">MAX(BQ92-BR91+MAX(-BR90,0),0)</f>
        <v>0</v>
      </c>
      <c r="BS92" s="48" t="n">
        <f aca="false">MAX(BR92-BS91+MAX(-BS90,0),0)</f>
        <v>0</v>
      </c>
      <c r="BT92" s="48" t="n">
        <f aca="false">MAX(BS92-BT91+MAX(-BT90,0),0)</f>
        <v>0</v>
      </c>
      <c r="BU92" s="48" t="n">
        <f aca="false">MAX(BT92-BU91+MAX(-BU90,0),0)</f>
        <v>0</v>
      </c>
      <c r="BV92" s="48" t="n">
        <f aca="false">MAX(BU92-BV91+MAX(-BV90,0),0)</f>
        <v>0</v>
      </c>
      <c r="BW92" s="48" t="n">
        <f aca="false">MAX(BV92-BW91+MAX(-BW90,0),0)</f>
        <v>0</v>
      </c>
      <c r="BX92" s="48" t="n">
        <f aca="false">MAX(BW92-BX91+MAX(-BX90,0),0)</f>
        <v>0</v>
      </c>
    </row>
    <row r="93" customFormat="false" ht="15" hidden="false" customHeight="false" outlineLevel="0" collapsed="false">
      <c r="A93" s="1"/>
      <c r="B93" s="8" t="s">
        <v>357</v>
      </c>
      <c r="C93" s="8" t="s">
        <v>126</v>
      </c>
      <c r="D93" s="44" t="n">
        <f aca="false">SUM(G93:BX93)</f>
        <v>17375.5905722803</v>
      </c>
      <c r="E93" s="1"/>
      <c r="F93" s="1"/>
      <c r="G93" s="48" t="n">
        <f aca="false">MAX(G90-G91,0)</f>
        <v>0</v>
      </c>
      <c r="H93" s="48" t="n">
        <f aca="false">MAX(H90-H91,0)</f>
        <v>0</v>
      </c>
      <c r="I93" s="48" t="n">
        <f aca="false">MAX(I90-I91,0)</f>
        <v>0</v>
      </c>
      <c r="J93" s="48" t="n">
        <f aca="false">MAX(J90-J91,0)</f>
        <v>0</v>
      </c>
      <c r="K93" s="48" t="n">
        <f aca="false">MAX(K90-K91,0)</f>
        <v>0</v>
      </c>
      <c r="L93" s="48" t="n">
        <f aca="false">MAX(L90-L91,0)</f>
        <v>0</v>
      </c>
      <c r="M93" s="48" t="n">
        <f aca="false">MAX(M90-M91,0)</f>
        <v>0</v>
      </c>
      <c r="N93" s="48" t="n">
        <f aca="false">MAX(N90-N91,0)</f>
        <v>0</v>
      </c>
      <c r="O93" s="48" t="n">
        <f aca="false">MAX(O90-O91,0)</f>
        <v>0</v>
      </c>
      <c r="P93" s="48" t="n">
        <f aca="false">MAX(P90-P91,0)</f>
        <v>0</v>
      </c>
      <c r="Q93" s="48" t="n">
        <f aca="false">MAX(Q90-Q91,0)</f>
        <v>0</v>
      </c>
      <c r="R93" s="48" t="n">
        <f aca="false">MAX(R90-R91,0)</f>
        <v>0</v>
      </c>
      <c r="S93" s="48" t="n">
        <f aca="false">MAX(S90-S91,0)</f>
        <v>0</v>
      </c>
      <c r="T93" s="48" t="n">
        <f aca="false">MAX(T90-T91,0)</f>
        <v>0</v>
      </c>
      <c r="U93" s="48" t="n">
        <f aca="false">MAX(U90-U91,0)</f>
        <v>0</v>
      </c>
      <c r="V93" s="48" t="n">
        <f aca="false">MAX(V90-V91,0)</f>
        <v>0</v>
      </c>
      <c r="W93" s="48" t="n">
        <f aca="false">MAX(W90-W91,0)</f>
        <v>0</v>
      </c>
      <c r="X93" s="48" t="n">
        <f aca="false">MAX(X90-X91,0)</f>
        <v>0</v>
      </c>
      <c r="Y93" s="48" t="n">
        <f aca="false">MAX(Y90-Y91,0)</f>
        <v>45.3334665204426</v>
      </c>
      <c r="Z93" s="48" t="n">
        <f aca="false">MAX(Z90-Z91,0)</f>
        <v>44.1293972234224</v>
      </c>
      <c r="AA93" s="48" t="n">
        <f aca="false">MAX(AA90-AA91,0)</f>
        <v>61.7684932642866</v>
      </c>
      <c r="AB93" s="48" t="n">
        <f aca="false">MAX(AB90-AB91,0)</f>
        <v>41.7219437862647</v>
      </c>
      <c r="AC93" s="48" t="n">
        <f aca="false">MAX(AC90-AC91,0)</f>
        <v>134.831731225462</v>
      </c>
      <c r="AD93" s="48" t="n">
        <f aca="false">MAX(AD90-AD91,0)</f>
        <v>190.073804061446</v>
      </c>
      <c r="AE93" s="48" t="n">
        <f aca="false">MAX(AE90-AE91,0)</f>
        <v>171.349475209855</v>
      </c>
      <c r="AF93" s="48" t="n">
        <f aca="false">MAX(AF90-AF91,0)</f>
        <v>171.344492277066</v>
      </c>
      <c r="AG93" s="48" t="n">
        <f aca="false">MAX(AG90-AG91,0)</f>
        <v>190.113621897157</v>
      </c>
      <c r="AH93" s="48" t="n">
        <f aca="false">MAX(AH90-AH91,0)</f>
        <v>155.807930898528</v>
      </c>
      <c r="AI93" s="48" t="n">
        <f aca="false">MAX(AI90-AI91,0)</f>
        <v>171.33168025958</v>
      </c>
      <c r="AJ93" s="48" t="n">
        <f aca="false">MAX(AJ90-AJ91,0)</f>
        <v>190.153825488306</v>
      </c>
      <c r="AK93" s="48" t="n">
        <f aca="false">MAX(AK90-AK91,0)</f>
        <v>204.332840171999</v>
      </c>
      <c r="AL93" s="48" t="n">
        <f aca="false">MAX(AL90-AL91,0)</f>
        <v>213.759842576186</v>
      </c>
      <c r="AM93" s="48" t="n">
        <f aca="false">MAX(AM90-AM91,0)</f>
        <v>232.634653772317</v>
      </c>
      <c r="AN93" s="48" t="n">
        <f aca="false">MAX(AN90-AN91,0)</f>
        <v>213.751434623829</v>
      </c>
      <c r="AO93" s="48" t="n">
        <f aca="false">MAX(AO90-AO91,0)</f>
        <v>213.747369983808</v>
      </c>
      <c r="AP93" s="48" t="n">
        <f aca="false">MAX(AP90-AP91,0)</f>
        <v>232.661747140161</v>
      </c>
      <c r="AQ93" s="48" t="n">
        <f aca="false">MAX(AQ90-AQ91,0)</f>
        <v>213.747369983808</v>
      </c>
      <c r="AR93" s="48" t="n">
        <f aca="false">MAX(AR90-AR91,0)</f>
        <v>198.081104080511</v>
      </c>
      <c r="AS93" s="48" t="n">
        <f aca="false">MAX(AS90-AS91,0)</f>
        <v>232.661747140161</v>
      </c>
      <c r="AT93" s="48" t="n">
        <f aca="false">MAX(AT90-AT91,0)</f>
        <v>407.168048940805</v>
      </c>
      <c r="AU93" s="48" t="n">
        <f aca="false">MAX(AU90-AU91,0)</f>
        <v>427.494739967617</v>
      </c>
      <c r="AV93" s="48" t="n">
        <f aca="false">MAX(AV90-AV91,0)</f>
        <v>465.323494280322</v>
      </c>
      <c r="AW93" s="48" t="n">
        <f aca="false">MAX(AW90-AW91,0)</f>
        <v>427.494739967617</v>
      </c>
      <c r="AX93" s="48" t="n">
        <f aca="false">MAX(AX90-AX91,0)</f>
        <v>427.494739967617</v>
      </c>
      <c r="AY93" s="48" t="n">
        <f aca="false">MAX(AY90-AY91,0)</f>
        <v>465.323494280322</v>
      </c>
      <c r="AZ93" s="48" t="n">
        <f aca="false">MAX(AZ90-AZ91,0)</f>
        <v>427.494739967617</v>
      </c>
      <c r="BA93" s="48" t="n">
        <f aca="false">MAX(BA90-BA91,0)</f>
        <v>427.494739967617</v>
      </c>
      <c r="BB93" s="48" t="n">
        <f aca="false">MAX(BB90-BB91,0)</f>
        <v>405.261601740787</v>
      </c>
      <c r="BC93" s="48" t="n">
        <f aca="false">MAX(BC90-BC91,0)</f>
        <v>490.369739967617</v>
      </c>
      <c r="BD93" s="48" t="n">
        <f aca="false">MAX(BD90-BD91,0)</f>
        <v>490.369739967617</v>
      </c>
      <c r="BE93" s="48" t="n">
        <f aca="false">MAX(BE90-BE91,0)</f>
        <v>528.198494280322</v>
      </c>
      <c r="BF93" s="48" t="n">
        <f aca="false">MAX(BF90-BF91,0)</f>
        <v>490.369739967617</v>
      </c>
      <c r="BG93" s="48" t="n">
        <f aca="false">MAX(BG90-BG91,0)</f>
        <v>490.369739967617</v>
      </c>
      <c r="BH93" s="48" t="n">
        <f aca="false">MAX(BH90-BH91,0)</f>
        <v>528.198494280322</v>
      </c>
      <c r="BI93" s="48" t="n">
        <f aca="false">MAX(BI90-BI91,0)</f>
        <v>490.369739967617</v>
      </c>
      <c r="BJ93" s="48" t="n">
        <f aca="false">MAX(BJ90-BJ91,0)</f>
        <v>490.369739967617</v>
      </c>
      <c r="BK93" s="48" t="n">
        <f aca="false">MAX(BK90-BK91,0)</f>
        <v>528.198494280322</v>
      </c>
      <c r="BL93" s="48" t="n">
        <f aca="false">MAX(BL90-BL91,0)</f>
        <v>459.037208161022</v>
      </c>
      <c r="BM93" s="48" t="n">
        <f aca="false">MAX(BM90-BM91,0)</f>
        <v>490.369739967617</v>
      </c>
      <c r="BN93" s="48" t="n">
        <f aca="false">MAX(BN90-BN91,0)</f>
        <v>528.198494280322</v>
      </c>
      <c r="BO93" s="48" t="n">
        <f aca="false">MAX(BO90-BO91,0)</f>
        <v>490.369739967617</v>
      </c>
      <c r="BP93" s="48" t="n">
        <f aca="false">MAX(BP90-BP91,0)</f>
        <v>490.369739967617</v>
      </c>
      <c r="BQ93" s="48" t="n">
        <f aca="false">MAX(BQ90-BQ91,0)</f>
        <v>528.198494280322</v>
      </c>
      <c r="BR93" s="48" t="n">
        <f aca="false">MAX(BR90-BR91,0)</f>
        <v>490.369739967617</v>
      </c>
      <c r="BS93" s="48" t="n">
        <f aca="false">MAX(BS90-BS91,0)</f>
        <v>490.369739967617</v>
      </c>
      <c r="BT93" s="48" t="n">
        <f aca="false">MAX(BT90-BT91,0)</f>
        <v>528.198494280322</v>
      </c>
      <c r="BU93" s="48" t="n">
        <f aca="false">MAX(BU90-BU91,0)</f>
        <v>490.369739967617</v>
      </c>
      <c r="BV93" s="48" t="n">
        <f aca="false">MAX(BV90-BV91,0)</f>
        <v>459.037208161022</v>
      </c>
      <c r="BW93" s="48" t="n">
        <f aca="false">MAX(BW90-BW91,0)</f>
        <v>0</v>
      </c>
      <c r="BX93" s="48" t="n">
        <f aca="false">MAX(BX90-BX91,0)</f>
        <v>0</v>
      </c>
    </row>
    <row r="94" customFormat="false" ht="15" hidden="false" customHeight="false" outlineLevel="0" collapsed="false">
      <c r="A94" s="1"/>
      <c r="B94" s="4" t="s">
        <v>358</v>
      </c>
      <c r="C94" s="8" t="s">
        <v>126</v>
      </c>
      <c r="D94" s="44" t="n">
        <f aca="false">SUM(G94:BX94)</f>
        <v>3301.36220873326</v>
      </c>
      <c r="E94" s="1"/>
      <c r="F94" s="1"/>
      <c r="G94" s="44" t="n">
        <f aca="false">G93*$D$17</f>
        <v>0</v>
      </c>
      <c r="H94" s="44" t="n">
        <f aca="false">H93*$D$17</f>
        <v>0</v>
      </c>
      <c r="I94" s="44" t="n">
        <f aca="false">I93*$D$17</f>
        <v>0</v>
      </c>
      <c r="J94" s="44" t="n">
        <f aca="false">J93*$D$17</f>
        <v>0</v>
      </c>
      <c r="K94" s="44" t="n">
        <f aca="false">K93*$D$17</f>
        <v>0</v>
      </c>
      <c r="L94" s="44" t="n">
        <f aca="false">L93*$D$17</f>
        <v>0</v>
      </c>
      <c r="M94" s="44" t="n">
        <f aca="false">M93*$D$17</f>
        <v>0</v>
      </c>
      <c r="N94" s="44" t="n">
        <f aca="false">N93*$D$17</f>
        <v>0</v>
      </c>
      <c r="O94" s="44" t="n">
        <f aca="false">O93*$D$17</f>
        <v>0</v>
      </c>
      <c r="P94" s="44" t="n">
        <f aca="false">P93*$D$17</f>
        <v>0</v>
      </c>
      <c r="Q94" s="44" t="n">
        <f aca="false">Q93*$D$17</f>
        <v>0</v>
      </c>
      <c r="R94" s="44" t="n">
        <f aca="false">R93*$D$17</f>
        <v>0</v>
      </c>
      <c r="S94" s="44" t="n">
        <f aca="false">S93*$D$17</f>
        <v>0</v>
      </c>
      <c r="T94" s="44" t="n">
        <f aca="false">T93*$D$17</f>
        <v>0</v>
      </c>
      <c r="U94" s="44" t="n">
        <f aca="false">U93*$D$17</f>
        <v>0</v>
      </c>
      <c r="V94" s="44" t="n">
        <f aca="false">V93*$D$17</f>
        <v>0</v>
      </c>
      <c r="W94" s="44" t="n">
        <f aca="false">W93*$D$17</f>
        <v>0</v>
      </c>
      <c r="X94" s="44" t="n">
        <f aca="false">X93*$D$17</f>
        <v>0</v>
      </c>
      <c r="Y94" s="44" t="n">
        <f aca="false">Y93*$D$17</f>
        <v>8.61335863888409</v>
      </c>
      <c r="Z94" s="44" t="n">
        <f aca="false">Z93*$D$17</f>
        <v>8.38458547245027</v>
      </c>
      <c r="AA94" s="44" t="n">
        <f aca="false">AA93*$D$17</f>
        <v>11.7360137202145</v>
      </c>
      <c r="AB94" s="44" t="n">
        <f aca="false">AB93*$D$17</f>
        <v>7.92716931939029</v>
      </c>
      <c r="AC94" s="44" t="n">
        <f aca="false">AC93*$D$17</f>
        <v>25.6180289328379</v>
      </c>
      <c r="AD94" s="44" t="n">
        <f aca="false">AD93*$D$17</f>
        <v>36.1140227716747</v>
      </c>
      <c r="AE94" s="44" t="n">
        <f aca="false">AE93*$D$17</f>
        <v>32.5564002898725</v>
      </c>
      <c r="AF94" s="44" t="n">
        <f aca="false">AF93*$D$17</f>
        <v>32.5554535326426</v>
      </c>
      <c r="AG94" s="44" t="n">
        <f aca="false">AG93*$D$17</f>
        <v>36.1215881604598</v>
      </c>
      <c r="AH94" s="44" t="n">
        <f aca="false">AH93*$D$17</f>
        <v>29.6035068707203</v>
      </c>
      <c r="AI94" s="44" t="n">
        <f aca="false">AI93*$D$17</f>
        <v>32.5530192493203</v>
      </c>
      <c r="AJ94" s="44" t="n">
        <f aca="false">AJ93*$D$17</f>
        <v>36.1292268427782</v>
      </c>
      <c r="AK94" s="44" t="n">
        <f aca="false">AK93*$D$17</f>
        <v>38.8232396326799</v>
      </c>
      <c r="AL94" s="44" t="n">
        <f aca="false">AL93*$D$17</f>
        <v>40.6143700894754</v>
      </c>
      <c r="AM94" s="44" t="n">
        <f aca="false">AM93*$D$17</f>
        <v>44.2005842167403</v>
      </c>
      <c r="AN94" s="44" t="n">
        <f aca="false">AN93*$D$17</f>
        <v>40.6127725785276</v>
      </c>
      <c r="AO94" s="44" t="n">
        <f aca="false">AO93*$D$17</f>
        <v>40.6120002969236</v>
      </c>
      <c r="AP94" s="44" t="n">
        <f aca="false">AP93*$D$17</f>
        <v>44.2057319566306</v>
      </c>
      <c r="AQ94" s="44" t="n">
        <f aca="false">AQ93*$D$17</f>
        <v>40.6120002969236</v>
      </c>
      <c r="AR94" s="44" t="n">
        <f aca="false">AR93*$D$17</f>
        <v>37.6354097752971</v>
      </c>
      <c r="AS94" s="44" t="n">
        <f aca="false">AS93*$D$17</f>
        <v>44.2057319566306</v>
      </c>
      <c r="AT94" s="44" t="n">
        <f aca="false">AT93*$D$17</f>
        <v>77.3619292987529</v>
      </c>
      <c r="AU94" s="44" t="n">
        <f aca="false">AU93*$D$17</f>
        <v>81.2240005938472</v>
      </c>
      <c r="AV94" s="44" t="n">
        <f aca="false">AV93*$D$17</f>
        <v>88.4114639132612</v>
      </c>
      <c r="AW94" s="44" t="n">
        <f aca="false">AW93*$D$17</f>
        <v>81.2240005938472</v>
      </c>
      <c r="AX94" s="44" t="n">
        <f aca="false">AX93*$D$17</f>
        <v>81.2240005938472</v>
      </c>
      <c r="AY94" s="44" t="n">
        <f aca="false">AY93*$D$17</f>
        <v>88.4114639132612</v>
      </c>
      <c r="AZ94" s="44" t="n">
        <f aca="false">AZ93*$D$17</f>
        <v>81.2240005938472</v>
      </c>
      <c r="BA94" s="44" t="n">
        <f aca="false">BA93*$D$17</f>
        <v>81.2240005938472</v>
      </c>
      <c r="BB94" s="44" t="n">
        <f aca="false">BB93*$D$17</f>
        <v>76.9997043307495</v>
      </c>
      <c r="BC94" s="44" t="n">
        <f aca="false">BC93*$D$17</f>
        <v>93.1702505938471</v>
      </c>
      <c r="BD94" s="44" t="n">
        <f aca="false">BD93*$D$17</f>
        <v>93.1702505938471</v>
      </c>
      <c r="BE94" s="44" t="n">
        <f aca="false">BE93*$D$17</f>
        <v>100.357713913261</v>
      </c>
      <c r="BF94" s="44" t="n">
        <f aca="false">BF93*$D$17</f>
        <v>93.1702505938471</v>
      </c>
      <c r="BG94" s="44" t="n">
        <f aca="false">BG93*$D$17</f>
        <v>93.1702505938471</v>
      </c>
      <c r="BH94" s="44" t="n">
        <f aca="false">BH93*$D$17</f>
        <v>100.357713913261</v>
      </c>
      <c r="BI94" s="44" t="n">
        <f aca="false">BI93*$D$17</f>
        <v>93.1702505938471</v>
      </c>
      <c r="BJ94" s="44" t="n">
        <f aca="false">BJ93*$D$17</f>
        <v>93.1702505938471</v>
      </c>
      <c r="BK94" s="44" t="n">
        <f aca="false">BK93*$D$17</f>
        <v>100.357713913261</v>
      </c>
      <c r="BL94" s="44" t="n">
        <f aca="false">BL93*$D$17</f>
        <v>87.2170695505941</v>
      </c>
      <c r="BM94" s="44" t="n">
        <f aca="false">BM93*$D$17</f>
        <v>93.1702505938471</v>
      </c>
      <c r="BN94" s="44" t="n">
        <f aca="false">BN93*$D$17</f>
        <v>100.357713913261</v>
      </c>
      <c r="BO94" s="44" t="n">
        <f aca="false">BO93*$D$17</f>
        <v>93.1702505938471</v>
      </c>
      <c r="BP94" s="44" t="n">
        <f aca="false">BP93*$D$17</f>
        <v>93.1702505938471</v>
      </c>
      <c r="BQ94" s="44" t="n">
        <f aca="false">BQ93*$D$17</f>
        <v>100.357713913261</v>
      </c>
      <c r="BR94" s="44" t="n">
        <f aca="false">BR93*$D$17</f>
        <v>93.1702505938471</v>
      </c>
      <c r="BS94" s="44" t="n">
        <f aca="false">BS93*$D$17</f>
        <v>93.1702505938471</v>
      </c>
      <c r="BT94" s="44" t="n">
        <f aca="false">BT93*$D$17</f>
        <v>100.357713913261</v>
      </c>
      <c r="BU94" s="44" t="n">
        <f aca="false">BU93*$D$17</f>
        <v>93.1702505938471</v>
      </c>
      <c r="BV94" s="44" t="n">
        <f aca="false">BV93*$D$17</f>
        <v>87.2170695505941</v>
      </c>
      <c r="BW94" s="44" t="n">
        <f aca="false">BW93*$D$17</f>
        <v>0</v>
      </c>
      <c r="BX94" s="44" t="n">
        <f aca="false">BX93*$D$17</f>
        <v>0</v>
      </c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</row>
    <row r="96" customFormat="false" ht="15" hidden="false" customHeight="false" outlineLevel="0" collapsed="false">
      <c r="A96" s="1"/>
      <c r="B96" s="13" t="s">
        <v>359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</row>
    <row r="97" customFormat="false" ht="15" hidden="false" customHeight="false" outlineLevel="0" collapsed="false">
      <c r="A97" s="1"/>
      <c r="B97" s="8" t="s">
        <v>360</v>
      </c>
      <c r="C97" s="8" t="s">
        <v>126</v>
      </c>
      <c r="D97" s="44" t="n">
        <f aca="false">SUM(G97:BX97)</f>
        <v>17375.5905722803</v>
      </c>
      <c r="E97" s="1"/>
      <c r="F97" s="1"/>
      <c r="G97" s="48" t="n">
        <f aca="false">G80-G52-G81</f>
        <v>0</v>
      </c>
      <c r="H97" s="48" t="n">
        <f aca="false">H80-H52-H81</f>
        <v>0</v>
      </c>
      <c r="I97" s="48" t="n">
        <f aca="false">I80-I52-I81</f>
        <v>0</v>
      </c>
      <c r="J97" s="48" t="n">
        <f aca="false">J80-J52-J81</f>
        <v>-1948.20727230859</v>
      </c>
      <c r="K97" s="48" t="n">
        <f aca="false">K80-K52-K81</f>
        <v>-2632.26570066439</v>
      </c>
      <c r="L97" s="48" t="n">
        <f aca="false">L80-L52-L81</f>
        <v>-3364.05405405405</v>
      </c>
      <c r="M97" s="48" t="n">
        <f aca="false">M80-M52-M81</f>
        <v>-2632.26570066439</v>
      </c>
      <c r="N97" s="48" t="n">
        <f aca="false">N80-N52-N81</f>
        <v>-1998.20727230859</v>
      </c>
      <c r="O97" s="48" t="n">
        <f aca="false">O80-O52-O81</f>
        <v>473.064999892327</v>
      </c>
      <c r="P97" s="48" t="n">
        <f aca="false">P80-P52-P81</f>
        <v>430.393507515191</v>
      </c>
      <c r="Q97" s="48" t="n">
        <f aca="false">Q80-Q52-Q81</f>
        <v>425.735115533197</v>
      </c>
      <c r="R97" s="48" t="n">
        <f aca="false">R80-R52-R81</f>
        <v>562.793590535548</v>
      </c>
      <c r="S97" s="48" t="n">
        <f aca="false">S80-S52-S81</f>
        <v>519.345668971638</v>
      </c>
      <c r="T97" s="48" t="n">
        <f aca="false">T80-T52-T81</f>
        <v>514.53907114522</v>
      </c>
      <c r="U97" s="48" t="n">
        <f aca="false">U80-U52-U81</f>
        <v>550.300079148154</v>
      </c>
      <c r="V97" s="48" t="n">
        <f aca="false">V80-V52-V81</f>
        <v>509.721754493142</v>
      </c>
      <c r="W97" s="48" t="n">
        <f aca="false">W80-W52-W81</f>
        <v>507.313195162353</v>
      </c>
      <c r="X97" s="48" t="n">
        <f aca="false">X80-X52-X81</f>
        <v>482.690854991819</v>
      </c>
      <c r="Y97" s="48" t="n">
        <f aca="false">Y80-Y52-Y81</f>
        <v>502.498183040885</v>
      </c>
      <c r="Z97" s="48" t="n">
        <f aca="false">Z80-Z52-Z81</f>
        <v>500.090044446845</v>
      </c>
      <c r="AA97" s="48" t="n">
        <f aca="false">AA80-AA52-AA81</f>
        <v>535.368236528573</v>
      </c>
      <c r="AB97" s="48" t="n">
        <f aca="false">AB80-AB52-AB81</f>
        <v>495.275137572529</v>
      </c>
      <c r="AC97" s="48" t="n">
        <f aca="false">AC80-AC52-AC81</f>
        <v>492.869712450924</v>
      </c>
      <c r="AD97" s="48" t="n">
        <f aca="false">AD80-AD52-AD81</f>
        <v>527.903858122891</v>
      </c>
      <c r="AE97" s="48" t="n">
        <f aca="false">AE80-AE52-AE81</f>
        <v>490.455200419711</v>
      </c>
      <c r="AF97" s="48" t="n">
        <f aca="false">AF80-AF52-AF81</f>
        <v>490.445234554133</v>
      </c>
      <c r="AG97" s="48" t="n">
        <f aca="false">AG80-AG52-AG81</f>
        <v>527.983493794314</v>
      </c>
      <c r="AH97" s="48" t="n">
        <f aca="false">AH80-AH52-AH81</f>
        <v>459.372111797056</v>
      </c>
      <c r="AI97" s="48" t="n">
        <f aca="false">AI80-AI52-AI81</f>
        <v>490.419610519161</v>
      </c>
      <c r="AJ97" s="48" t="n">
        <f aca="false">AJ80-AJ52-AJ81</f>
        <v>528.063900976613</v>
      </c>
      <c r="AK97" s="48" t="n">
        <f aca="false">AK80-AK52-AK81</f>
        <v>490.403180343999</v>
      </c>
      <c r="AL97" s="48" t="n">
        <f aca="false">AL80-AL52-AL81</f>
        <v>490.394685152372</v>
      </c>
      <c r="AM97" s="48" t="n">
        <f aca="false">AM80-AM52-AM81</f>
        <v>528.144307544635</v>
      </c>
      <c r="AN97" s="48" t="n">
        <f aca="false">AN80-AN52-AN81</f>
        <v>490.377869247659</v>
      </c>
      <c r="AO97" s="48" t="n">
        <f aca="false">AO80-AO52-AO81</f>
        <v>490.369739967617</v>
      </c>
      <c r="AP97" s="48" t="n">
        <f aca="false">AP80-AP52-AP81</f>
        <v>528.198494280322</v>
      </c>
      <c r="AQ97" s="48" t="n">
        <f aca="false">AQ80-AQ52-AQ81</f>
        <v>490.369739967617</v>
      </c>
      <c r="AR97" s="48" t="n">
        <f aca="false">AR80-AR52-AR81</f>
        <v>459.037208161022</v>
      </c>
      <c r="AS97" s="48" t="n">
        <f aca="false">AS80-AS52-AS81</f>
        <v>528.198494280322</v>
      </c>
      <c r="AT97" s="48" t="n">
        <f aca="false">AT80-AT52-AT81</f>
        <v>490.369739967617</v>
      </c>
      <c r="AU97" s="48" t="n">
        <f aca="false">AU80-AU52-AU81</f>
        <v>490.369739967617</v>
      </c>
      <c r="AV97" s="48" t="n">
        <f aca="false">AV80-AV52-AV81</f>
        <v>528.198494280322</v>
      </c>
      <c r="AW97" s="48" t="n">
        <f aca="false">AW80-AW52-AW81</f>
        <v>490.369739967617</v>
      </c>
      <c r="AX97" s="48" t="n">
        <f aca="false">AX80-AX52-AX81</f>
        <v>490.369739967617</v>
      </c>
      <c r="AY97" s="48" t="n">
        <f aca="false">AY80-AY52-AY81</f>
        <v>528.198494280322</v>
      </c>
      <c r="AZ97" s="48" t="n">
        <f aca="false">AZ80-AZ52-AZ81</f>
        <v>490.369739967617</v>
      </c>
      <c r="BA97" s="48" t="n">
        <f aca="false">BA80-BA52-BA81</f>
        <v>490.369739967617</v>
      </c>
      <c r="BB97" s="48" t="n">
        <f aca="false">BB80-BB52-BB81</f>
        <v>468.136601740787</v>
      </c>
      <c r="BC97" s="48" t="n">
        <f aca="false">BC80-BC52-BC81</f>
        <v>490.369739967617</v>
      </c>
      <c r="BD97" s="48" t="n">
        <f aca="false">BD80-BD52-BD81</f>
        <v>490.369739967617</v>
      </c>
      <c r="BE97" s="48" t="n">
        <f aca="false">BE80-BE52-BE81</f>
        <v>528.198494280322</v>
      </c>
      <c r="BF97" s="48" t="n">
        <f aca="false">BF80-BF52-BF81</f>
        <v>490.369739967617</v>
      </c>
      <c r="BG97" s="48" t="n">
        <f aca="false">BG80-BG52-BG81</f>
        <v>490.369739967617</v>
      </c>
      <c r="BH97" s="48" t="n">
        <f aca="false">BH80-BH52-BH81</f>
        <v>528.198494280322</v>
      </c>
      <c r="BI97" s="48" t="n">
        <f aca="false">BI80-BI52-BI81</f>
        <v>490.369739967617</v>
      </c>
      <c r="BJ97" s="48" t="n">
        <f aca="false">BJ80-BJ52-BJ81</f>
        <v>490.369739967617</v>
      </c>
      <c r="BK97" s="48" t="n">
        <f aca="false">BK80-BK52-BK81</f>
        <v>528.198494280322</v>
      </c>
      <c r="BL97" s="48" t="n">
        <f aca="false">BL80-BL52-BL81</f>
        <v>459.037208161022</v>
      </c>
      <c r="BM97" s="48" t="n">
        <f aca="false">BM80-BM52-BM81</f>
        <v>490.369739967617</v>
      </c>
      <c r="BN97" s="48" t="n">
        <f aca="false">BN80-BN52-BN81</f>
        <v>528.198494280322</v>
      </c>
      <c r="BO97" s="48" t="n">
        <f aca="false">BO80-BO52-BO81</f>
        <v>490.369739967617</v>
      </c>
      <c r="BP97" s="48" t="n">
        <f aca="false">BP80-BP52-BP81</f>
        <v>490.369739967617</v>
      </c>
      <c r="BQ97" s="48" t="n">
        <f aca="false">BQ80-BQ52-BQ81</f>
        <v>528.198494280322</v>
      </c>
      <c r="BR97" s="48" t="n">
        <f aca="false">BR80-BR52-BR81</f>
        <v>490.369739967617</v>
      </c>
      <c r="BS97" s="48" t="n">
        <f aca="false">BS80-BS52-BS81</f>
        <v>490.369739967617</v>
      </c>
      <c r="BT97" s="48" t="n">
        <f aca="false">BT80-BT52-BT81</f>
        <v>528.198494280322</v>
      </c>
      <c r="BU97" s="48" t="n">
        <f aca="false">BU80-BU52-BU81</f>
        <v>490.369739967617</v>
      </c>
      <c r="BV97" s="48" t="n">
        <f aca="false">BV80-BV52-BV81</f>
        <v>459.037208161022</v>
      </c>
      <c r="BW97" s="48" t="n">
        <f aca="false">BW80-BW52-BW81</f>
        <v>0</v>
      </c>
      <c r="BX97" s="48" t="n">
        <f aca="false">BX80-BX52-BX81</f>
        <v>0</v>
      </c>
    </row>
    <row r="98" customFormat="false" ht="15" hidden="false" customHeight="false" outlineLevel="0" collapsed="false">
      <c r="A98" s="1"/>
      <c r="B98" s="4" t="s">
        <v>361</v>
      </c>
      <c r="C98" s="8" t="s">
        <v>126</v>
      </c>
      <c r="D98" s="44" t="n">
        <f aca="false">SUM(G98:BX98)</f>
        <v>14074.228363547</v>
      </c>
      <c r="E98" s="1"/>
      <c r="F98" s="1"/>
      <c r="G98" s="44" t="n">
        <f aca="false">G97-G94</f>
        <v>0</v>
      </c>
      <c r="H98" s="44" t="n">
        <f aca="false">H97-H94</f>
        <v>0</v>
      </c>
      <c r="I98" s="44" t="n">
        <f aca="false">I97-I94</f>
        <v>0</v>
      </c>
      <c r="J98" s="44" t="n">
        <f aca="false">J97-J94</f>
        <v>-1948.20727230859</v>
      </c>
      <c r="K98" s="44" t="n">
        <f aca="false">K97-K94</f>
        <v>-2632.26570066439</v>
      </c>
      <c r="L98" s="44" t="n">
        <f aca="false">L97-L94</f>
        <v>-3364.05405405405</v>
      </c>
      <c r="M98" s="44" t="n">
        <f aca="false">M97-M94</f>
        <v>-2632.26570066439</v>
      </c>
      <c r="N98" s="44" t="n">
        <f aca="false">N97-N94</f>
        <v>-1998.20727230859</v>
      </c>
      <c r="O98" s="44" t="n">
        <f aca="false">O97-O94</f>
        <v>473.064999892327</v>
      </c>
      <c r="P98" s="44" t="n">
        <f aca="false">P97-P94</f>
        <v>430.393507515191</v>
      </c>
      <c r="Q98" s="44" t="n">
        <f aca="false">Q97-Q94</f>
        <v>425.735115533197</v>
      </c>
      <c r="R98" s="44" t="n">
        <f aca="false">R97-R94</f>
        <v>562.793590535548</v>
      </c>
      <c r="S98" s="44" t="n">
        <f aca="false">S97-S94</f>
        <v>519.345668971638</v>
      </c>
      <c r="T98" s="44" t="n">
        <f aca="false">T97-T94</f>
        <v>514.53907114522</v>
      </c>
      <c r="U98" s="44" t="n">
        <f aca="false">U97-U94</f>
        <v>550.300079148154</v>
      </c>
      <c r="V98" s="44" t="n">
        <f aca="false">V97-V94</f>
        <v>509.721754493142</v>
      </c>
      <c r="W98" s="44" t="n">
        <f aca="false">W97-W94</f>
        <v>507.313195162353</v>
      </c>
      <c r="X98" s="44" t="n">
        <f aca="false">X97-X94</f>
        <v>482.690854991819</v>
      </c>
      <c r="Y98" s="44" t="n">
        <f aca="false">Y97-Y94</f>
        <v>493.884824402001</v>
      </c>
      <c r="Z98" s="44" t="n">
        <f aca="false">Z97-Z94</f>
        <v>491.705458974395</v>
      </c>
      <c r="AA98" s="44" t="n">
        <f aca="false">AA97-AA94</f>
        <v>523.632222808359</v>
      </c>
      <c r="AB98" s="44" t="n">
        <f aca="false">AB97-AB94</f>
        <v>487.347968253139</v>
      </c>
      <c r="AC98" s="44" t="n">
        <f aca="false">AC97-AC94</f>
        <v>467.251683518086</v>
      </c>
      <c r="AD98" s="44" t="n">
        <f aca="false">AD97-AD94</f>
        <v>491.789835351217</v>
      </c>
      <c r="AE98" s="44" t="n">
        <f aca="false">AE97-AE94</f>
        <v>457.898800129838</v>
      </c>
      <c r="AF98" s="44" t="n">
        <f aca="false">AF97-AF94</f>
        <v>457.88978102149</v>
      </c>
      <c r="AG98" s="44" t="n">
        <f aca="false">AG97-AG94</f>
        <v>491.861905633854</v>
      </c>
      <c r="AH98" s="44" t="n">
        <f aca="false">AH97-AH94</f>
        <v>429.768604926336</v>
      </c>
      <c r="AI98" s="44" t="n">
        <f aca="false">AI97-AI94</f>
        <v>457.86659126984</v>
      </c>
      <c r="AJ98" s="44" t="n">
        <f aca="false">AJ97-AJ94</f>
        <v>491.934674133834</v>
      </c>
      <c r="AK98" s="44" t="n">
        <f aca="false">AK97-AK94</f>
        <v>451.579940711319</v>
      </c>
      <c r="AL98" s="44" t="n">
        <f aca="false">AL97-AL94</f>
        <v>449.780315062897</v>
      </c>
      <c r="AM98" s="44" t="n">
        <f aca="false">AM97-AM94</f>
        <v>483.943723327894</v>
      </c>
      <c r="AN98" s="44" t="n">
        <f aca="false">AN97-AN94</f>
        <v>449.765096669131</v>
      </c>
      <c r="AO98" s="44" t="n">
        <f aca="false">AO97-AO94</f>
        <v>449.757739670693</v>
      </c>
      <c r="AP98" s="44" t="n">
        <f aca="false">AP97-AP94</f>
        <v>483.992762323692</v>
      </c>
      <c r="AQ98" s="44" t="n">
        <f aca="false">AQ97-AQ94</f>
        <v>449.757739670693</v>
      </c>
      <c r="AR98" s="44" t="n">
        <f aca="false">AR97-AR94</f>
        <v>421.401798385725</v>
      </c>
      <c r="AS98" s="44" t="n">
        <f aca="false">AS97-AS94</f>
        <v>483.992762323692</v>
      </c>
      <c r="AT98" s="44" t="n">
        <f aca="false">AT97-AT94</f>
        <v>413.007810668864</v>
      </c>
      <c r="AU98" s="44" t="n">
        <f aca="false">AU97-AU94</f>
        <v>409.145739373769</v>
      </c>
      <c r="AV98" s="44" t="n">
        <f aca="false">AV97-AV94</f>
        <v>439.787030367061</v>
      </c>
      <c r="AW98" s="44" t="n">
        <f aca="false">AW97-AW94</f>
        <v>409.145739373769</v>
      </c>
      <c r="AX98" s="44" t="n">
        <f aca="false">AX97-AX94</f>
        <v>409.145739373769</v>
      </c>
      <c r="AY98" s="44" t="n">
        <f aca="false">AY97-AY94</f>
        <v>439.787030367061</v>
      </c>
      <c r="AZ98" s="44" t="n">
        <f aca="false">AZ97-AZ94</f>
        <v>409.145739373769</v>
      </c>
      <c r="BA98" s="44" t="n">
        <f aca="false">BA97-BA94</f>
        <v>409.145739373769</v>
      </c>
      <c r="BB98" s="44" t="n">
        <f aca="false">BB97-BB94</f>
        <v>391.136897410037</v>
      </c>
      <c r="BC98" s="44" t="n">
        <f aca="false">BC97-BC94</f>
        <v>397.199489373769</v>
      </c>
      <c r="BD98" s="44" t="n">
        <f aca="false">BD97-BD94</f>
        <v>397.199489373769</v>
      </c>
      <c r="BE98" s="44" t="n">
        <f aca="false">BE97-BE94</f>
        <v>427.840780367061</v>
      </c>
      <c r="BF98" s="44" t="n">
        <f aca="false">BF97-BF94</f>
        <v>397.199489373769</v>
      </c>
      <c r="BG98" s="44" t="n">
        <f aca="false">BG97-BG94</f>
        <v>397.199489373769</v>
      </c>
      <c r="BH98" s="44" t="n">
        <f aca="false">BH97-BH94</f>
        <v>427.840780367061</v>
      </c>
      <c r="BI98" s="44" t="n">
        <f aca="false">BI97-BI94</f>
        <v>397.199489373769</v>
      </c>
      <c r="BJ98" s="44" t="n">
        <f aca="false">BJ97-BJ94</f>
        <v>397.199489373769</v>
      </c>
      <c r="BK98" s="44" t="n">
        <f aca="false">BK97-BK94</f>
        <v>427.840780367061</v>
      </c>
      <c r="BL98" s="44" t="n">
        <f aca="false">BL97-BL94</f>
        <v>371.820138610428</v>
      </c>
      <c r="BM98" s="44" t="n">
        <f aca="false">BM97-BM94</f>
        <v>397.199489373769</v>
      </c>
      <c r="BN98" s="44" t="n">
        <f aca="false">BN97-BN94</f>
        <v>427.840780367061</v>
      </c>
      <c r="BO98" s="44" t="n">
        <f aca="false">BO97-BO94</f>
        <v>397.199489373769</v>
      </c>
      <c r="BP98" s="44" t="n">
        <f aca="false">BP97-BP94</f>
        <v>397.199489373769</v>
      </c>
      <c r="BQ98" s="44" t="n">
        <f aca="false">BQ97-BQ94</f>
        <v>427.840780367061</v>
      </c>
      <c r="BR98" s="44" t="n">
        <f aca="false">BR97-BR94</f>
        <v>397.199489373769</v>
      </c>
      <c r="BS98" s="44" t="n">
        <f aca="false">BS97-BS94</f>
        <v>397.199489373769</v>
      </c>
      <c r="BT98" s="44" t="n">
        <f aca="false">BT97-BT94</f>
        <v>427.840780367061</v>
      </c>
      <c r="BU98" s="44" t="n">
        <f aca="false">BU97-BU94</f>
        <v>397.199489373769</v>
      </c>
      <c r="BV98" s="44" t="n">
        <f aca="false">BV97-BV94</f>
        <v>371.820138610428</v>
      </c>
      <c r="BW98" s="44" t="n">
        <f aca="false">BW97-BW94</f>
        <v>0</v>
      </c>
      <c r="BX98" s="44" t="n">
        <f aca="false">BX97-BX94</f>
        <v>0</v>
      </c>
    </row>
    <row r="99" customFormat="false" ht="15" hidden="false" customHeight="false" outlineLevel="0" collapsed="false">
      <c r="A99" s="1"/>
      <c r="B99" s="8" t="s">
        <v>362</v>
      </c>
      <c r="C99" s="8" t="s">
        <v>126</v>
      </c>
      <c r="D99" s="1"/>
      <c r="E99" s="1"/>
      <c r="F99" s="1"/>
      <c r="G99" s="48" t="n">
        <f aca="false">G98</f>
        <v>0</v>
      </c>
      <c r="H99" s="48" t="n">
        <f aca="false">G99+H98</f>
        <v>0</v>
      </c>
      <c r="I99" s="48" t="n">
        <f aca="false">H99+I98</f>
        <v>0</v>
      </c>
      <c r="J99" s="48" t="n">
        <f aca="false">I99+J98</f>
        <v>-1948.20727230859</v>
      </c>
      <c r="K99" s="48" t="n">
        <f aca="false">J99+K98</f>
        <v>-4580.47297297297</v>
      </c>
      <c r="L99" s="48" t="n">
        <f aca="false">K99+L98</f>
        <v>-7944.52702702703</v>
      </c>
      <c r="M99" s="48" t="n">
        <f aca="false">L99+M98</f>
        <v>-10576.7927276914</v>
      </c>
      <c r="N99" s="48" t="n">
        <f aca="false">M99+N98</f>
        <v>-12575</v>
      </c>
      <c r="O99" s="48" t="n">
        <f aca="false">N99+O98</f>
        <v>-12101.9350001077</v>
      </c>
      <c r="P99" s="48" t="n">
        <f aca="false">O99+P98</f>
        <v>-11671.5414925925</v>
      </c>
      <c r="Q99" s="48" t="n">
        <f aca="false">P99+Q98</f>
        <v>-11245.8063770593</v>
      </c>
      <c r="R99" s="48" t="n">
        <f aca="false">Q99+R98</f>
        <v>-10683.0127865237</v>
      </c>
      <c r="S99" s="48" t="n">
        <f aca="false">R99+S98</f>
        <v>-10163.6671175521</v>
      </c>
      <c r="T99" s="48" t="n">
        <f aca="false">S99+T98</f>
        <v>-9649.12804640688</v>
      </c>
      <c r="U99" s="48" t="n">
        <f aca="false">T99+U98</f>
        <v>-9098.82796725873</v>
      </c>
      <c r="V99" s="48" t="n">
        <f aca="false">U99+V98</f>
        <v>-8589.10621276559</v>
      </c>
      <c r="W99" s="48" t="n">
        <f aca="false">V99+W98</f>
        <v>-8081.79301760323</v>
      </c>
      <c r="X99" s="48" t="n">
        <f aca="false">W99+X98</f>
        <v>-7599.10216261141</v>
      </c>
      <c r="Y99" s="48" t="n">
        <f aca="false">X99+Y98</f>
        <v>-7105.21733820941</v>
      </c>
      <c r="Z99" s="48" t="n">
        <f aca="false">Y99+Z98</f>
        <v>-6613.51187923502</v>
      </c>
      <c r="AA99" s="48" t="n">
        <f aca="false">Z99+AA98</f>
        <v>-6089.87965642666</v>
      </c>
      <c r="AB99" s="48" t="n">
        <f aca="false">AA99+AB98</f>
        <v>-5602.53168817352</v>
      </c>
      <c r="AC99" s="48" t="n">
        <f aca="false">AB99+AC98</f>
        <v>-5135.28000465544</v>
      </c>
      <c r="AD99" s="48" t="n">
        <f aca="false">AC99+AD98</f>
        <v>-4643.49016930422</v>
      </c>
      <c r="AE99" s="48" t="n">
        <f aca="false">AD99+AE98</f>
        <v>-4185.59136917438</v>
      </c>
      <c r="AF99" s="48" t="n">
        <f aca="false">AE99+AF98</f>
        <v>-3727.70158815289</v>
      </c>
      <c r="AG99" s="48" t="n">
        <f aca="false">AF99+AG98</f>
        <v>-3235.83968251904</v>
      </c>
      <c r="AH99" s="48" t="n">
        <f aca="false">AG99+AH98</f>
        <v>-2806.0710775927</v>
      </c>
      <c r="AI99" s="48" t="n">
        <f aca="false">AH99+AI98</f>
        <v>-2348.20448632286</v>
      </c>
      <c r="AJ99" s="48" t="n">
        <f aca="false">AI99+AJ98</f>
        <v>-1856.26981218902</v>
      </c>
      <c r="AK99" s="48" t="n">
        <f aca="false">AJ99+AK98</f>
        <v>-1404.68987147771</v>
      </c>
      <c r="AL99" s="48" t="n">
        <f aca="false">AK99+AL98</f>
        <v>-954.909556414809</v>
      </c>
      <c r="AM99" s="48" t="n">
        <f aca="false">AL99+AM98</f>
        <v>-470.965833086915</v>
      </c>
      <c r="AN99" s="48" t="n">
        <f aca="false">AM99+AN98</f>
        <v>-21.2007364177837</v>
      </c>
      <c r="AO99" s="48" t="n">
        <f aca="false">AN99+AO98</f>
        <v>428.557003252909</v>
      </c>
      <c r="AP99" s="48" t="n">
        <f aca="false">AO99+AP98</f>
        <v>912.549765576601</v>
      </c>
      <c r="AQ99" s="48" t="n">
        <f aca="false">AP99+AQ98</f>
        <v>1362.30750524729</v>
      </c>
      <c r="AR99" s="48" t="n">
        <f aca="false">AQ99+AR98</f>
        <v>1783.70930363302</v>
      </c>
      <c r="AS99" s="48" t="n">
        <f aca="false">AR99+AS98</f>
        <v>2267.70206595671</v>
      </c>
      <c r="AT99" s="48" t="n">
        <f aca="false">AS99+AT98</f>
        <v>2680.70987662557</v>
      </c>
      <c r="AU99" s="48" t="n">
        <f aca="false">AT99+AU98</f>
        <v>3089.85561599934</v>
      </c>
      <c r="AV99" s="48" t="n">
        <f aca="false">AU99+AV98</f>
        <v>3529.64264636641</v>
      </c>
      <c r="AW99" s="48" t="n">
        <f aca="false">AV99+AW98</f>
        <v>3938.78838574018</v>
      </c>
      <c r="AX99" s="48" t="n">
        <f aca="false">AW99+AX98</f>
        <v>4347.93412511394</v>
      </c>
      <c r="AY99" s="48" t="n">
        <f aca="false">AX99+AY98</f>
        <v>4787.72115548101</v>
      </c>
      <c r="AZ99" s="48" t="n">
        <f aca="false">AY99+AZ98</f>
        <v>5196.86689485477</v>
      </c>
      <c r="BA99" s="48" t="n">
        <f aca="false">AZ99+BA98</f>
        <v>5606.01263422854</v>
      </c>
      <c r="BB99" s="48" t="n">
        <f aca="false">BA99+BB98</f>
        <v>5997.14953163858</v>
      </c>
      <c r="BC99" s="48" t="n">
        <f aca="false">BB99+BC98</f>
        <v>6394.34902101235</v>
      </c>
      <c r="BD99" s="48" t="n">
        <f aca="false">BC99+BD98</f>
        <v>6791.54851038612</v>
      </c>
      <c r="BE99" s="48" t="n">
        <f aca="false">BD99+BE98</f>
        <v>7219.38929075318</v>
      </c>
      <c r="BF99" s="48" t="n">
        <f aca="false">BE99+BF98</f>
        <v>7616.58878012695</v>
      </c>
      <c r="BG99" s="48" t="n">
        <f aca="false">BF99+BG98</f>
        <v>8013.78826950072</v>
      </c>
      <c r="BH99" s="48" t="n">
        <f aca="false">BG99+BH98</f>
        <v>8441.62904986778</v>
      </c>
      <c r="BI99" s="48" t="n">
        <f aca="false">BH99+BI98</f>
        <v>8838.82853924155</v>
      </c>
      <c r="BJ99" s="48" t="n">
        <f aca="false">BI99+BJ98</f>
        <v>9236.02802861532</v>
      </c>
      <c r="BK99" s="48" t="n">
        <f aca="false">BJ99+BK98</f>
        <v>9663.86880898238</v>
      </c>
      <c r="BL99" s="48" t="n">
        <f aca="false">BK99+BL98</f>
        <v>10035.6889475928</v>
      </c>
      <c r="BM99" s="48" t="n">
        <f aca="false">BL99+BM98</f>
        <v>10432.8884369666</v>
      </c>
      <c r="BN99" s="48" t="n">
        <f aca="false">BM99+BN98</f>
        <v>10860.7292173336</v>
      </c>
      <c r="BO99" s="48" t="n">
        <f aca="false">BN99+BO98</f>
        <v>11257.9287067074</v>
      </c>
      <c r="BP99" s="48" t="n">
        <f aca="false">BO99+BP98</f>
        <v>11655.1281960812</v>
      </c>
      <c r="BQ99" s="48" t="n">
        <f aca="false">BP99+BQ98</f>
        <v>12082.9689764482</v>
      </c>
      <c r="BR99" s="48" t="n">
        <f aca="false">BQ99+BR98</f>
        <v>12480.168465822</v>
      </c>
      <c r="BS99" s="48" t="n">
        <f aca="false">BR99+BS98</f>
        <v>12877.3679551958</v>
      </c>
      <c r="BT99" s="48" t="n">
        <f aca="false">BS99+BT98</f>
        <v>13305.2087355628</v>
      </c>
      <c r="BU99" s="48" t="n">
        <f aca="false">BT99+BU98</f>
        <v>13702.4082249366</v>
      </c>
      <c r="BV99" s="48" t="n">
        <f aca="false">BU99+BV98</f>
        <v>14074.228363547</v>
      </c>
      <c r="BW99" s="48" t="n">
        <f aca="false">BV99+BW98</f>
        <v>14074.228363547</v>
      </c>
      <c r="BX99" s="48" t="n">
        <f aca="false">BW99+BX98</f>
        <v>14074.228363547</v>
      </c>
    </row>
    <row r="100" customFormat="false" ht="15" hidden="false" customHeight="false" outlineLevel="0" collapsed="false">
      <c r="A100" s="1"/>
      <c r="B100" s="8" t="s">
        <v>363</v>
      </c>
      <c r="C100" s="8" t="s">
        <v>126</v>
      </c>
      <c r="D100" s="44" t="n">
        <f aca="false">SUM(G100:BX100)</f>
        <v>-5904.50688382724</v>
      </c>
      <c r="E100" s="1"/>
      <c r="F100" s="1"/>
      <c r="G100" s="48" t="n">
        <f aca="false">G98*G45</f>
        <v>0</v>
      </c>
      <c r="H100" s="48" t="n">
        <f aca="false">H98*H45</f>
        <v>0</v>
      </c>
      <c r="I100" s="48" t="n">
        <f aca="false">I98*I45</f>
        <v>0</v>
      </c>
      <c r="J100" s="48" t="n">
        <f aca="false">J98*J45</f>
        <v>-1948.20727230859</v>
      </c>
      <c r="K100" s="48" t="n">
        <f aca="false">K98*K45</f>
        <v>-2460.06140249008</v>
      </c>
      <c r="L100" s="48" t="n">
        <f aca="false">L98*L45</f>
        <v>-2938.29509481532</v>
      </c>
      <c r="M100" s="48" t="n">
        <f aca="false">M98*M45</f>
        <v>-2148.71290286495</v>
      </c>
      <c r="N100" s="48" t="n">
        <f aca="false">N98*N45</f>
        <v>-1524.42276072277</v>
      </c>
      <c r="O100" s="48" t="n">
        <f aca="false">O98*O45</f>
        <v>337.288806920672</v>
      </c>
      <c r="P100" s="48" t="n">
        <f aca="false">P98*P45</f>
        <v>286.789366913861</v>
      </c>
      <c r="Q100" s="48" t="n">
        <f aca="false">Q98*Q45</f>
        <v>265.126433309505</v>
      </c>
      <c r="R100" s="48" t="n">
        <f aca="false">R98*R45</f>
        <v>327.550993682537</v>
      </c>
      <c r="S100" s="48" t="n">
        <f aca="false">S98*S45</f>
        <v>282.489633418611</v>
      </c>
      <c r="T100" s="48" t="n">
        <f aca="false">T98*T45</f>
        <v>261.565572592328</v>
      </c>
      <c r="U100" s="48" t="n">
        <f aca="false">U98*U45</f>
        <v>261.443603454807</v>
      </c>
      <c r="V100" s="48" t="n">
        <f aca="false">V98*V45</f>
        <v>226.322554880125</v>
      </c>
      <c r="W100" s="48" t="n">
        <f aca="false">W98*W45</f>
        <v>210.516939937116</v>
      </c>
      <c r="X100" s="48" t="n">
        <f aca="false">X98*X45</f>
        <v>187.195835647221</v>
      </c>
      <c r="Y100" s="48" t="n">
        <f aca="false">Y98*Y45</f>
        <v>179.006588766271</v>
      </c>
      <c r="Z100" s="48" t="n">
        <f aca="false">Z98*Z45</f>
        <v>166.557650880083</v>
      </c>
      <c r="AA100" s="48" t="n">
        <f aca="false">AA98*AA45</f>
        <v>165.768551762923</v>
      </c>
      <c r="AB100" s="48" t="n">
        <f aca="false">AB98*AB45</f>
        <v>144.188678498748</v>
      </c>
      <c r="AC100" s="48" t="n">
        <f aca="false">AC98*AC45</f>
        <v>129.198984106094</v>
      </c>
      <c r="AD100" s="48" t="n">
        <f aca="false">AD98*AD45</f>
        <v>127.087838845458</v>
      </c>
      <c r="AE100" s="48" t="n">
        <f aca="false">AE98*AE45</f>
        <v>110.588552634785</v>
      </c>
      <c r="AF100" s="48" t="n">
        <f aca="false">AF98*AF45</f>
        <v>103.351751777652</v>
      </c>
      <c r="AG100" s="48" t="n">
        <f aca="false">AG98*AG45</f>
        <v>103.756736029698</v>
      </c>
      <c r="AH100" s="48" t="n">
        <f aca="false">AH98*AH45</f>
        <v>84.7274278213366</v>
      </c>
      <c r="AI100" s="48" t="n">
        <f aca="false">AI98*AI45</f>
        <v>84.3615428563795</v>
      </c>
      <c r="AJ100" s="48" t="n">
        <f aca="false">AJ98*AJ45</f>
        <v>84.708933741897</v>
      </c>
      <c r="AK100" s="48" t="n">
        <f aca="false">AK98*AK45</f>
        <v>72.6729257241699</v>
      </c>
      <c r="AL100" s="48" t="n">
        <f aca="false">AL98*AL45</f>
        <v>67.6479544930524</v>
      </c>
      <c r="AM100" s="48" t="n">
        <f aca="false">AM98*AM45</f>
        <v>68.0244922245489</v>
      </c>
      <c r="AN100" s="48" t="n">
        <f aca="false">AN98*AN45</f>
        <v>59.0843441461791</v>
      </c>
      <c r="AO100" s="48" t="n">
        <f aca="false">AO98*AO45</f>
        <v>55.2181099799097</v>
      </c>
      <c r="AP100" s="48" t="n">
        <f aca="false">AP98*AP45</f>
        <v>55.5338753691587</v>
      </c>
      <c r="AQ100" s="48" t="n">
        <f aca="false">AQ98*AQ45</f>
        <v>48.2296357585026</v>
      </c>
      <c r="AR100" s="48" t="n">
        <f aca="false">AR98*AR45</f>
        <v>42.2326120886592</v>
      </c>
      <c r="AS100" s="48" t="n">
        <f aca="false">AS98*AS45</f>
        <v>45.3321845593654</v>
      </c>
      <c r="AT100" s="48" t="n">
        <f aca="false">AT98*AT45</f>
        <v>36.1528274436847</v>
      </c>
      <c r="AU100" s="48" t="n">
        <f aca="false">AU98*AU45</f>
        <v>33.4717376336214</v>
      </c>
      <c r="AV100" s="48" t="n">
        <f aca="false">AV98*AV45</f>
        <v>33.6247346297189</v>
      </c>
      <c r="AW100" s="48" t="n">
        <f aca="false">AW98*AW45</f>
        <v>29.2355119518048</v>
      </c>
      <c r="AX100" s="48" t="n">
        <f aca="false">AX98*AX45</f>
        <v>27.3229083661727</v>
      </c>
      <c r="AY100" s="48" t="n">
        <f aca="false">AY98*AY45</f>
        <v>27.4477994892578</v>
      </c>
      <c r="AZ100" s="48" t="n">
        <f aca="false">AZ98*AZ45</f>
        <v>23.8648863360754</v>
      </c>
      <c r="BA100" s="48" t="n">
        <f aca="false">BA98*BA45</f>
        <v>22.3036320897901</v>
      </c>
      <c r="BB100" s="48" t="n">
        <f aca="false">BB98*BB45</f>
        <v>19.9270297124189</v>
      </c>
      <c r="BC100" s="48" t="n">
        <f aca="false">BC98*BC45</f>
        <v>18.9120534087039</v>
      </c>
      <c r="BD100" s="48" t="n">
        <f aca="false">BD98*BD45</f>
        <v>17.6748162698168</v>
      </c>
      <c r="BE100" s="48" t="n">
        <f aca="false">BE98*BE45</f>
        <v>17.7928134963048</v>
      </c>
      <c r="BF100" s="48" t="n">
        <f aca="false">BF98*BF45</f>
        <v>15.4378690451714</v>
      </c>
      <c r="BG100" s="48" t="n">
        <f aca="false">BG98*BG45</f>
        <v>14.4279149954873</v>
      </c>
      <c r="BH100" s="48" t="n">
        <f aca="false">BH98*BH45</f>
        <v>14.5242358809485</v>
      </c>
      <c r="BI100" s="48" t="n">
        <f aca="false">BI98*BI45</f>
        <v>12.6018997252924</v>
      </c>
      <c r="BJ100" s="48" t="n">
        <f aca="false">BJ98*BJ45</f>
        <v>11.777476378778</v>
      </c>
      <c r="BK100" s="48" t="n">
        <f aca="false">BK98*BK45</f>
        <v>11.8561029130802</v>
      </c>
      <c r="BL100" s="48" t="n">
        <f aca="false">BL98*BL45</f>
        <v>9.62961476528567</v>
      </c>
      <c r="BM100" s="48" t="n">
        <f aca="false">BM98*BM45</f>
        <v>9.61392896312862</v>
      </c>
      <c r="BN100" s="48" t="n">
        <f aca="false">BN98*BN45</f>
        <v>9.6781116361468</v>
      </c>
      <c r="BO100" s="48" t="n">
        <f aca="false">BO98*BO45</f>
        <v>8.39717788726405</v>
      </c>
      <c r="BP100" s="48" t="n">
        <f aca="false">BP98*BP45</f>
        <v>7.84782980118136</v>
      </c>
      <c r="BQ100" s="48" t="n">
        <f aca="false">BQ98*BQ45</f>
        <v>7.90022198089929</v>
      </c>
      <c r="BR100" s="48" t="n">
        <f aca="false">BR98*BR45</f>
        <v>6.85459848124846</v>
      </c>
      <c r="BS100" s="48" t="n">
        <f aca="false">BS98*BS45</f>
        <v>6.4061668049051</v>
      </c>
      <c r="BT100" s="48" t="n">
        <f aca="false">BT98*BT45</f>
        <v>6.44893442997453</v>
      </c>
      <c r="BU100" s="48" t="n">
        <f aca="false">BU98*BU45</f>
        <v>5.59539418718237</v>
      </c>
      <c r="BV100" s="48" t="n">
        <f aca="false">BV98*BV45</f>
        <v>4.89520784946299</v>
      </c>
      <c r="BW100" s="48" t="n">
        <f aca="false">BW98*BW45</f>
        <v>0</v>
      </c>
      <c r="BX100" s="48" t="n">
        <f aca="false">BX98*BX45</f>
        <v>0</v>
      </c>
    </row>
    <row r="101" customFormat="false" ht="15" hidden="false" customHeight="false" outlineLevel="0" collapsed="false">
      <c r="A101" s="1"/>
      <c r="B101" s="4" t="s">
        <v>364</v>
      </c>
      <c r="C101" s="1"/>
      <c r="D101" s="44" t="n">
        <f aca="false">SUMPRODUCT($G$98:$BX$98,$G$45:$BX$45)</f>
        <v>-5904.50688382724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</row>
    <row r="102" customFormat="false" ht="15" hidden="false" customHeight="false" outlineLevel="0" collapsed="false">
      <c r="A102" s="1"/>
      <c r="B102" s="4" t="s">
        <v>365</v>
      </c>
      <c r="C102" s="1"/>
      <c r="D102" s="44" t="n">
        <f aca="false">SUMPRODUCT($G$97:$BX$97,$G$45:$BX$45)</f>
        <v>-5687.74159871038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</row>
    <row r="103" customFormat="false" ht="15" hidden="false" customHeight="false" outlineLevel="0" collapsed="false">
      <c r="A103" s="1"/>
      <c r="B103" s="4" t="s">
        <v>366</v>
      </c>
      <c r="C103" s="1"/>
      <c r="D103" s="50" t="n">
        <f aca="true">IFERROR(IRR(OFFSET(G98,0,$D$12-2027,1,$D$11+$D$9),0.05),"n/a")</f>
        <v>0.0280781462096055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</row>
    <row r="104" customFormat="false" ht="15" hidden="false" customHeight="false" outlineLevel="0" collapsed="false">
      <c r="A104" s="1"/>
      <c r="B104" s="4" t="s">
        <v>367</v>
      </c>
      <c r="C104" s="1"/>
      <c r="D104" s="44" t="n">
        <f aca="false">SUMPRODUCT($G$59:$BX$59,$G$45:$BX$45)</f>
        <v>25005739.6961086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</row>
    <row r="105" customFormat="false" ht="15" hidden="false" customHeight="false" outlineLevel="0" collapsed="false">
      <c r="A105" s="1"/>
      <c r="B105" s="4" t="s">
        <v>368</v>
      </c>
      <c r="C105" s="1"/>
      <c r="D105" s="44" t="n">
        <f aca="false">SUMPRODUCT($G$52:$BX$52,$G$45:$BX$45)+SUMPRODUCT($G$79:$BX$79,$G$45:$BX$45)+SUMPRODUCT($G$81:$BX$81,$G$45:$BX$45)</f>
        <v>15738.8011462802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</row>
    <row r="106" customFormat="false" ht="15" hidden="false" customHeight="false" outlineLevel="0" collapsed="false">
      <c r="A106" s="1"/>
      <c r="B106" s="8" t="s">
        <v>369</v>
      </c>
      <c r="C106" s="1"/>
      <c r="D106" s="48" t="n">
        <f aca="false">SUMPRODUCT($G$52:$BX$52,$G$45:$BX$45)</f>
        <v>11019.6994332017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</row>
    <row r="107" customFormat="false" ht="15" hidden="false" customHeight="false" outlineLevel="0" collapsed="false">
      <c r="A107" s="1"/>
      <c r="B107" s="8" t="s">
        <v>370</v>
      </c>
      <c r="C107" s="1"/>
      <c r="D107" s="48" t="n">
        <f aca="false">SUMPRODUCT($G$73:$BX$73,$G$45:$BX$45)</f>
        <v>1845.25813443829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</row>
    <row r="108" customFormat="false" ht="15" hidden="false" customHeight="false" outlineLevel="0" collapsed="false">
      <c r="A108" s="1"/>
      <c r="B108" s="8" t="s">
        <v>371</v>
      </c>
      <c r="C108" s="1"/>
      <c r="D108" s="48" t="n">
        <f aca="false">SUMPRODUCT($G$68:$BX$68,$G$45:$BX$45)</f>
        <v>776.673198170912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</row>
    <row r="109" customFormat="false" ht="15" hidden="false" customHeight="false" outlineLevel="0" collapsed="false">
      <c r="A109" s="1"/>
      <c r="B109" s="8" t="s">
        <v>372</v>
      </c>
      <c r="C109" s="1"/>
      <c r="D109" s="48" t="n">
        <f aca="false">SUMPRODUCT($G$69:$BX$69,$G$45:$BX$45)</f>
        <v>0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</row>
    <row r="110" customFormat="false" ht="15" hidden="false" customHeight="false" outlineLevel="0" collapsed="false">
      <c r="A110" s="1"/>
      <c r="B110" s="8" t="s">
        <v>373</v>
      </c>
      <c r="C110" s="1"/>
      <c r="D110" s="48" t="n">
        <f aca="false">SUMPRODUCT($G$70:$BX$70,$G$45:$BX$45)+SUMPRODUCT($G$71:$BX$71,$G$45:$BX$45)</f>
        <v>275.063136657195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</row>
    <row r="111" customFormat="false" ht="15" hidden="false" customHeight="false" outlineLevel="0" collapsed="false">
      <c r="A111" s="1"/>
      <c r="B111" s="8" t="s">
        <v>374</v>
      </c>
      <c r="C111" s="1"/>
      <c r="D111" s="48" t="n">
        <f aca="false">SUMPRODUCT($G$72:$BX$72,$G$45:$BX$45)+SUMPRODUCT($G$81:$BX$81,$G$45:$BX$45)</f>
        <v>650.149232098824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</row>
    <row r="112" customFormat="false" ht="15" hidden="false" customHeight="false" outlineLevel="0" collapsed="false">
      <c r="A112" s="1"/>
      <c r="B112" s="8" t="s">
        <v>375</v>
      </c>
      <c r="C112" s="1"/>
      <c r="D112" s="48" t="n">
        <f aca="false">SUMPRODUCT($G$75:$BX$75,$G$45:$BX$45)</f>
        <v>633.307375893871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</row>
    <row r="113" customFormat="false" ht="15" hidden="false" customHeight="false" outlineLevel="0" collapsed="false">
      <c r="A113" s="1"/>
      <c r="B113" s="8" t="s">
        <v>376</v>
      </c>
      <c r="C113" s="1"/>
      <c r="D113" s="48" t="n">
        <f aca="false">SUMPRODUCT($G$77:$BX$77,$G$45:$BX$45)+SUMPRODUCT($G$78:$BX$78,$G$45:$BX$45)+SUMPRODUCT($G$76:$BX$76,$G$45:$BX$45)</f>
        <v>538.650635819373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</row>
    <row r="114" customFormat="false" ht="15" hidden="false" customHeight="false" outlineLevel="0" collapsed="false">
      <c r="A114" s="1"/>
      <c r="B114" s="4" t="s">
        <v>377</v>
      </c>
      <c r="C114" s="1"/>
      <c r="D114" s="44" t="n">
        <f aca="false">SUMPRODUCT($G$65:$BX$65,$G$45:$BX$45)</f>
        <v>10051.0595475698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</row>
    <row r="115" customFormat="false" ht="15" hidden="false" customHeight="false" outlineLevel="0" collapsed="false">
      <c r="A115" s="1"/>
      <c r="B115" s="4" t="s">
        <v>10</v>
      </c>
      <c r="C115" s="1"/>
      <c r="D115" s="46" t="n">
        <f aca="false">IFERROR($D$105*1000000/$D$104,0)</f>
        <v>629.407541530532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</row>
    <row r="116" customFormat="false" ht="15" hidden="false" customHeight="false" outlineLevel="0" collapsed="false">
      <c r="A116" s="1"/>
      <c r="B116" s="4" t="s">
        <v>11</v>
      </c>
      <c r="C116" s="1"/>
      <c r="D116" s="46" t="n">
        <f aca="false">IFERROR($D$114*1000000/$D$104,0)</f>
        <v>401.950099046017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</row>
    <row r="117" customFormat="false" ht="15" hidden="false" customHeight="false" outlineLevel="0" collapsed="false">
      <c r="A117" s="1"/>
      <c r="B117" s="4" t="s">
        <v>378</v>
      </c>
      <c r="C117" s="1"/>
      <c r="D117" s="50" t="n">
        <f aca="false">IFERROR(AVERAGEIF($G$42:$BX$42,1,$G$58:$BX$58),0)</f>
        <v>0.889692505593607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</row>
    <row r="118" customFormat="false" ht="15" hidden="false" customHeight="false" outlineLevel="0" collapsed="false">
      <c r="A118" s="1"/>
      <c r="B118" s="4" t="s">
        <v>379</v>
      </c>
      <c r="C118" s="1"/>
      <c r="D118" s="44" t="n">
        <f aca="false">SUMPRODUCT($G$62:$BX$62,$G$45:$BX$45)+SUMPRODUCT($G$63:$BX$63,$G$45:$BX$45)</f>
        <v>0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</row>
    <row r="119" customFormat="false" ht="15" hidden="false" customHeight="false" outlineLevel="0" collapsed="false">
      <c r="A119" s="1"/>
      <c r="B119" s="4" t="s">
        <v>409</v>
      </c>
      <c r="C119" s="1"/>
      <c r="D119" s="46" t="n">
        <f aca="false">-$D$101/((1-$D$17)*$D$104/1000000)</f>
        <v>291.513658863131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</row>
    <row r="121" customFormat="false" ht="15" hidden="false" customHeight="false" outlineLevel="0" collapsed="false">
      <c r="A121" s="1"/>
      <c r="B121" s="13" t="s">
        <v>381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</row>
    <row r="122" customFormat="false" ht="15" hidden="false" customHeight="false" outlineLevel="0" collapsed="false">
      <c r="A122" s="1"/>
      <c r="B122" s="8" t="s">
        <v>382</v>
      </c>
      <c r="C122" s="8" t="s">
        <v>126</v>
      </c>
      <c r="D122" s="44" t="n">
        <f aca="false">SUM(G122:BX122)</f>
        <v>1368</v>
      </c>
      <c r="E122" s="1"/>
      <c r="F122" s="1"/>
      <c r="G122" s="48" t="n">
        <f aca="false">G77*$D$23</f>
        <v>0</v>
      </c>
      <c r="H122" s="48" t="n">
        <f aca="false">H77*$D$23</f>
        <v>0</v>
      </c>
      <c r="I122" s="48" t="n">
        <f aca="false">I77*$D$23</f>
        <v>0</v>
      </c>
      <c r="J122" s="48" t="n">
        <f aca="false">J77*$D$23</f>
        <v>0</v>
      </c>
      <c r="K122" s="48" t="n">
        <f aca="false">K77*$D$23</f>
        <v>0</v>
      </c>
      <c r="L122" s="48" t="n">
        <f aca="false">L77*$D$23</f>
        <v>0</v>
      </c>
      <c r="M122" s="48" t="n">
        <f aca="false">M77*$D$23</f>
        <v>0</v>
      </c>
      <c r="N122" s="48" t="n">
        <f aca="false">N77*$D$23</f>
        <v>0</v>
      </c>
      <c r="O122" s="48" t="n">
        <f aca="false">O77*$D$23</f>
        <v>22.8</v>
      </c>
      <c r="P122" s="48" t="n">
        <f aca="false">P77*$D$23</f>
        <v>22.8</v>
      </c>
      <c r="Q122" s="48" t="n">
        <f aca="false">Q77*$D$23</f>
        <v>22.8</v>
      </c>
      <c r="R122" s="48" t="n">
        <f aca="false">R77*$D$23</f>
        <v>22.8</v>
      </c>
      <c r="S122" s="48" t="n">
        <f aca="false">S77*$D$23</f>
        <v>22.8</v>
      </c>
      <c r="T122" s="48" t="n">
        <f aca="false">T77*$D$23</f>
        <v>22.8</v>
      </c>
      <c r="U122" s="48" t="n">
        <f aca="false">U77*$D$23</f>
        <v>22.8</v>
      </c>
      <c r="V122" s="48" t="n">
        <f aca="false">V77*$D$23</f>
        <v>22.8</v>
      </c>
      <c r="W122" s="48" t="n">
        <f aca="false">W77*$D$23</f>
        <v>22.8</v>
      </c>
      <c r="X122" s="48" t="n">
        <f aca="false">X77*$D$23</f>
        <v>22.8</v>
      </c>
      <c r="Y122" s="48" t="n">
        <f aca="false">Y77*$D$23</f>
        <v>22.8</v>
      </c>
      <c r="Z122" s="48" t="n">
        <f aca="false">Z77*$D$23</f>
        <v>22.8</v>
      </c>
      <c r="AA122" s="48" t="n">
        <f aca="false">AA77*$D$23</f>
        <v>22.8</v>
      </c>
      <c r="AB122" s="48" t="n">
        <f aca="false">AB77*$D$23</f>
        <v>22.8</v>
      </c>
      <c r="AC122" s="48" t="n">
        <f aca="false">AC77*$D$23</f>
        <v>22.8</v>
      </c>
      <c r="AD122" s="48" t="n">
        <f aca="false">AD77*$D$23</f>
        <v>22.8</v>
      </c>
      <c r="AE122" s="48" t="n">
        <f aca="false">AE77*$D$23</f>
        <v>22.8</v>
      </c>
      <c r="AF122" s="48" t="n">
        <f aca="false">AF77*$D$23</f>
        <v>22.8</v>
      </c>
      <c r="AG122" s="48" t="n">
        <f aca="false">AG77*$D$23</f>
        <v>22.8</v>
      </c>
      <c r="AH122" s="48" t="n">
        <f aca="false">AH77*$D$23</f>
        <v>22.8</v>
      </c>
      <c r="AI122" s="48" t="n">
        <f aca="false">AI77*$D$23</f>
        <v>22.8</v>
      </c>
      <c r="AJ122" s="48" t="n">
        <f aca="false">AJ77*$D$23</f>
        <v>22.8</v>
      </c>
      <c r="AK122" s="48" t="n">
        <f aca="false">AK77*$D$23</f>
        <v>22.8</v>
      </c>
      <c r="AL122" s="48" t="n">
        <f aca="false">AL77*$D$23</f>
        <v>22.8</v>
      </c>
      <c r="AM122" s="48" t="n">
        <f aca="false">AM77*$D$23</f>
        <v>22.8</v>
      </c>
      <c r="AN122" s="48" t="n">
        <f aca="false">AN77*$D$23</f>
        <v>22.8</v>
      </c>
      <c r="AO122" s="48" t="n">
        <f aca="false">AO77*$D$23</f>
        <v>22.8</v>
      </c>
      <c r="AP122" s="48" t="n">
        <f aca="false">AP77*$D$23</f>
        <v>22.8</v>
      </c>
      <c r="AQ122" s="48" t="n">
        <f aca="false">AQ77*$D$23</f>
        <v>22.8</v>
      </c>
      <c r="AR122" s="48" t="n">
        <f aca="false">AR77*$D$23</f>
        <v>22.8</v>
      </c>
      <c r="AS122" s="48" t="n">
        <f aca="false">AS77*$D$23</f>
        <v>22.8</v>
      </c>
      <c r="AT122" s="48" t="n">
        <f aca="false">AT77*$D$23</f>
        <v>22.8</v>
      </c>
      <c r="AU122" s="48" t="n">
        <f aca="false">AU77*$D$23</f>
        <v>22.8</v>
      </c>
      <c r="AV122" s="48" t="n">
        <f aca="false">AV77*$D$23</f>
        <v>22.8</v>
      </c>
      <c r="AW122" s="48" t="n">
        <f aca="false">AW77*$D$23</f>
        <v>22.8</v>
      </c>
      <c r="AX122" s="48" t="n">
        <f aca="false">AX77*$D$23</f>
        <v>22.8</v>
      </c>
      <c r="AY122" s="48" t="n">
        <f aca="false">AY77*$D$23</f>
        <v>22.8</v>
      </c>
      <c r="AZ122" s="48" t="n">
        <f aca="false">AZ77*$D$23</f>
        <v>22.8</v>
      </c>
      <c r="BA122" s="48" t="n">
        <f aca="false">BA77*$D$23</f>
        <v>22.8</v>
      </c>
      <c r="BB122" s="48" t="n">
        <f aca="false">BB77*$D$23</f>
        <v>22.8</v>
      </c>
      <c r="BC122" s="48" t="n">
        <f aca="false">BC77*$D$23</f>
        <v>22.8</v>
      </c>
      <c r="BD122" s="48" t="n">
        <f aca="false">BD77*$D$23</f>
        <v>22.8</v>
      </c>
      <c r="BE122" s="48" t="n">
        <f aca="false">BE77*$D$23</f>
        <v>22.8</v>
      </c>
      <c r="BF122" s="48" t="n">
        <f aca="false">BF77*$D$23</f>
        <v>22.8</v>
      </c>
      <c r="BG122" s="48" t="n">
        <f aca="false">BG77*$D$23</f>
        <v>22.8</v>
      </c>
      <c r="BH122" s="48" t="n">
        <f aca="false">BH77*$D$23</f>
        <v>22.8</v>
      </c>
      <c r="BI122" s="48" t="n">
        <f aca="false">BI77*$D$23</f>
        <v>22.8</v>
      </c>
      <c r="BJ122" s="48" t="n">
        <f aca="false">BJ77*$D$23</f>
        <v>22.8</v>
      </c>
      <c r="BK122" s="48" t="n">
        <f aca="false">BK77*$D$23</f>
        <v>22.8</v>
      </c>
      <c r="BL122" s="48" t="n">
        <f aca="false">BL77*$D$23</f>
        <v>22.8</v>
      </c>
      <c r="BM122" s="48" t="n">
        <f aca="false">BM77*$D$23</f>
        <v>22.8</v>
      </c>
      <c r="BN122" s="48" t="n">
        <f aca="false">BN77*$D$23</f>
        <v>22.8</v>
      </c>
      <c r="BO122" s="48" t="n">
        <f aca="false">BO77*$D$23</f>
        <v>22.8</v>
      </c>
      <c r="BP122" s="48" t="n">
        <f aca="false">BP77*$D$23</f>
        <v>22.8</v>
      </c>
      <c r="BQ122" s="48" t="n">
        <f aca="false">BQ77*$D$23</f>
        <v>22.8</v>
      </c>
      <c r="BR122" s="48" t="n">
        <f aca="false">BR77*$D$23</f>
        <v>22.8</v>
      </c>
      <c r="BS122" s="48" t="n">
        <f aca="false">BS77*$D$23</f>
        <v>22.8</v>
      </c>
      <c r="BT122" s="48" t="n">
        <f aca="false">BT77*$D$23</f>
        <v>22.8</v>
      </c>
      <c r="BU122" s="48" t="n">
        <f aca="false">BU77*$D$23</f>
        <v>22.8</v>
      </c>
      <c r="BV122" s="48" t="n">
        <f aca="false">BV77*$D$23</f>
        <v>22.8</v>
      </c>
      <c r="BW122" s="48" t="n">
        <f aca="false">BW77*$D$23</f>
        <v>0</v>
      </c>
      <c r="BX122" s="48" t="n">
        <f aca="false">BX77*$D$23</f>
        <v>0</v>
      </c>
    </row>
    <row r="123" customFormat="false" ht="15" hidden="false" customHeight="false" outlineLevel="0" collapsed="false">
      <c r="A123" s="1"/>
      <c r="B123" s="8" t="s">
        <v>383</v>
      </c>
      <c r="C123" s="8" t="s">
        <v>126</v>
      </c>
      <c r="D123" s="44" t="n">
        <f aca="false">SUM(G123:BX123)</f>
        <v>1368</v>
      </c>
      <c r="E123" s="1"/>
      <c r="F123" s="1"/>
      <c r="G123" s="48" t="n">
        <f aca="false">G77*(1-$D$23)</f>
        <v>0</v>
      </c>
      <c r="H123" s="48" t="n">
        <f aca="false">H77*(1-$D$23)</f>
        <v>0</v>
      </c>
      <c r="I123" s="48" t="n">
        <f aca="false">I77*(1-$D$23)</f>
        <v>0</v>
      </c>
      <c r="J123" s="48" t="n">
        <f aca="false">J77*(1-$D$23)</f>
        <v>0</v>
      </c>
      <c r="K123" s="48" t="n">
        <f aca="false">K77*(1-$D$23)</f>
        <v>0</v>
      </c>
      <c r="L123" s="48" t="n">
        <f aca="false">L77*(1-$D$23)</f>
        <v>0</v>
      </c>
      <c r="M123" s="48" t="n">
        <f aca="false">M77*(1-$D$23)</f>
        <v>0</v>
      </c>
      <c r="N123" s="48" t="n">
        <f aca="false">N77*(1-$D$23)</f>
        <v>0</v>
      </c>
      <c r="O123" s="48" t="n">
        <f aca="false">O77*(1-$D$23)</f>
        <v>22.8</v>
      </c>
      <c r="P123" s="48" t="n">
        <f aca="false">P77*(1-$D$23)</f>
        <v>22.8</v>
      </c>
      <c r="Q123" s="48" t="n">
        <f aca="false">Q77*(1-$D$23)</f>
        <v>22.8</v>
      </c>
      <c r="R123" s="48" t="n">
        <f aca="false">R77*(1-$D$23)</f>
        <v>22.8</v>
      </c>
      <c r="S123" s="48" t="n">
        <f aca="false">S77*(1-$D$23)</f>
        <v>22.8</v>
      </c>
      <c r="T123" s="48" t="n">
        <f aca="false">T77*(1-$D$23)</f>
        <v>22.8</v>
      </c>
      <c r="U123" s="48" t="n">
        <f aca="false">U77*(1-$D$23)</f>
        <v>22.8</v>
      </c>
      <c r="V123" s="48" t="n">
        <f aca="false">V77*(1-$D$23)</f>
        <v>22.8</v>
      </c>
      <c r="W123" s="48" t="n">
        <f aca="false">W77*(1-$D$23)</f>
        <v>22.8</v>
      </c>
      <c r="X123" s="48" t="n">
        <f aca="false">X77*(1-$D$23)</f>
        <v>22.8</v>
      </c>
      <c r="Y123" s="48" t="n">
        <f aca="false">Y77*(1-$D$23)</f>
        <v>22.8</v>
      </c>
      <c r="Z123" s="48" t="n">
        <f aca="false">Z77*(1-$D$23)</f>
        <v>22.8</v>
      </c>
      <c r="AA123" s="48" t="n">
        <f aca="false">AA77*(1-$D$23)</f>
        <v>22.8</v>
      </c>
      <c r="AB123" s="48" t="n">
        <f aca="false">AB77*(1-$D$23)</f>
        <v>22.8</v>
      </c>
      <c r="AC123" s="48" t="n">
        <f aca="false">AC77*(1-$D$23)</f>
        <v>22.8</v>
      </c>
      <c r="AD123" s="48" t="n">
        <f aca="false">AD77*(1-$D$23)</f>
        <v>22.8</v>
      </c>
      <c r="AE123" s="48" t="n">
        <f aca="false">AE77*(1-$D$23)</f>
        <v>22.8</v>
      </c>
      <c r="AF123" s="48" t="n">
        <f aca="false">AF77*(1-$D$23)</f>
        <v>22.8</v>
      </c>
      <c r="AG123" s="48" t="n">
        <f aca="false">AG77*(1-$D$23)</f>
        <v>22.8</v>
      </c>
      <c r="AH123" s="48" t="n">
        <f aca="false">AH77*(1-$D$23)</f>
        <v>22.8</v>
      </c>
      <c r="AI123" s="48" t="n">
        <f aca="false">AI77*(1-$D$23)</f>
        <v>22.8</v>
      </c>
      <c r="AJ123" s="48" t="n">
        <f aca="false">AJ77*(1-$D$23)</f>
        <v>22.8</v>
      </c>
      <c r="AK123" s="48" t="n">
        <f aca="false">AK77*(1-$D$23)</f>
        <v>22.8</v>
      </c>
      <c r="AL123" s="48" t="n">
        <f aca="false">AL77*(1-$D$23)</f>
        <v>22.8</v>
      </c>
      <c r="AM123" s="48" t="n">
        <f aca="false">AM77*(1-$D$23)</f>
        <v>22.8</v>
      </c>
      <c r="AN123" s="48" t="n">
        <f aca="false">AN77*(1-$D$23)</f>
        <v>22.8</v>
      </c>
      <c r="AO123" s="48" t="n">
        <f aca="false">AO77*(1-$D$23)</f>
        <v>22.8</v>
      </c>
      <c r="AP123" s="48" t="n">
        <f aca="false">AP77*(1-$D$23)</f>
        <v>22.8</v>
      </c>
      <c r="AQ123" s="48" t="n">
        <f aca="false">AQ77*(1-$D$23)</f>
        <v>22.8</v>
      </c>
      <c r="AR123" s="48" t="n">
        <f aca="false">AR77*(1-$D$23)</f>
        <v>22.8</v>
      </c>
      <c r="AS123" s="48" t="n">
        <f aca="false">AS77*(1-$D$23)</f>
        <v>22.8</v>
      </c>
      <c r="AT123" s="48" t="n">
        <f aca="false">AT77*(1-$D$23)</f>
        <v>22.8</v>
      </c>
      <c r="AU123" s="48" t="n">
        <f aca="false">AU77*(1-$D$23)</f>
        <v>22.8</v>
      </c>
      <c r="AV123" s="48" t="n">
        <f aca="false">AV77*(1-$D$23)</f>
        <v>22.8</v>
      </c>
      <c r="AW123" s="48" t="n">
        <f aca="false">AW77*(1-$D$23)</f>
        <v>22.8</v>
      </c>
      <c r="AX123" s="48" t="n">
        <f aca="false">AX77*(1-$D$23)</f>
        <v>22.8</v>
      </c>
      <c r="AY123" s="48" t="n">
        <f aca="false">AY77*(1-$D$23)</f>
        <v>22.8</v>
      </c>
      <c r="AZ123" s="48" t="n">
        <f aca="false">AZ77*(1-$D$23)</f>
        <v>22.8</v>
      </c>
      <c r="BA123" s="48" t="n">
        <f aca="false">BA77*(1-$D$23)</f>
        <v>22.8</v>
      </c>
      <c r="BB123" s="48" t="n">
        <f aca="false">BB77*(1-$D$23)</f>
        <v>22.8</v>
      </c>
      <c r="BC123" s="48" t="n">
        <f aca="false">BC77*(1-$D$23)</f>
        <v>22.8</v>
      </c>
      <c r="BD123" s="48" t="n">
        <f aca="false">BD77*(1-$D$23)</f>
        <v>22.8</v>
      </c>
      <c r="BE123" s="48" t="n">
        <f aca="false">BE77*(1-$D$23)</f>
        <v>22.8</v>
      </c>
      <c r="BF123" s="48" t="n">
        <f aca="false">BF77*(1-$D$23)</f>
        <v>22.8</v>
      </c>
      <c r="BG123" s="48" t="n">
        <f aca="false">BG77*(1-$D$23)</f>
        <v>22.8</v>
      </c>
      <c r="BH123" s="48" t="n">
        <f aca="false">BH77*(1-$D$23)</f>
        <v>22.8</v>
      </c>
      <c r="BI123" s="48" t="n">
        <f aca="false">BI77*(1-$D$23)</f>
        <v>22.8</v>
      </c>
      <c r="BJ123" s="48" t="n">
        <f aca="false">BJ77*(1-$D$23)</f>
        <v>22.8</v>
      </c>
      <c r="BK123" s="48" t="n">
        <f aca="false">BK77*(1-$D$23)</f>
        <v>22.8</v>
      </c>
      <c r="BL123" s="48" t="n">
        <f aca="false">BL77*(1-$D$23)</f>
        <v>22.8</v>
      </c>
      <c r="BM123" s="48" t="n">
        <f aca="false">BM77*(1-$D$23)</f>
        <v>22.8</v>
      </c>
      <c r="BN123" s="48" t="n">
        <f aca="false">BN77*(1-$D$23)</f>
        <v>22.8</v>
      </c>
      <c r="BO123" s="48" t="n">
        <f aca="false">BO77*(1-$D$23)</f>
        <v>22.8</v>
      </c>
      <c r="BP123" s="48" t="n">
        <f aca="false">BP77*(1-$D$23)</f>
        <v>22.8</v>
      </c>
      <c r="BQ123" s="48" t="n">
        <f aca="false">BQ77*(1-$D$23)</f>
        <v>22.8</v>
      </c>
      <c r="BR123" s="48" t="n">
        <f aca="false">BR77*(1-$D$23)</f>
        <v>22.8</v>
      </c>
      <c r="BS123" s="48" t="n">
        <f aca="false">BS77*(1-$D$23)</f>
        <v>22.8</v>
      </c>
      <c r="BT123" s="48" t="n">
        <f aca="false">BT77*(1-$D$23)</f>
        <v>22.8</v>
      </c>
      <c r="BU123" s="48" t="n">
        <f aca="false">BU77*(1-$D$23)</f>
        <v>22.8</v>
      </c>
      <c r="BV123" s="48" t="n">
        <f aca="false">BV77*(1-$D$23)</f>
        <v>22.8</v>
      </c>
      <c r="BW123" s="48" t="n">
        <f aca="false">BW77*(1-$D$23)</f>
        <v>0</v>
      </c>
      <c r="BX123" s="48" t="n">
        <f aca="false">BX77*(1-$D$23)</f>
        <v>0</v>
      </c>
    </row>
    <row r="124" customFormat="false" ht="15" hidden="false" customHeight="false" outlineLevel="0" collapsed="false">
      <c r="A124" s="1"/>
      <c r="B124" s="8" t="s">
        <v>384</v>
      </c>
      <c r="C124" s="8" t="s">
        <v>126</v>
      </c>
      <c r="D124" s="44" t="n">
        <f aca="false">SUM(G124:BX124)</f>
        <v>278.009449156485</v>
      </c>
      <c r="E124" s="1"/>
      <c r="F124" s="1"/>
      <c r="G124" s="48" t="n">
        <f aca="false">G93*Input!$H$147</f>
        <v>0</v>
      </c>
      <c r="H124" s="48" t="n">
        <f aca="false">H93*Input!$H$147</f>
        <v>0</v>
      </c>
      <c r="I124" s="48" t="n">
        <f aca="false">I93*Input!$H$147</f>
        <v>0</v>
      </c>
      <c r="J124" s="48" t="n">
        <f aca="false">J93*Input!$H$147</f>
        <v>0</v>
      </c>
      <c r="K124" s="48" t="n">
        <f aca="false">K93*Input!$H$147</f>
        <v>0</v>
      </c>
      <c r="L124" s="48" t="n">
        <f aca="false">L93*Input!$H$147</f>
        <v>0</v>
      </c>
      <c r="M124" s="48" t="n">
        <f aca="false">M93*Input!$H$147</f>
        <v>0</v>
      </c>
      <c r="N124" s="48" t="n">
        <f aca="false">N93*Input!$H$147</f>
        <v>0</v>
      </c>
      <c r="O124" s="48" t="n">
        <f aca="false">O93*Input!$H$147</f>
        <v>0</v>
      </c>
      <c r="P124" s="48" t="n">
        <f aca="false">P93*Input!$H$147</f>
        <v>0</v>
      </c>
      <c r="Q124" s="48" t="n">
        <f aca="false">Q93*Input!$H$147</f>
        <v>0</v>
      </c>
      <c r="R124" s="48" t="n">
        <f aca="false">R93*Input!$H$147</f>
        <v>0</v>
      </c>
      <c r="S124" s="48" t="n">
        <f aca="false">S93*Input!$H$147</f>
        <v>0</v>
      </c>
      <c r="T124" s="48" t="n">
        <f aca="false">T93*Input!$H$147</f>
        <v>0</v>
      </c>
      <c r="U124" s="48" t="n">
        <f aca="false">U93*Input!$H$147</f>
        <v>0</v>
      </c>
      <c r="V124" s="48" t="n">
        <f aca="false">V93*Input!$H$147</f>
        <v>0</v>
      </c>
      <c r="W124" s="48" t="n">
        <f aca="false">W93*Input!$H$147</f>
        <v>0</v>
      </c>
      <c r="X124" s="48" t="n">
        <f aca="false">X93*Input!$H$147</f>
        <v>0</v>
      </c>
      <c r="Y124" s="48" t="n">
        <f aca="false">Y93*Input!$H$147</f>
        <v>0.725335464327081</v>
      </c>
      <c r="Z124" s="48" t="n">
        <f aca="false">Z93*Input!$H$147</f>
        <v>0.706070355574759</v>
      </c>
      <c r="AA124" s="48" t="n">
        <f aca="false">AA93*Input!$H$147</f>
        <v>0.988295892228586</v>
      </c>
      <c r="AB124" s="48" t="n">
        <f aca="false">AB93*Input!$H$147</f>
        <v>0.667551100580235</v>
      </c>
      <c r="AC124" s="48" t="n">
        <f aca="false">AC93*Input!$H$147</f>
        <v>2.1573076996074</v>
      </c>
      <c r="AD124" s="48" t="n">
        <f aca="false">AD93*Input!$H$147</f>
        <v>3.04118086498313</v>
      </c>
      <c r="AE124" s="48" t="n">
        <f aca="false">AE93*Input!$H$147</f>
        <v>2.74159160335769</v>
      </c>
      <c r="AF124" s="48" t="n">
        <f aca="false">AF93*Input!$H$147</f>
        <v>2.74151187643306</v>
      </c>
      <c r="AG124" s="48" t="n">
        <f aca="false">AG93*Input!$H$147</f>
        <v>3.04181795035451</v>
      </c>
      <c r="AH124" s="48" t="n">
        <f aca="false">AH93*Input!$H$147</f>
        <v>2.49292689437645</v>
      </c>
      <c r="AI124" s="48" t="n">
        <f aca="false">AI93*Input!$H$147</f>
        <v>2.74130688415329</v>
      </c>
      <c r="AJ124" s="48" t="n">
        <f aca="false">AJ93*Input!$H$147</f>
        <v>3.0424612078129</v>
      </c>
      <c r="AK124" s="48" t="n">
        <f aca="false">AK93*Input!$H$147</f>
        <v>3.26932544275199</v>
      </c>
      <c r="AL124" s="48" t="n">
        <f aca="false">AL93*Input!$H$147</f>
        <v>3.42015748121898</v>
      </c>
      <c r="AM124" s="48" t="n">
        <f aca="false">AM93*Input!$H$147</f>
        <v>3.72215446035708</v>
      </c>
      <c r="AN124" s="48" t="n">
        <f aca="false">AN93*Input!$H$147</f>
        <v>3.42002295398127</v>
      </c>
      <c r="AO124" s="48" t="n">
        <f aca="false">AO93*Input!$H$147</f>
        <v>3.41995791974093</v>
      </c>
      <c r="AP124" s="48" t="n">
        <f aca="false">AP93*Input!$H$147</f>
        <v>3.72258795424258</v>
      </c>
      <c r="AQ124" s="48" t="n">
        <f aca="false">AQ93*Input!$H$147</f>
        <v>3.41995791974093</v>
      </c>
      <c r="AR124" s="48" t="n">
        <f aca="false">AR93*Input!$H$147</f>
        <v>3.16929766528817</v>
      </c>
      <c r="AS124" s="48" t="n">
        <f aca="false">AS93*Input!$H$147</f>
        <v>3.72258795424258</v>
      </c>
      <c r="AT124" s="48" t="n">
        <f aca="false">AT93*Input!$H$147</f>
        <v>6.51468878305287</v>
      </c>
      <c r="AU124" s="48" t="n">
        <f aca="false">AU93*Input!$H$147</f>
        <v>6.83991583948187</v>
      </c>
      <c r="AV124" s="48" t="n">
        <f aca="false">AV93*Input!$H$147</f>
        <v>7.44517590848515</v>
      </c>
      <c r="AW124" s="48" t="n">
        <f aca="false">AW93*Input!$H$147</f>
        <v>6.83991583948187</v>
      </c>
      <c r="AX124" s="48" t="n">
        <f aca="false">AX93*Input!$H$147</f>
        <v>6.83991583948187</v>
      </c>
      <c r="AY124" s="48" t="n">
        <f aca="false">AY93*Input!$H$147</f>
        <v>7.44517590848515</v>
      </c>
      <c r="AZ124" s="48" t="n">
        <f aca="false">AZ93*Input!$H$147</f>
        <v>6.83991583948187</v>
      </c>
      <c r="BA124" s="48" t="n">
        <f aca="false">BA93*Input!$H$147</f>
        <v>6.83991583948187</v>
      </c>
      <c r="BB124" s="48" t="n">
        <f aca="false">BB93*Input!$H$147</f>
        <v>6.48418562785259</v>
      </c>
      <c r="BC124" s="48" t="n">
        <f aca="false">BC93*Input!$H$147</f>
        <v>7.84591583948187</v>
      </c>
      <c r="BD124" s="48" t="n">
        <f aca="false">BD93*Input!$H$147</f>
        <v>7.84591583948187</v>
      </c>
      <c r="BE124" s="48" t="n">
        <f aca="false">BE93*Input!$H$147</f>
        <v>8.45117590848516</v>
      </c>
      <c r="BF124" s="48" t="n">
        <f aca="false">BF93*Input!$H$147</f>
        <v>7.84591583948187</v>
      </c>
      <c r="BG124" s="48" t="n">
        <f aca="false">BG93*Input!$H$147</f>
        <v>7.84591583948187</v>
      </c>
      <c r="BH124" s="48" t="n">
        <f aca="false">BH93*Input!$H$147</f>
        <v>8.45117590848516</v>
      </c>
      <c r="BI124" s="48" t="n">
        <f aca="false">BI93*Input!$H$147</f>
        <v>7.84591583948187</v>
      </c>
      <c r="BJ124" s="48" t="n">
        <f aca="false">BJ93*Input!$H$147</f>
        <v>7.84591583948187</v>
      </c>
      <c r="BK124" s="48" t="n">
        <f aca="false">BK93*Input!$H$147</f>
        <v>8.45117590848516</v>
      </c>
      <c r="BL124" s="48" t="n">
        <f aca="false">BL93*Input!$H$147</f>
        <v>7.34459533057635</v>
      </c>
      <c r="BM124" s="48" t="n">
        <f aca="false">BM93*Input!$H$147</f>
        <v>7.84591583948187</v>
      </c>
      <c r="BN124" s="48" t="n">
        <f aca="false">BN93*Input!$H$147</f>
        <v>8.45117590848516</v>
      </c>
      <c r="BO124" s="48" t="n">
        <f aca="false">BO93*Input!$H$147</f>
        <v>7.84591583948187</v>
      </c>
      <c r="BP124" s="48" t="n">
        <f aca="false">BP93*Input!$H$147</f>
        <v>7.84591583948187</v>
      </c>
      <c r="BQ124" s="48" t="n">
        <f aca="false">BQ93*Input!$H$147</f>
        <v>8.45117590848516</v>
      </c>
      <c r="BR124" s="48" t="n">
        <f aca="false">BR93*Input!$H$147</f>
        <v>7.84591583948187</v>
      </c>
      <c r="BS124" s="48" t="n">
        <f aca="false">BS93*Input!$H$147</f>
        <v>7.84591583948187</v>
      </c>
      <c r="BT124" s="48" t="n">
        <f aca="false">BT93*Input!$H$147</f>
        <v>8.45117590848516</v>
      </c>
      <c r="BU124" s="48" t="n">
        <f aca="false">BU93*Input!$H$147</f>
        <v>7.84591583948187</v>
      </c>
      <c r="BV124" s="48" t="n">
        <f aca="false">BV93*Input!$H$147</f>
        <v>7.34459533057635</v>
      </c>
      <c r="BW124" s="48" t="n">
        <f aca="false">BW93*Input!$H$147</f>
        <v>0</v>
      </c>
      <c r="BX124" s="48" t="n">
        <f aca="false">BX93*Input!$H$147</f>
        <v>0</v>
      </c>
    </row>
    <row r="125" customFormat="false" ht="15" hidden="false" customHeight="false" outlineLevel="0" collapsed="false">
      <c r="A125" s="1"/>
      <c r="B125" s="8" t="s">
        <v>385</v>
      </c>
      <c r="C125" s="8" t="s">
        <v>126</v>
      </c>
      <c r="D125" s="44" t="n">
        <f aca="false">SUM(G125:BX125)</f>
        <v>295.385039728765</v>
      </c>
      <c r="E125" s="1"/>
      <c r="F125" s="1"/>
      <c r="G125" s="48" t="n">
        <f aca="false">G93*Input!$H$148</f>
        <v>0</v>
      </c>
      <c r="H125" s="48" t="n">
        <f aca="false">H93*Input!$H$148</f>
        <v>0</v>
      </c>
      <c r="I125" s="48" t="n">
        <f aca="false">I93*Input!$H$148</f>
        <v>0</v>
      </c>
      <c r="J125" s="48" t="n">
        <f aca="false">J93*Input!$H$148</f>
        <v>0</v>
      </c>
      <c r="K125" s="48" t="n">
        <f aca="false">K93*Input!$H$148</f>
        <v>0</v>
      </c>
      <c r="L125" s="48" t="n">
        <f aca="false">L93*Input!$H$148</f>
        <v>0</v>
      </c>
      <c r="M125" s="48" t="n">
        <f aca="false">M93*Input!$H$148</f>
        <v>0</v>
      </c>
      <c r="N125" s="48" t="n">
        <f aca="false">N93*Input!$H$148</f>
        <v>0</v>
      </c>
      <c r="O125" s="48" t="n">
        <f aca="false">O93*Input!$H$148</f>
        <v>0</v>
      </c>
      <c r="P125" s="48" t="n">
        <f aca="false">P93*Input!$H$148</f>
        <v>0</v>
      </c>
      <c r="Q125" s="48" t="n">
        <f aca="false">Q93*Input!$H$148</f>
        <v>0</v>
      </c>
      <c r="R125" s="48" t="n">
        <f aca="false">R93*Input!$H$148</f>
        <v>0</v>
      </c>
      <c r="S125" s="48" t="n">
        <f aca="false">S93*Input!$H$148</f>
        <v>0</v>
      </c>
      <c r="T125" s="48" t="n">
        <f aca="false">T93*Input!$H$148</f>
        <v>0</v>
      </c>
      <c r="U125" s="48" t="n">
        <f aca="false">U93*Input!$H$148</f>
        <v>0</v>
      </c>
      <c r="V125" s="48" t="n">
        <f aca="false">V93*Input!$H$148</f>
        <v>0</v>
      </c>
      <c r="W125" s="48" t="n">
        <f aca="false">W93*Input!$H$148</f>
        <v>0</v>
      </c>
      <c r="X125" s="48" t="n">
        <f aca="false">X93*Input!$H$148</f>
        <v>0</v>
      </c>
      <c r="Y125" s="48" t="n">
        <f aca="false">Y93*Input!$H$148</f>
        <v>0.770668930847524</v>
      </c>
      <c r="Z125" s="48" t="n">
        <f aca="false">Z93*Input!$H$148</f>
        <v>0.750199752798182</v>
      </c>
      <c r="AA125" s="48" t="n">
        <f aca="false">AA93*Input!$H$148</f>
        <v>1.05006438549287</v>
      </c>
      <c r="AB125" s="48" t="n">
        <f aca="false">AB93*Input!$H$148</f>
        <v>0.709273044366499</v>
      </c>
      <c r="AC125" s="48" t="n">
        <f aca="false">AC93*Input!$H$148</f>
        <v>2.29213943083286</v>
      </c>
      <c r="AD125" s="48" t="n">
        <f aca="false">AD93*Input!$H$148</f>
        <v>3.23125466904458</v>
      </c>
      <c r="AE125" s="48" t="n">
        <f aca="false">AE93*Input!$H$148</f>
        <v>2.91294107856754</v>
      </c>
      <c r="AF125" s="48" t="n">
        <f aca="false">AF93*Input!$H$148</f>
        <v>2.91285636871013</v>
      </c>
      <c r="AG125" s="48" t="n">
        <f aca="false">AG93*Input!$H$148</f>
        <v>3.23193157225167</v>
      </c>
      <c r="AH125" s="48" t="n">
        <f aca="false">AH93*Input!$H$148</f>
        <v>2.64873482527497</v>
      </c>
      <c r="AI125" s="48" t="n">
        <f aca="false">AI93*Input!$H$148</f>
        <v>2.91263856441287</v>
      </c>
      <c r="AJ125" s="48" t="n">
        <f aca="false">AJ93*Input!$H$148</f>
        <v>3.23261503330121</v>
      </c>
      <c r="AK125" s="48" t="n">
        <f aca="false">AK93*Input!$H$148</f>
        <v>3.47365828292399</v>
      </c>
      <c r="AL125" s="48" t="n">
        <f aca="false">AL93*Input!$H$148</f>
        <v>3.63391732379516</v>
      </c>
      <c r="AM125" s="48" t="n">
        <f aca="false">AM93*Input!$H$148</f>
        <v>3.95478911412939</v>
      </c>
      <c r="AN125" s="48" t="n">
        <f aca="false">AN93*Input!$H$148</f>
        <v>3.6337743886051</v>
      </c>
      <c r="AO125" s="48" t="n">
        <f aca="false">AO93*Input!$H$148</f>
        <v>3.63370528972474</v>
      </c>
      <c r="AP125" s="48" t="n">
        <f aca="false">AP93*Input!$H$148</f>
        <v>3.95524970138274</v>
      </c>
      <c r="AQ125" s="48" t="n">
        <f aca="false">AQ93*Input!$H$148</f>
        <v>3.63370528972474</v>
      </c>
      <c r="AR125" s="48" t="n">
        <f aca="false">AR93*Input!$H$148</f>
        <v>3.36737876936869</v>
      </c>
      <c r="AS125" s="48" t="n">
        <f aca="false">AS93*Input!$H$148</f>
        <v>3.95524970138274</v>
      </c>
      <c r="AT125" s="48" t="n">
        <f aca="false">AT93*Input!$H$148</f>
        <v>6.92185683199368</v>
      </c>
      <c r="AU125" s="48" t="n">
        <f aca="false">AU93*Input!$H$148</f>
        <v>7.26741057944948</v>
      </c>
      <c r="AV125" s="48" t="n">
        <f aca="false">AV93*Input!$H$148</f>
        <v>7.91049940276548</v>
      </c>
      <c r="AW125" s="48" t="n">
        <f aca="false">AW93*Input!$H$148</f>
        <v>7.26741057944948</v>
      </c>
      <c r="AX125" s="48" t="n">
        <f aca="false">AX93*Input!$H$148</f>
        <v>7.26741057944948</v>
      </c>
      <c r="AY125" s="48" t="n">
        <f aca="false">AY93*Input!$H$148</f>
        <v>7.91049940276548</v>
      </c>
      <c r="AZ125" s="48" t="n">
        <f aca="false">AZ93*Input!$H$148</f>
        <v>7.26741057944948</v>
      </c>
      <c r="BA125" s="48" t="n">
        <f aca="false">BA93*Input!$H$148</f>
        <v>7.26741057944948</v>
      </c>
      <c r="BB125" s="48" t="n">
        <f aca="false">BB93*Input!$H$148</f>
        <v>6.88944722959337</v>
      </c>
      <c r="BC125" s="48" t="n">
        <f aca="false">BC93*Input!$H$148</f>
        <v>8.33628557944948</v>
      </c>
      <c r="BD125" s="48" t="n">
        <f aca="false">BD93*Input!$H$148</f>
        <v>8.33628557944948</v>
      </c>
      <c r="BE125" s="48" t="n">
        <f aca="false">BE93*Input!$H$148</f>
        <v>8.97937440276548</v>
      </c>
      <c r="BF125" s="48" t="n">
        <f aca="false">BF93*Input!$H$148</f>
        <v>8.33628557944948</v>
      </c>
      <c r="BG125" s="48" t="n">
        <f aca="false">BG93*Input!$H$148</f>
        <v>8.33628557944948</v>
      </c>
      <c r="BH125" s="48" t="n">
        <f aca="false">BH93*Input!$H$148</f>
        <v>8.97937440276548</v>
      </c>
      <c r="BI125" s="48" t="n">
        <f aca="false">BI93*Input!$H$148</f>
        <v>8.33628557944948</v>
      </c>
      <c r="BJ125" s="48" t="n">
        <f aca="false">BJ93*Input!$H$148</f>
        <v>8.33628557944948</v>
      </c>
      <c r="BK125" s="48" t="n">
        <f aca="false">BK93*Input!$H$148</f>
        <v>8.97937440276548</v>
      </c>
      <c r="BL125" s="48" t="n">
        <f aca="false">BL93*Input!$H$148</f>
        <v>7.80363253873737</v>
      </c>
      <c r="BM125" s="48" t="n">
        <f aca="false">BM93*Input!$H$148</f>
        <v>8.33628557944948</v>
      </c>
      <c r="BN125" s="48" t="n">
        <f aca="false">BN93*Input!$H$148</f>
        <v>8.97937440276548</v>
      </c>
      <c r="BO125" s="48" t="n">
        <f aca="false">BO93*Input!$H$148</f>
        <v>8.33628557944948</v>
      </c>
      <c r="BP125" s="48" t="n">
        <f aca="false">BP93*Input!$H$148</f>
        <v>8.33628557944948</v>
      </c>
      <c r="BQ125" s="48" t="n">
        <f aca="false">BQ93*Input!$H$148</f>
        <v>8.97937440276548</v>
      </c>
      <c r="BR125" s="48" t="n">
        <f aca="false">BR93*Input!$H$148</f>
        <v>8.33628557944948</v>
      </c>
      <c r="BS125" s="48" t="n">
        <f aca="false">BS93*Input!$H$148</f>
        <v>8.33628557944948</v>
      </c>
      <c r="BT125" s="48" t="n">
        <f aca="false">BT93*Input!$H$148</f>
        <v>8.97937440276548</v>
      </c>
      <c r="BU125" s="48" t="n">
        <f aca="false">BU93*Input!$H$148</f>
        <v>8.33628557944948</v>
      </c>
      <c r="BV125" s="48" t="n">
        <f aca="false">BV93*Input!$H$148</f>
        <v>7.80363253873737</v>
      </c>
      <c r="BW125" s="48" t="n">
        <f aca="false">BW93*Input!$H$148</f>
        <v>0</v>
      </c>
      <c r="BX125" s="48" t="n">
        <f aca="false">BX93*Input!$H$148</f>
        <v>0</v>
      </c>
    </row>
    <row r="126" customFormat="false" ht="15" hidden="false" customHeight="false" outlineLevel="0" collapsed="false">
      <c r="A126" s="1"/>
      <c r="B126" s="8" t="s">
        <v>386</v>
      </c>
      <c r="C126" s="8" t="s">
        <v>126</v>
      </c>
      <c r="D126" s="44" t="n">
        <f aca="false">SUM(G126:BX126)</f>
        <v>399.638583162447</v>
      </c>
      <c r="E126" s="1"/>
      <c r="F126" s="1"/>
      <c r="G126" s="48" t="n">
        <f aca="false">G93*Input!$H$149</f>
        <v>0</v>
      </c>
      <c r="H126" s="48" t="n">
        <f aca="false">H93*Input!$H$149</f>
        <v>0</v>
      </c>
      <c r="I126" s="48" t="n">
        <f aca="false">I93*Input!$H$149</f>
        <v>0</v>
      </c>
      <c r="J126" s="48" t="n">
        <f aca="false">J93*Input!$H$149</f>
        <v>0</v>
      </c>
      <c r="K126" s="48" t="n">
        <f aca="false">K93*Input!$H$149</f>
        <v>0</v>
      </c>
      <c r="L126" s="48" t="n">
        <f aca="false">L93*Input!$H$149</f>
        <v>0</v>
      </c>
      <c r="M126" s="48" t="n">
        <f aca="false">M93*Input!$H$149</f>
        <v>0</v>
      </c>
      <c r="N126" s="48" t="n">
        <f aca="false">N93*Input!$H$149</f>
        <v>0</v>
      </c>
      <c r="O126" s="48" t="n">
        <f aca="false">O93*Input!$H$149</f>
        <v>0</v>
      </c>
      <c r="P126" s="48" t="n">
        <f aca="false">P93*Input!$H$149</f>
        <v>0</v>
      </c>
      <c r="Q126" s="48" t="n">
        <f aca="false">Q93*Input!$H$149</f>
        <v>0</v>
      </c>
      <c r="R126" s="48" t="n">
        <f aca="false">R93*Input!$H$149</f>
        <v>0</v>
      </c>
      <c r="S126" s="48" t="n">
        <f aca="false">S93*Input!$H$149</f>
        <v>0</v>
      </c>
      <c r="T126" s="48" t="n">
        <f aca="false">T93*Input!$H$149</f>
        <v>0</v>
      </c>
      <c r="U126" s="48" t="n">
        <f aca="false">U93*Input!$H$149</f>
        <v>0</v>
      </c>
      <c r="V126" s="48" t="n">
        <f aca="false">V93*Input!$H$149</f>
        <v>0</v>
      </c>
      <c r="W126" s="48" t="n">
        <f aca="false">W93*Input!$H$149</f>
        <v>0</v>
      </c>
      <c r="X126" s="48" t="n">
        <f aca="false">X93*Input!$H$149</f>
        <v>0</v>
      </c>
      <c r="Y126" s="48" t="n">
        <f aca="false">Y93*Input!$H$149</f>
        <v>1.04266972997018</v>
      </c>
      <c r="Z126" s="48" t="n">
        <f aca="false">Z93*Input!$H$149</f>
        <v>1.01497613613872</v>
      </c>
      <c r="AA126" s="48" t="n">
        <f aca="false">AA93*Input!$H$149</f>
        <v>1.42067534507859</v>
      </c>
      <c r="AB126" s="48" t="n">
        <f aca="false">AB93*Input!$H$149</f>
        <v>0.959604707084087</v>
      </c>
      <c r="AC126" s="48" t="n">
        <f aca="false">AC93*Input!$H$149</f>
        <v>3.10112981818563</v>
      </c>
      <c r="AD126" s="48" t="n">
        <f aca="false">AD93*Input!$H$149</f>
        <v>4.37169749341325</v>
      </c>
      <c r="AE126" s="48" t="n">
        <f aca="false">AE93*Input!$H$149</f>
        <v>3.94103792982667</v>
      </c>
      <c r="AF126" s="48" t="n">
        <f aca="false">AF93*Input!$H$149</f>
        <v>3.94092332237252</v>
      </c>
      <c r="AG126" s="48" t="n">
        <f aca="false">AG93*Input!$H$149</f>
        <v>4.37261330363461</v>
      </c>
      <c r="AH126" s="48" t="n">
        <f aca="false">AH93*Input!$H$149</f>
        <v>3.58358241066614</v>
      </c>
      <c r="AI126" s="48" t="n">
        <f aca="false">AI93*Input!$H$149</f>
        <v>3.94062864597035</v>
      </c>
      <c r="AJ126" s="48" t="n">
        <f aca="false">AJ93*Input!$H$149</f>
        <v>4.37353798623104</v>
      </c>
      <c r="AK126" s="48" t="n">
        <f aca="false">AK93*Input!$H$149</f>
        <v>4.69965532395599</v>
      </c>
      <c r="AL126" s="48" t="n">
        <f aca="false">AL93*Input!$H$149</f>
        <v>4.91647637925228</v>
      </c>
      <c r="AM126" s="48" t="n">
        <f aca="false">AM93*Input!$H$149</f>
        <v>5.3505970367633</v>
      </c>
      <c r="AN126" s="48" t="n">
        <f aca="false">AN93*Input!$H$149</f>
        <v>4.91628299634807</v>
      </c>
      <c r="AO126" s="48" t="n">
        <f aca="false">AO93*Input!$H$149</f>
        <v>4.91618950962759</v>
      </c>
      <c r="AP126" s="48" t="n">
        <f aca="false">AP93*Input!$H$149</f>
        <v>5.3512201842237</v>
      </c>
      <c r="AQ126" s="48" t="n">
        <f aca="false">AQ93*Input!$H$149</f>
        <v>4.91618950962759</v>
      </c>
      <c r="AR126" s="48" t="n">
        <f aca="false">AR93*Input!$H$149</f>
        <v>4.55586539385175</v>
      </c>
      <c r="AS126" s="48" t="n">
        <f aca="false">AS93*Input!$H$149</f>
        <v>5.3512201842237</v>
      </c>
      <c r="AT126" s="48" t="n">
        <f aca="false">AT93*Input!$H$149</f>
        <v>9.3648651256385</v>
      </c>
      <c r="AU126" s="48" t="n">
        <f aca="false">AU93*Input!$H$149</f>
        <v>9.83237901925518</v>
      </c>
      <c r="AV126" s="48" t="n">
        <f aca="false">AV93*Input!$H$149</f>
        <v>10.7024403684474</v>
      </c>
      <c r="AW126" s="48" t="n">
        <f aca="false">AW93*Input!$H$149</f>
        <v>9.83237901925518</v>
      </c>
      <c r="AX126" s="48" t="n">
        <f aca="false">AX93*Input!$H$149</f>
        <v>9.83237901925518</v>
      </c>
      <c r="AY126" s="48" t="n">
        <f aca="false">AY93*Input!$H$149</f>
        <v>10.7024403684474</v>
      </c>
      <c r="AZ126" s="48" t="n">
        <f aca="false">AZ93*Input!$H$149</f>
        <v>9.83237901925518</v>
      </c>
      <c r="BA126" s="48" t="n">
        <f aca="false">BA93*Input!$H$149</f>
        <v>9.83237901925518</v>
      </c>
      <c r="BB126" s="48" t="n">
        <f aca="false">BB93*Input!$H$149</f>
        <v>9.32101684003809</v>
      </c>
      <c r="BC126" s="48" t="n">
        <f aca="false">BC93*Input!$H$149</f>
        <v>11.2785040192552</v>
      </c>
      <c r="BD126" s="48" t="n">
        <f aca="false">BD93*Input!$H$149</f>
        <v>11.2785040192552</v>
      </c>
      <c r="BE126" s="48" t="n">
        <f aca="false">BE93*Input!$H$149</f>
        <v>12.1485653684474</v>
      </c>
      <c r="BF126" s="48" t="n">
        <f aca="false">BF93*Input!$H$149</f>
        <v>11.2785040192552</v>
      </c>
      <c r="BG126" s="48" t="n">
        <f aca="false">BG93*Input!$H$149</f>
        <v>11.2785040192552</v>
      </c>
      <c r="BH126" s="48" t="n">
        <f aca="false">BH93*Input!$H$149</f>
        <v>12.1485653684474</v>
      </c>
      <c r="BI126" s="48" t="n">
        <f aca="false">BI93*Input!$H$149</f>
        <v>11.2785040192552</v>
      </c>
      <c r="BJ126" s="48" t="n">
        <f aca="false">BJ93*Input!$H$149</f>
        <v>11.2785040192552</v>
      </c>
      <c r="BK126" s="48" t="n">
        <f aca="false">BK93*Input!$H$149</f>
        <v>12.1485653684474</v>
      </c>
      <c r="BL126" s="48" t="n">
        <f aca="false">BL93*Input!$H$149</f>
        <v>10.5578557877035</v>
      </c>
      <c r="BM126" s="48" t="n">
        <f aca="false">BM93*Input!$H$149</f>
        <v>11.2785040192552</v>
      </c>
      <c r="BN126" s="48" t="n">
        <f aca="false">BN93*Input!$H$149</f>
        <v>12.1485653684474</v>
      </c>
      <c r="BO126" s="48" t="n">
        <f aca="false">BO93*Input!$H$149</f>
        <v>11.2785040192552</v>
      </c>
      <c r="BP126" s="48" t="n">
        <f aca="false">BP93*Input!$H$149</f>
        <v>11.2785040192552</v>
      </c>
      <c r="BQ126" s="48" t="n">
        <f aca="false">BQ93*Input!$H$149</f>
        <v>12.1485653684474</v>
      </c>
      <c r="BR126" s="48" t="n">
        <f aca="false">BR93*Input!$H$149</f>
        <v>11.2785040192552</v>
      </c>
      <c r="BS126" s="48" t="n">
        <f aca="false">BS93*Input!$H$149</f>
        <v>11.2785040192552</v>
      </c>
      <c r="BT126" s="48" t="n">
        <f aca="false">BT93*Input!$H$149</f>
        <v>12.1485653684474</v>
      </c>
      <c r="BU126" s="48" t="n">
        <f aca="false">BU93*Input!$H$149</f>
        <v>11.2785040192552</v>
      </c>
      <c r="BV126" s="48" t="n">
        <f aca="false">BV93*Input!$H$149</f>
        <v>10.5578557877035</v>
      </c>
      <c r="BW126" s="48" t="n">
        <f aca="false">BW93*Input!$H$149</f>
        <v>0</v>
      </c>
      <c r="BX126" s="48" t="n">
        <f aca="false">BX93*Input!$H$149</f>
        <v>0</v>
      </c>
    </row>
    <row r="127" customFormat="false" ht="15" hidden="false" customHeight="false" outlineLevel="0" collapsed="false">
      <c r="A127" s="1"/>
      <c r="B127" s="8" t="s">
        <v>387</v>
      </c>
      <c r="C127" s="1"/>
      <c r="D127" s="48" t="n">
        <f aca="false">$D$20*1000/(1+Input!$H$154)</f>
        <v>240703.85126162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</row>
    <row r="128" customFormat="false" ht="15" hidden="false" customHeight="false" outlineLevel="0" collapsed="false">
      <c r="A128" s="1"/>
      <c r="B128" s="8" t="s">
        <v>388</v>
      </c>
      <c r="C128" s="1"/>
      <c r="D128" s="48" t="n">
        <f aca="false">$D$127*(1-Input!$H$153)</f>
        <v>207703.353253652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</row>
    <row r="129" customFormat="false" ht="15" hidden="false" customHeight="false" outlineLevel="0" collapsed="false">
      <c r="A129" s="1"/>
      <c r="B129" s="8" t="s">
        <v>389</v>
      </c>
      <c r="C129" s="1"/>
      <c r="D129" s="48" t="n">
        <f aca="false">MAX(Input!$H$156*MIN($D$128,Input!$H$155)+Input!$H$157*MAX($D$128-Input!$H$155,0)-Input!$H$158,0)</f>
        <v>38865.0730411687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</row>
    <row r="130" customFormat="false" ht="15" hidden="false" customHeight="false" outlineLevel="0" collapsed="false">
      <c r="A130" s="1"/>
      <c r="B130" s="8" t="s">
        <v>390</v>
      </c>
      <c r="C130" s="1"/>
      <c r="D130" s="48" t="n">
        <f aca="false">Input!$H$160*12*(1-Input!$H$153)</f>
        <v>93193.2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</row>
    <row r="131" customFormat="false" ht="15" hidden="false" customHeight="false" outlineLevel="0" collapsed="false">
      <c r="A131" s="1"/>
      <c r="B131" s="8" t="s">
        <v>391</v>
      </c>
      <c r="C131" s="8" t="s">
        <v>126</v>
      </c>
      <c r="D131" s="44" t="n">
        <f aca="false">SUM(G131:BX131)</f>
        <v>102.595157285857</v>
      </c>
      <c r="E131" s="1"/>
      <c r="F131" s="1"/>
      <c r="G131" s="48" t="n">
        <f aca="false">(G42*$D$19*$D$128*Input!$H$159+G41*$D$36*G47/MAX($G$47:$BX$47)*$D$130*Input!$H$161)*Input!$H$150/1000000</f>
        <v>0</v>
      </c>
      <c r="H131" s="48" t="n">
        <f aca="false">(H42*$D$19*$D$128*Input!$H$159+H41*$D$36*H47/MAX($G$47:$BX$47)*$D$130*Input!$H$161)*Input!$H$150/1000000</f>
        <v>0</v>
      </c>
      <c r="I131" s="48" t="n">
        <f aca="false">(I42*$D$19*$D$128*Input!$H$159+I41*$D$36*I47/MAX($G$47:$BX$47)*$D$130*Input!$H$161)*Input!$H$150/1000000</f>
        <v>0</v>
      </c>
      <c r="J131" s="48" t="n">
        <f aca="false">(J42*$D$19*$D$128*Input!$H$159+J41*$D$36*J47/MAX($G$47:$BX$47)*$D$130*Input!$H$161)*Input!$H$150/1000000</f>
        <v>1.05312831773182</v>
      </c>
      <c r="K131" s="48" t="n">
        <f aca="false">(K42*$D$19*$D$128*Input!$H$159+K41*$D$36*K47/MAX($G$47:$BX$47)*$D$130*Input!$H$161)*Input!$H$150/1000000</f>
        <v>1.91416905726818</v>
      </c>
      <c r="L131" s="48" t="n">
        <f aca="false">(L42*$D$19*$D$128*Input!$H$159+L41*$D$36*L47/MAX($G$47:$BX$47)*$D$130*Input!$H$161)*Input!$H$150/1000000</f>
        <v>2.4463215</v>
      </c>
      <c r="M131" s="48" t="n">
        <f aca="false">(M42*$D$19*$D$128*Input!$H$159+M41*$D$36*M47/MAX($G$47:$BX$47)*$D$130*Input!$H$161)*Input!$H$150/1000000</f>
        <v>1.91416905726818</v>
      </c>
      <c r="N131" s="48" t="n">
        <f aca="false">(N42*$D$19*$D$128*Input!$H$159+N41*$D$36*N47/MAX($G$47:$BX$47)*$D$130*Input!$H$161)*Input!$H$150/1000000</f>
        <v>1.05312831773182</v>
      </c>
      <c r="O131" s="48" t="n">
        <f aca="false">(O42*$D$19*$D$128*Input!$H$159+O41*$D$36*O47/MAX($G$47:$BX$47)*$D$130*Input!$H$161)*Input!$H$150/1000000</f>
        <v>1.57023735059761</v>
      </c>
      <c r="P131" s="48" t="n">
        <f aca="false">(P42*$D$19*$D$128*Input!$H$159+P41*$D$36*P47/MAX($G$47:$BX$47)*$D$130*Input!$H$161)*Input!$H$150/1000000</f>
        <v>1.57023735059761</v>
      </c>
      <c r="Q131" s="48" t="n">
        <f aca="false">(Q42*$D$19*$D$128*Input!$H$159+Q41*$D$36*Q47/MAX($G$47:$BX$47)*$D$130*Input!$H$161)*Input!$H$150/1000000</f>
        <v>1.57023735059761</v>
      </c>
      <c r="R131" s="48" t="n">
        <f aca="false">(R42*$D$19*$D$128*Input!$H$159+R41*$D$36*R47/MAX($G$47:$BX$47)*$D$130*Input!$H$161)*Input!$H$150/1000000</f>
        <v>1.57023735059761</v>
      </c>
      <c r="S131" s="48" t="n">
        <f aca="false">(S42*$D$19*$D$128*Input!$H$159+S41*$D$36*S47/MAX($G$47:$BX$47)*$D$130*Input!$H$161)*Input!$H$150/1000000</f>
        <v>1.57023735059761</v>
      </c>
      <c r="T131" s="48" t="n">
        <f aca="false">(T42*$D$19*$D$128*Input!$H$159+T41*$D$36*T47/MAX($G$47:$BX$47)*$D$130*Input!$H$161)*Input!$H$150/1000000</f>
        <v>1.57023735059761</v>
      </c>
      <c r="U131" s="48" t="n">
        <f aca="false">(U42*$D$19*$D$128*Input!$H$159+U41*$D$36*U47/MAX($G$47:$BX$47)*$D$130*Input!$H$161)*Input!$H$150/1000000</f>
        <v>1.57023735059761</v>
      </c>
      <c r="V131" s="48" t="n">
        <f aca="false">(V42*$D$19*$D$128*Input!$H$159+V41*$D$36*V47/MAX($G$47:$BX$47)*$D$130*Input!$H$161)*Input!$H$150/1000000</f>
        <v>1.57023735059761</v>
      </c>
      <c r="W131" s="48" t="n">
        <f aca="false">(W42*$D$19*$D$128*Input!$H$159+W41*$D$36*W47/MAX($G$47:$BX$47)*$D$130*Input!$H$161)*Input!$H$150/1000000</f>
        <v>1.57023735059761</v>
      </c>
      <c r="X131" s="48" t="n">
        <f aca="false">(X42*$D$19*$D$128*Input!$H$159+X41*$D$36*X47/MAX($G$47:$BX$47)*$D$130*Input!$H$161)*Input!$H$150/1000000</f>
        <v>1.57023735059761</v>
      </c>
      <c r="Y131" s="48" t="n">
        <f aca="false">(Y42*$D$19*$D$128*Input!$H$159+Y41*$D$36*Y47/MAX($G$47:$BX$47)*$D$130*Input!$H$161)*Input!$H$150/1000000</f>
        <v>1.57023735059761</v>
      </c>
      <c r="Z131" s="48" t="n">
        <f aca="false">(Z42*$D$19*$D$128*Input!$H$159+Z41*$D$36*Z47/MAX($G$47:$BX$47)*$D$130*Input!$H$161)*Input!$H$150/1000000</f>
        <v>1.57023735059761</v>
      </c>
      <c r="AA131" s="48" t="n">
        <f aca="false">(AA42*$D$19*$D$128*Input!$H$159+AA41*$D$36*AA47/MAX($G$47:$BX$47)*$D$130*Input!$H$161)*Input!$H$150/1000000</f>
        <v>1.57023735059761</v>
      </c>
      <c r="AB131" s="48" t="n">
        <f aca="false">(AB42*$D$19*$D$128*Input!$H$159+AB41*$D$36*AB47/MAX($G$47:$BX$47)*$D$130*Input!$H$161)*Input!$H$150/1000000</f>
        <v>1.57023735059761</v>
      </c>
      <c r="AC131" s="48" t="n">
        <f aca="false">(AC42*$D$19*$D$128*Input!$H$159+AC41*$D$36*AC47/MAX($G$47:$BX$47)*$D$130*Input!$H$161)*Input!$H$150/1000000</f>
        <v>1.57023735059761</v>
      </c>
      <c r="AD131" s="48" t="n">
        <f aca="false">(AD42*$D$19*$D$128*Input!$H$159+AD41*$D$36*AD47/MAX($G$47:$BX$47)*$D$130*Input!$H$161)*Input!$H$150/1000000</f>
        <v>1.57023735059761</v>
      </c>
      <c r="AE131" s="48" t="n">
        <f aca="false">(AE42*$D$19*$D$128*Input!$H$159+AE41*$D$36*AE47/MAX($G$47:$BX$47)*$D$130*Input!$H$161)*Input!$H$150/1000000</f>
        <v>1.57023735059761</v>
      </c>
      <c r="AF131" s="48" t="n">
        <f aca="false">(AF42*$D$19*$D$128*Input!$H$159+AF41*$D$36*AF47/MAX($G$47:$BX$47)*$D$130*Input!$H$161)*Input!$H$150/1000000</f>
        <v>1.57023735059761</v>
      </c>
      <c r="AG131" s="48" t="n">
        <f aca="false">(AG42*$D$19*$D$128*Input!$H$159+AG41*$D$36*AG47/MAX($G$47:$BX$47)*$D$130*Input!$H$161)*Input!$H$150/1000000</f>
        <v>1.57023735059761</v>
      </c>
      <c r="AH131" s="48" t="n">
        <f aca="false">(AH42*$D$19*$D$128*Input!$H$159+AH41*$D$36*AH47/MAX($G$47:$BX$47)*$D$130*Input!$H$161)*Input!$H$150/1000000</f>
        <v>1.57023735059761</v>
      </c>
      <c r="AI131" s="48" t="n">
        <f aca="false">(AI42*$D$19*$D$128*Input!$H$159+AI41*$D$36*AI47/MAX($G$47:$BX$47)*$D$130*Input!$H$161)*Input!$H$150/1000000</f>
        <v>1.57023735059761</v>
      </c>
      <c r="AJ131" s="48" t="n">
        <f aca="false">(AJ42*$D$19*$D$128*Input!$H$159+AJ41*$D$36*AJ47/MAX($G$47:$BX$47)*$D$130*Input!$H$161)*Input!$H$150/1000000</f>
        <v>1.57023735059761</v>
      </c>
      <c r="AK131" s="48" t="n">
        <f aca="false">(AK42*$D$19*$D$128*Input!$H$159+AK41*$D$36*AK47/MAX($G$47:$BX$47)*$D$130*Input!$H$161)*Input!$H$150/1000000</f>
        <v>1.57023735059761</v>
      </c>
      <c r="AL131" s="48" t="n">
        <f aca="false">(AL42*$D$19*$D$128*Input!$H$159+AL41*$D$36*AL47/MAX($G$47:$BX$47)*$D$130*Input!$H$161)*Input!$H$150/1000000</f>
        <v>1.57023735059761</v>
      </c>
      <c r="AM131" s="48" t="n">
        <f aca="false">(AM42*$D$19*$D$128*Input!$H$159+AM41*$D$36*AM47/MAX($G$47:$BX$47)*$D$130*Input!$H$161)*Input!$H$150/1000000</f>
        <v>1.57023735059761</v>
      </c>
      <c r="AN131" s="48" t="n">
        <f aca="false">(AN42*$D$19*$D$128*Input!$H$159+AN41*$D$36*AN47/MAX($G$47:$BX$47)*$D$130*Input!$H$161)*Input!$H$150/1000000</f>
        <v>1.57023735059761</v>
      </c>
      <c r="AO131" s="48" t="n">
        <f aca="false">(AO42*$D$19*$D$128*Input!$H$159+AO41*$D$36*AO47/MAX($G$47:$BX$47)*$D$130*Input!$H$161)*Input!$H$150/1000000</f>
        <v>1.57023735059761</v>
      </c>
      <c r="AP131" s="48" t="n">
        <f aca="false">(AP42*$D$19*$D$128*Input!$H$159+AP41*$D$36*AP47/MAX($G$47:$BX$47)*$D$130*Input!$H$161)*Input!$H$150/1000000</f>
        <v>1.57023735059761</v>
      </c>
      <c r="AQ131" s="48" t="n">
        <f aca="false">(AQ42*$D$19*$D$128*Input!$H$159+AQ41*$D$36*AQ47/MAX($G$47:$BX$47)*$D$130*Input!$H$161)*Input!$H$150/1000000</f>
        <v>1.57023735059761</v>
      </c>
      <c r="AR131" s="48" t="n">
        <f aca="false">(AR42*$D$19*$D$128*Input!$H$159+AR41*$D$36*AR47/MAX($G$47:$BX$47)*$D$130*Input!$H$161)*Input!$H$150/1000000</f>
        <v>1.57023735059761</v>
      </c>
      <c r="AS131" s="48" t="n">
        <f aca="false">(AS42*$D$19*$D$128*Input!$H$159+AS41*$D$36*AS47/MAX($G$47:$BX$47)*$D$130*Input!$H$161)*Input!$H$150/1000000</f>
        <v>1.57023735059761</v>
      </c>
      <c r="AT131" s="48" t="n">
        <f aca="false">(AT42*$D$19*$D$128*Input!$H$159+AT41*$D$36*AT47/MAX($G$47:$BX$47)*$D$130*Input!$H$161)*Input!$H$150/1000000</f>
        <v>1.57023735059761</v>
      </c>
      <c r="AU131" s="48" t="n">
        <f aca="false">(AU42*$D$19*$D$128*Input!$H$159+AU41*$D$36*AU47/MAX($G$47:$BX$47)*$D$130*Input!$H$161)*Input!$H$150/1000000</f>
        <v>1.57023735059761</v>
      </c>
      <c r="AV131" s="48" t="n">
        <f aca="false">(AV42*$D$19*$D$128*Input!$H$159+AV41*$D$36*AV47/MAX($G$47:$BX$47)*$D$130*Input!$H$161)*Input!$H$150/1000000</f>
        <v>1.57023735059761</v>
      </c>
      <c r="AW131" s="48" t="n">
        <f aca="false">(AW42*$D$19*$D$128*Input!$H$159+AW41*$D$36*AW47/MAX($G$47:$BX$47)*$D$130*Input!$H$161)*Input!$H$150/1000000</f>
        <v>1.57023735059761</v>
      </c>
      <c r="AX131" s="48" t="n">
        <f aca="false">(AX42*$D$19*$D$128*Input!$H$159+AX41*$D$36*AX47/MAX($G$47:$BX$47)*$D$130*Input!$H$161)*Input!$H$150/1000000</f>
        <v>1.57023735059761</v>
      </c>
      <c r="AY131" s="48" t="n">
        <f aca="false">(AY42*$D$19*$D$128*Input!$H$159+AY41*$D$36*AY47/MAX($G$47:$BX$47)*$D$130*Input!$H$161)*Input!$H$150/1000000</f>
        <v>1.57023735059761</v>
      </c>
      <c r="AZ131" s="48" t="n">
        <f aca="false">(AZ42*$D$19*$D$128*Input!$H$159+AZ41*$D$36*AZ47/MAX($G$47:$BX$47)*$D$130*Input!$H$161)*Input!$H$150/1000000</f>
        <v>1.57023735059761</v>
      </c>
      <c r="BA131" s="48" t="n">
        <f aca="false">(BA42*$D$19*$D$128*Input!$H$159+BA41*$D$36*BA47/MAX($G$47:$BX$47)*$D$130*Input!$H$161)*Input!$H$150/1000000</f>
        <v>1.57023735059761</v>
      </c>
      <c r="BB131" s="48" t="n">
        <f aca="false">(BB42*$D$19*$D$128*Input!$H$159+BB41*$D$36*BB47/MAX($G$47:$BX$47)*$D$130*Input!$H$161)*Input!$H$150/1000000</f>
        <v>1.57023735059761</v>
      </c>
      <c r="BC131" s="48" t="n">
        <f aca="false">(BC42*$D$19*$D$128*Input!$H$159+BC41*$D$36*BC47/MAX($G$47:$BX$47)*$D$130*Input!$H$161)*Input!$H$150/1000000</f>
        <v>1.57023735059761</v>
      </c>
      <c r="BD131" s="48" t="n">
        <f aca="false">(BD42*$D$19*$D$128*Input!$H$159+BD41*$D$36*BD47/MAX($G$47:$BX$47)*$D$130*Input!$H$161)*Input!$H$150/1000000</f>
        <v>1.57023735059761</v>
      </c>
      <c r="BE131" s="48" t="n">
        <f aca="false">(BE42*$D$19*$D$128*Input!$H$159+BE41*$D$36*BE47/MAX($G$47:$BX$47)*$D$130*Input!$H$161)*Input!$H$150/1000000</f>
        <v>1.57023735059761</v>
      </c>
      <c r="BF131" s="48" t="n">
        <f aca="false">(BF42*$D$19*$D$128*Input!$H$159+BF41*$D$36*BF47/MAX($G$47:$BX$47)*$D$130*Input!$H$161)*Input!$H$150/1000000</f>
        <v>1.57023735059761</v>
      </c>
      <c r="BG131" s="48" t="n">
        <f aca="false">(BG42*$D$19*$D$128*Input!$H$159+BG41*$D$36*BG47/MAX($G$47:$BX$47)*$D$130*Input!$H$161)*Input!$H$150/1000000</f>
        <v>1.57023735059761</v>
      </c>
      <c r="BH131" s="48" t="n">
        <f aca="false">(BH42*$D$19*$D$128*Input!$H$159+BH41*$D$36*BH47/MAX($G$47:$BX$47)*$D$130*Input!$H$161)*Input!$H$150/1000000</f>
        <v>1.57023735059761</v>
      </c>
      <c r="BI131" s="48" t="n">
        <f aca="false">(BI42*$D$19*$D$128*Input!$H$159+BI41*$D$36*BI47/MAX($G$47:$BX$47)*$D$130*Input!$H$161)*Input!$H$150/1000000</f>
        <v>1.57023735059761</v>
      </c>
      <c r="BJ131" s="48" t="n">
        <f aca="false">(BJ42*$D$19*$D$128*Input!$H$159+BJ41*$D$36*BJ47/MAX($G$47:$BX$47)*$D$130*Input!$H$161)*Input!$H$150/1000000</f>
        <v>1.57023735059761</v>
      </c>
      <c r="BK131" s="48" t="n">
        <f aca="false">(BK42*$D$19*$D$128*Input!$H$159+BK41*$D$36*BK47/MAX($G$47:$BX$47)*$D$130*Input!$H$161)*Input!$H$150/1000000</f>
        <v>1.57023735059761</v>
      </c>
      <c r="BL131" s="48" t="n">
        <f aca="false">(BL42*$D$19*$D$128*Input!$H$159+BL41*$D$36*BL47/MAX($G$47:$BX$47)*$D$130*Input!$H$161)*Input!$H$150/1000000</f>
        <v>1.57023735059761</v>
      </c>
      <c r="BM131" s="48" t="n">
        <f aca="false">(BM42*$D$19*$D$128*Input!$H$159+BM41*$D$36*BM47/MAX($G$47:$BX$47)*$D$130*Input!$H$161)*Input!$H$150/1000000</f>
        <v>1.57023735059761</v>
      </c>
      <c r="BN131" s="48" t="n">
        <f aca="false">(BN42*$D$19*$D$128*Input!$H$159+BN41*$D$36*BN47/MAX($G$47:$BX$47)*$D$130*Input!$H$161)*Input!$H$150/1000000</f>
        <v>1.57023735059761</v>
      </c>
      <c r="BO131" s="48" t="n">
        <f aca="false">(BO42*$D$19*$D$128*Input!$H$159+BO41*$D$36*BO47/MAX($G$47:$BX$47)*$D$130*Input!$H$161)*Input!$H$150/1000000</f>
        <v>1.57023735059761</v>
      </c>
      <c r="BP131" s="48" t="n">
        <f aca="false">(BP42*$D$19*$D$128*Input!$H$159+BP41*$D$36*BP47/MAX($G$47:$BX$47)*$D$130*Input!$H$161)*Input!$H$150/1000000</f>
        <v>1.57023735059761</v>
      </c>
      <c r="BQ131" s="48" t="n">
        <f aca="false">(BQ42*$D$19*$D$128*Input!$H$159+BQ41*$D$36*BQ47/MAX($G$47:$BX$47)*$D$130*Input!$H$161)*Input!$H$150/1000000</f>
        <v>1.57023735059761</v>
      </c>
      <c r="BR131" s="48" t="n">
        <f aca="false">(BR42*$D$19*$D$128*Input!$H$159+BR41*$D$36*BR47/MAX($G$47:$BX$47)*$D$130*Input!$H$161)*Input!$H$150/1000000</f>
        <v>1.57023735059761</v>
      </c>
      <c r="BS131" s="48" t="n">
        <f aca="false">(BS42*$D$19*$D$128*Input!$H$159+BS41*$D$36*BS47/MAX($G$47:$BX$47)*$D$130*Input!$H$161)*Input!$H$150/1000000</f>
        <v>1.57023735059761</v>
      </c>
      <c r="BT131" s="48" t="n">
        <f aca="false">(BT42*$D$19*$D$128*Input!$H$159+BT41*$D$36*BT47/MAX($G$47:$BX$47)*$D$130*Input!$H$161)*Input!$H$150/1000000</f>
        <v>1.57023735059761</v>
      </c>
      <c r="BU131" s="48" t="n">
        <f aca="false">(BU42*$D$19*$D$128*Input!$H$159+BU41*$D$36*BU47/MAX($G$47:$BX$47)*$D$130*Input!$H$161)*Input!$H$150/1000000</f>
        <v>1.57023735059761</v>
      </c>
      <c r="BV131" s="48" t="n">
        <f aca="false">(BV42*$D$19*$D$128*Input!$H$159+BV41*$D$36*BV47/MAX($G$47:$BX$47)*$D$130*Input!$H$161)*Input!$H$150/1000000</f>
        <v>1.57023735059761</v>
      </c>
      <c r="BW131" s="48" t="n">
        <f aca="false">(BW42*$D$19*$D$128*Input!$H$159+BW41*$D$36*BW47/MAX($G$47:$BX$47)*$D$130*Input!$H$161)*Input!$H$150/1000000</f>
        <v>0</v>
      </c>
      <c r="BX131" s="48" t="n">
        <f aca="false">(BX42*$D$19*$D$128*Input!$H$159+BX41*$D$36*BX47/MAX($G$47:$BX$47)*$D$130*Input!$H$161)*Input!$H$150/1000000</f>
        <v>0</v>
      </c>
    </row>
    <row r="132" customFormat="false" ht="15" hidden="false" customHeight="false" outlineLevel="0" collapsed="false">
      <c r="A132" s="1"/>
      <c r="B132" s="8" t="s">
        <v>392</v>
      </c>
      <c r="C132" s="8" t="s">
        <v>126</v>
      </c>
      <c r="D132" s="44" t="n">
        <f aca="false">SUM(G132:BX132)</f>
        <v>29.3129020816733</v>
      </c>
      <c r="E132" s="1"/>
      <c r="F132" s="1"/>
      <c r="G132" s="48" t="n">
        <f aca="false">(G42*$D$19*$D$128*Input!$H$159+G41*$D$36*G47/MAX($G$47:$BX$47)*$D$130*Input!$H$161)*Input!$H$151/1000000</f>
        <v>0</v>
      </c>
      <c r="H132" s="48" t="n">
        <f aca="false">(H42*$D$19*$D$128*Input!$H$159+H41*$D$36*H47/MAX($G$47:$BX$47)*$D$130*Input!$H$161)*Input!$H$151/1000000</f>
        <v>0</v>
      </c>
      <c r="I132" s="48" t="n">
        <f aca="false">(I42*$D$19*$D$128*Input!$H$159+I41*$D$36*I47/MAX($G$47:$BX$47)*$D$130*Input!$H$161)*Input!$H$151/1000000</f>
        <v>0</v>
      </c>
      <c r="J132" s="48" t="n">
        <f aca="false">(J42*$D$19*$D$128*Input!$H$159+J41*$D$36*J47/MAX($G$47:$BX$47)*$D$130*Input!$H$161)*Input!$H$151/1000000</f>
        <v>0.300893805066234</v>
      </c>
      <c r="K132" s="48" t="n">
        <f aca="false">(K42*$D$19*$D$128*Input!$H$159+K41*$D$36*K47/MAX($G$47:$BX$47)*$D$130*Input!$H$161)*Input!$H$151/1000000</f>
        <v>0.546905444933766</v>
      </c>
      <c r="L132" s="48" t="n">
        <f aca="false">(L42*$D$19*$D$128*Input!$H$159+L41*$D$36*L47/MAX($G$47:$BX$47)*$D$130*Input!$H$161)*Input!$H$151/1000000</f>
        <v>0.698949</v>
      </c>
      <c r="M132" s="48" t="n">
        <f aca="false">(M42*$D$19*$D$128*Input!$H$159+M41*$D$36*M47/MAX($G$47:$BX$47)*$D$130*Input!$H$161)*Input!$H$151/1000000</f>
        <v>0.546905444933766</v>
      </c>
      <c r="N132" s="48" t="n">
        <f aca="false">(N42*$D$19*$D$128*Input!$H$159+N41*$D$36*N47/MAX($G$47:$BX$47)*$D$130*Input!$H$161)*Input!$H$151/1000000</f>
        <v>0.300893805066234</v>
      </c>
      <c r="O132" s="48" t="n">
        <f aca="false">(O42*$D$19*$D$128*Input!$H$159+O41*$D$36*O47/MAX($G$47:$BX$47)*$D$130*Input!$H$161)*Input!$H$151/1000000</f>
        <v>0.448639243027888</v>
      </c>
      <c r="P132" s="48" t="n">
        <f aca="false">(P42*$D$19*$D$128*Input!$H$159+P41*$D$36*P47/MAX($G$47:$BX$47)*$D$130*Input!$H$161)*Input!$H$151/1000000</f>
        <v>0.448639243027888</v>
      </c>
      <c r="Q132" s="48" t="n">
        <f aca="false">(Q42*$D$19*$D$128*Input!$H$159+Q41*$D$36*Q47/MAX($G$47:$BX$47)*$D$130*Input!$H$161)*Input!$H$151/1000000</f>
        <v>0.448639243027888</v>
      </c>
      <c r="R132" s="48" t="n">
        <f aca="false">(R42*$D$19*$D$128*Input!$H$159+R41*$D$36*R47/MAX($G$47:$BX$47)*$D$130*Input!$H$161)*Input!$H$151/1000000</f>
        <v>0.448639243027888</v>
      </c>
      <c r="S132" s="48" t="n">
        <f aca="false">(S42*$D$19*$D$128*Input!$H$159+S41*$D$36*S47/MAX($G$47:$BX$47)*$D$130*Input!$H$161)*Input!$H$151/1000000</f>
        <v>0.448639243027888</v>
      </c>
      <c r="T132" s="48" t="n">
        <f aca="false">(T42*$D$19*$D$128*Input!$H$159+T41*$D$36*T47/MAX($G$47:$BX$47)*$D$130*Input!$H$161)*Input!$H$151/1000000</f>
        <v>0.448639243027888</v>
      </c>
      <c r="U132" s="48" t="n">
        <f aca="false">(U42*$D$19*$D$128*Input!$H$159+U41*$D$36*U47/MAX($G$47:$BX$47)*$D$130*Input!$H$161)*Input!$H$151/1000000</f>
        <v>0.448639243027888</v>
      </c>
      <c r="V132" s="48" t="n">
        <f aca="false">(V42*$D$19*$D$128*Input!$H$159+V41*$D$36*V47/MAX($G$47:$BX$47)*$D$130*Input!$H$161)*Input!$H$151/1000000</f>
        <v>0.448639243027888</v>
      </c>
      <c r="W132" s="48" t="n">
        <f aca="false">(W42*$D$19*$D$128*Input!$H$159+W41*$D$36*W47/MAX($G$47:$BX$47)*$D$130*Input!$H$161)*Input!$H$151/1000000</f>
        <v>0.448639243027888</v>
      </c>
      <c r="X132" s="48" t="n">
        <f aca="false">(X42*$D$19*$D$128*Input!$H$159+X41*$D$36*X47/MAX($G$47:$BX$47)*$D$130*Input!$H$161)*Input!$H$151/1000000</f>
        <v>0.448639243027888</v>
      </c>
      <c r="Y132" s="48" t="n">
        <f aca="false">(Y42*$D$19*$D$128*Input!$H$159+Y41*$D$36*Y47/MAX($G$47:$BX$47)*$D$130*Input!$H$161)*Input!$H$151/1000000</f>
        <v>0.448639243027888</v>
      </c>
      <c r="Z132" s="48" t="n">
        <f aca="false">(Z42*$D$19*$D$128*Input!$H$159+Z41*$D$36*Z47/MAX($G$47:$BX$47)*$D$130*Input!$H$161)*Input!$H$151/1000000</f>
        <v>0.448639243027888</v>
      </c>
      <c r="AA132" s="48" t="n">
        <f aca="false">(AA42*$D$19*$D$128*Input!$H$159+AA41*$D$36*AA47/MAX($G$47:$BX$47)*$D$130*Input!$H$161)*Input!$H$151/1000000</f>
        <v>0.448639243027888</v>
      </c>
      <c r="AB132" s="48" t="n">
        <f aca="false">(AB42*$D$19*$D$128*Input!$H$159+AB41*$D$36*AB47/MAX($G$47:$BX$47)*$D$130*Input!$H$161)*Input!$H$151/1000000</f>
        <v>0.448639243027888</v>
      </c>
      <c r="AC132" s="48" t="n">
        <f aca="false">(AC42*$D$19*$D$128*Input!$H$159+AC41*$D$36*AC47/MAX($G$47:$BX$47)*$D$130*Input!$H$161)*Input!$H$151/1000000</f>
        <v>0.448639243027888</v>
      </c>
      <c r="AD132" s="48" t="n">
        <f aca="false">(AD42*$D$19*$D$128*Input!$H$159+AD41*$D$36*AD47/MAX($G$47:$BX$47)*$D$130*Input!$H$161)*Input!$H$151/1000000</f>
        <v>0.448639243027888</v>
      </c>
      <c r="AE132" s="48" t="n">
        <f aca="false">(AE42*$D$19*$D$128*Input!$H$159+AE41*$D$36*AE47/MAX($G$47:$BX$47)*$D$130*Input!$H$161)*Input!$H$151/1000000</f>
        <v>0.448639243027888</v>
      </c>
      <c r="AF132" s="48" t="n">
        <f aca="false">(AF42*$D$19*$D$128*Input!$H$159+AF41*$D$36*AF47/MAX($G$47:$BX$47)*$D$130*Input!$H$161)*Input!$H$151/1000000</f>
        <v>0.448639243027888</v>
      </c>
      <c r="AG132" s="48" t="n">
        <f aca="false">(AG42*$D$19*$D$128*Input!$H$159+AG41*$D$36*AG47/MAX($G$47:$BX$47)*$D$130*Input!$H$161)*Input!$H$151/1000000</f>
        <v>0.448639243027888</v>
      </c>
      <c r="AH132" s="48" t="n">
        <f aca="false">(AH42*$D$19*$D$128*Input!$H$159+AH41*$D$36*AH47/MAX($G$47:$BX$47)*$D$130*Input!$H$161)*Input!$H$151/1000000</f>
        <v>0.448639243027888</v>
      </c>
      <c r="AI132" s="48" t="n">
        <f aca="false">(AI42*$D$19*$D$128*Input!$H$159+AI41*$D$36*AI47/MAX($G$47:$BX$47)*$D$130*Input!$H$161)*Input!$H$151/1000000</f>
        <v>0.448639243027888</v>
      </c>
      <c r="AJ132" s="48" t="n">
        <f aca="false">(AJ42*$D$19*$D$128*Input!$H$159+AJ41*$D$36*AJ47/MAX($G$47:$BX$47)*$D$130*Input!$H$161)*Input!$H$151/1000000</f>
        <v>0.448639243027888</v>
      </c>
      <c r="AK132" s="48" t="n">
        <f aca="false">(AK42*$D$19*$D$128*Input!$H$159+AK41*$D$36*AK47/MAX($G$47:$BX$47)*$D$130*Input!$H$161)*Input!$H$151/1000000</f>
        <v>0.448639243027888</v>
      </c>
      <c r="AL132" s="48" t="n">
        <f aca="false">(AL42*$D$19*$D$128*Input!$H$159+AL41*$D$36*AL47/MAX($G$47:$BX$47)*$D$130*Input!$H$161)*Input!$H$151/1000000</f>
        <v>0.448639243027888</v>
      </c>
      <c r="AM132" s="48" t="n">
        <f aca="false">(AM42*$D$19*$D$128*Input!$H$159+AM41*$D$36*AM47/MAX($G$47:$BX$47)*$D$130*Input!$H$161)*Input!$H$151/1000000</f>
        <v>0.448639243027888</v>
      </c>
      <c r="AN132" s="48" t="n">
        <f aca="false">(AN42*$D$19*$D$128*Input!$H$159+AN41*$D$36*AN47/MAX($G$47:$BX$47)*$D$130*Input!$H$161)*Input!$H$151/1000000</f>
        <v>0.448639243027888</v>
      </c>
      <c r="AO132" s="48" t="n">
        <f aca="false">(AO42*$D$19*$D$128*Input!$H$159+AO41*$D$36*AO47/MAX($G$47:$BX$47)*$D$130*Input!$H$161)*Input!$H$151/1000000</f>
        <v>0.448639243027888</v>
      </c>
      <c r="AP132" s="48" t="n">
        <f aca="false">(AP42*$D$19*$D$128*Input!$H$159+AP41*$D$36*AP47/MAX($G$47:$BX$47)*$D$130*Input!$H$161)*Input!$H$151/1000000</f>
        <v>0.448639243027888</v>
      </c>
      <c r="AQ132" s="48" t="n">
        <f aca="false">(AQ42*$D$19*$D$128*Input!$H$159+AQ41*$D$36*AQ47/MAX($G$47:$BX$47)*$D$130*Input!$H$161)*Input!$H$151/1000000</f>
        <v>0.448639243027888</v>
      </c>
      <c r="AR132" s="48" t="n">
        <f aca="false">(AR42*$D$19*$D$128*Input!$H$159+AR41*$D$36*AR47/MAX($G$47:$BX$47)*$D$130*Input!$H$161)*Input!$H$151/1000000</f>
        <v>0.448639243027888</v>
      </c>
      <c r="AS132" s="48" t="n">
        <f aca="false">(AS42*$D$19*$D$128*Input!$H$159+AS41*$D$36*AS47/MAX($G$47:$BX$47)*$D$130*Input!$H$161)*Input!$H$151/1000000</f>
        <v>0.448639243027888</v>
      </c>
      <c r="AT132" s="48" t="n">
        <f aca="false">(AT42*$D$19*$D$128*Input!$H$159+AT41*$D$36*AT47/MAX($G$47:$BX$47)*$D$130*Input!$H$161)*Input!$H$151/1000000</f>
        <v>0.448639243027888</v>
      </c>
      <c r="AU132" s="48" t="n">
        <f aca="false">(AU42*$D$19*$D$128*Input!$H$159+AU41*$D$36*AU47/MAX($G$47:$BX$47)*$D$130*Input!$H$161)*Input!$H$151/1000000</f>
        <v>0.448639243027888</v>
      </c>
      <c r="AV132" s="48" t="n">
        <f aca="false">(AV42*$D$19*$D$128*Input!$H$159+AV41*$D$36*AV47/MAX($G$47:$BX$47)*$D$130*Input!$H$161)*Input!$H$151/1000000</f>
        <v>0.448639243027888</v>
      </c>
      <c r="AW132" s="48" t="n">
        <f aca="false">(AW42*$D$19*$D$128*Input!$H$159+AW41*$D$36*AW47/MAX($G$47:$BX$47)*$D$130*Input!$H$161)*Input!$H$151/1000000</f>
        <v>0.448639243027888</v>
      </c>
      <c r="AX132" s="48" t="n">
        <f aca="false">(AX42*$D$19*$D$128*Input!$H$159+AX41*$D$36*AX47/MAX($G$47:$BX$47)*$D$130*Input!$H$161)*Input!$H$151/1000000</f>
        <v>0.448639243027888</v>
      </c>
      <c r="AY132" s="48" t="n">
        <f aca="false">(AY42*$D$19*$D$128*Input!$H$159+AY41*$D$36*AY47/MAX($G$47:$BX$47)*$D$130*Input!$H$161)*Input!$H$151/1000000</f>
        <v>0.448639243027888</v>
      </c>
      <c r="AZ132" s="48" t="n">
        <f aca="false">(AZ42*$D$19*$D$128*Input!$H$159+AZ41*$D$36*AZ47/MAX($G$47:$BX$47)*$D$130*Input!$H$161)*Input!$H$151/1000000</f>
        <v>0.448639243027888</v>
      </c>
      <c r="BA132" s="48" t="n">
        <f aca="false">(BA42*$D$19*$D$128*Input!$H$159+BA41*$D$36*BA47/MAX($G$47:$BX$47)*$D$130*Input!$H$161)*Input!$H$151/1000000</f>
        <v>0.448639243027888</v>
      </c>
      <c r="BB132" s="48" t="n">
        <f aca="false">(BB42*$D$19*$D$128*Input!$H$159+BB41*$D$36*BB47/MAX($G$47:$BX$47)*$D$130*Input!$H$161)*Input!$H$151/1000000</f>
        <v>0.448639243027888</v>
      </c>
      <c r="BC132" s="48" t="n">
        <f aca="false">(BC42*$D$19*$D$128*Input!$H$159+BC41*$D$36*BC47/MAX($G$47:$BX$47)*$D$130*Input!$H$161)*Input!$H$151/1000000</f>
        <v>0.448639243027888</v>
      </c>
      <c r="BD132" s="48" t="n">
        <f aca="false">(BD42*$D$19*$D$128*Input!$H$159+BD41*$D$36*BD47/MAX($G$47:$BX$47)*$D$130*Input!$H$161)*Input!$H$151/1000000</f>
        <v>0.448639243027888</v>
      </c>
      <c r="BE132" s="48" t="n">
        <f aca="false">(BE42*$D$19*$D$128*Input!$H$159+BE41*$D$36*BE47/MAX($G$47:$BX$47)*$D$130*Input!$H$161)*Input!$H$151/1000000</f>
        <v>0.448639243027888</v>
      </c>
      <c r="BF132" s="48" t="n">
        <f aca="false">(BF42*$D$19*$D$128*Input!$H$159+BF41*$D$36*BF47/MAX($G$47:$BX$47)*$D$130*Input!$H$161)*Input!$H$151/1000000</f>
        <v>0.448639243027888</v>
      </c>
      <c r="BG132" s="48" t="n">
        <f aca="false">(BG42*$D$19*$D$128*Input!$H$159+BG41*$D$36*BG47/MAX($G$47:$BX$47)*$D$130*Input!$H$161)*Input!$H$151/1000000</f>
        <v>0.448639243027888</v>
      </c>
      <c r="BH132" s="48" t="n">
        <f aca="false">(BH42*$D$19*$D$128*Input!$H$159+BH41*$D$36*BH47/MAX($G$47:$BX$47)*$D$130*Input!$H$161)*Input!$H$151/1000000</f>
        <v>0.448639243027888</v>
      </c>
      <c r="BI132" s="48" t="n">
        <f aca="false">(BI42*$D$19*$D$128*Input!$H$159+BI41*$D$36*BI47/MAX($G$47:$BX$47)*$D$130*Input!$H$161)*Input!$H$151/1000000</f>
        <v>0.448639243027888</v>
      </c>
      <c r="BJ132" s="48" t="n">
        <f aca="false">(BJ42*$D$19*$D$128*Input!$H$159+BJ41*$D$36*BJ47/MAX($G$47:$BX$47)*$D$130*Input!$H$161)*Input!$H$151/1000000</f>
        <v>0.448639243027888</v>
      </c>
      <c r="BK132" s="48" t="n">
        <f aca="false">(BK42*$D$19*$D$128*Input!$H$159+BK41*$D$36*BK47/MAX($G$47:$BX$47)*$D$130*Input!$H$161)*Input!$H$151/1000000</f>
        <v>0.448639243027888</v>
      </c>
      <c r="BL132" s="48" t="n">
        <f aca="false">(BL42*$D$19*$D$128*Input!$H$159+BL41*$D$36*BL47/MAX($G$47:$BX$47)*$D$130*Input!$H$161)*Input!$H$151/1000000</f>
        <v>0.448639243027888</v>
      </c>
      <c r="BM132" s="48" t="n">
        <f aca="false">(BM42*$D$19*$D$128*Input!$H$159+BM41*$D$36*BM47/MAX($G$47:$BX$47)*$D$130*Input!$H$161)*Input!$H$151/1000000</f>
        <v>0.448639243027888</v>
      </c>
      <c r="BN132" s="48" t="n">
        <f aca="false">(BN42*$D$19*$D$128*Input!$H$159+BN41*$D$36*BN47/MAX($G$47:$BX$47)*$D$130*Input!$H$161)*Input!$H$151/1000000</f>
        <v>0.448639243027888</v>
      </c>
      <c r="BO132" s="48" t="n">
        <f aca="false">(BO42*$D$19*$D$128*Input!$H$159+BO41*$D$36*BO47/MAX($G$47:$BX$47)*$D$130*Input!$H$161)*Input!$H$151/1000000</f>
        <v>0.448639243027888</v>
      </c>
      <c r="BP132" s="48" t="n">
        <f aca="false">(BP42*$D$19*$D$128*Input!$H$159+BP41*$D$36*BP47/MAX($G$47:$BX$47)*$D$130*Input!$H$161)*Input!$H$151/1000000</f>
        <v>0.448639243027888</v>
      </c>
      <c r="BQ132" s="48" t="n">
        <f aca="false">(BQ42*$D$19*$D$128*Input!$H$159+BQ41*$D$36*BQ47/MAX($G$47:$BX$47)*$D$130*Input!$H$161)*Input!$H$151/1000000</f>
        <v>0.448639243027888</v>
      </c>
      <c r="BR132" s="48" t="n">
        <f aca="false">(BR42*$D$19*$D$128*Input!$H$159+BR41*$D$36*BR47/MAX($G$47:$BX$47)*$D$130*Input!$H$161)*Input!$H$151/1000000</f>
        <v>0.448639243027888</v>
      </c>
      <c r="BS132" s="48" t="n">
        <f aca="false">(BS42*$D$19*$D$128*Input!$H$159+BS41*$D$36*BS47/MAX($G$47:$BX$47)*$D$130*Input!$H$161)*Input!$H$151/1000000</f>
        <v>0.448639243027888</v>
      </c>
      <c r="BT132" s="48" t="n">
        <f aca="false">(BT42*$D$19*$D$128*Input!$H$159+BT41*$D$36*BT47/MAX($G$47:$BX$47)*$D$130*Input!$H$161)*Input!$H$151/1000000</f>
        <v>0.448639243027888</v>
      </c>
      <c r="BU132" s="48" t="n">
        <f aca="false">(BU42*$D$19*$D$128*Input!$H$159+BU41*$D$36*BU47/MAX($G$47:$BX$47)*$D$130*Input!$H$161)*Input!$H$151/1000000</f>
        <v>0.448639243027888</v>
      </c>
      <c r="BV132" s="48" t="n">
        <f aca="false">(BV42*$D$19*$D$128*Input!$H$159+BV41*$D$36*BV47/MAX($G$47:$BX$47)*$D$130*Input!$H$161)*Input!$H$151/1000000</f>
        <v>0.448639243027888</v>
      </c>
      <c r="BW132" s="48" t="n">
        <f aca="false">(BW42*$D$19*$D$128*Input!$H$159+BW41*$D$36*BW47/MAX($G$47:$BX$47)*$D$130*Input!$H$161)*Input!$H$151/1000000</f>
        <v>0</v>
      </c>
      <c r="BX132" s="48" t="n">
        <f aca="false">(BX42*$D$19*$D$128*Input!$H$159+BX41*$D$36*BX47/MAX($G$47:$BX$47)*$D$130*Input!$H$161)*Input!$H$151/1000000</f>
        <v>0</v>
      </c>
    </row>
    <row r="133" customFormat="false" ht="15" hidden="false" customHeight="false" outlineLevel="0" collapsed="false">
      <c r="A133" s="1"/>
      <c r="B133" s="8" t="s">
        <v>393</v>
      </c>
      <c r="C133" s="8" t="s">
        <v>126</v>
      </c>
      <c r="D133" s="44" t="n">
        <f aca="false">SUM(G133:BX133)</f>
        <v>4.71071205179283</v>
      </c>
      <c r="E133" s="1"/>
      <c r="F133" s="1"/>
      <c r="G133" s="48" t="n">
        <f aca="false">G42*$D$19*$D$128*Input!$H$159*Input!$H$152/1000000</f>
        <v>0</v>
      </c>
      <c r="H133" s="48" t="n">
        <f aca="false">H42*$D$19*$D$128*Input!$H$159*Input!$H$152/1000000</f>
        <v>0</v>
      </c>
      <c r="I133" s="48" t="n">
        <f aca="false">I42*$D$19*$D$128*Input!$H$159*Input!$H$152/1000000</f>
        <v>0</v>
      </c>
      <c r="J133" s="48" t="n">
        <f aca="false">J42*$D$19*$D$128*Input!$H$159*Input!$H$152/1000000</f>
        <v>0</v>
      </c>
      <c r="K133" s="48" t="n">
        <f aca="false">K42*$D$19*$D$128*Input!$H$159*Input!$H$152/1000000</f>
        <v>0</v>
      </c>
      <c r="L133" s="48" t="n">
        <f aca="false">L42*$D$19*$D$128*Input!$H$159*Input!$H$152/1000000</f>
        <v>0</v>
      </c>
      <c r="M133" s="48" t="n">
        <f aca="false">M42*$D$19*$D$128*Input!$H$159*Input!$H$152/1000000</f>
        <v>0</v>
      </c>
      <c r="N133" s="48" t="n">
        <f aca="false">N42*$D$19*$D$128*Input!$H$159*Input!$H$152/1000000</f>
        <v>0</v>
      </c>
      <c r="O133" s="48" t="n">
        <f aca="false">O42*$D$19*$D$128*Input!$H$159*Input!$H$152/1000000</f>
        <v>0.0785118675298805</v>
      </c>
      <c r="P133" s="48" t="n">
        <f aca="false">P42*$D$19*$D$128*Input!$H$159*Input!$H$152/1000000</f>
        <v>0.0785118675298805</v>
      </c>
      <c r="Q133" s="48" t="n">
        <f aca="false">Q42*$D$19*$D$128*Input!$H$159*Input!$H$152/1000000</f>
        <v>0.0785118675298805</v>
      </c>
      <c r="R133" s="48" t="n">
        <f aca="false">R42*$D$19*$D$128*Input!$H$159*Input!$H$152/1000000</f>
        <v>0.0785118675298805</v>
      </c>
      <c r="S133" s="48" t="n">
        <f aca="false">S42*$D$19*$D$128*Input!$H$159*Input!$H$152/1000000</f>
        <v>0.0785118675298805</v>
      </c>
      <c r="T133" s="48" t="n">
        <f aca="false">T42*$D$19*$D$128*Input!$H$159*Input!$H$152/1000000</f>
        <v>0.0785118675298805</v>
      </c>
      <c r="U133" s="48" t="n">
        <f aca="false">U42*$D$19*$D$128*Input!$H$159*Input!$H$152/1000000</f>
        <v>0.0785118675298805</v>
      </c>
      <c r="V133" s="48" t="n">
        <f aca="false">V42*$D$19*$D$128*Input!$H$159*Input!$H$152/1000000</f>
        <v>0.0785118675298805</v>
      </c>
      <c r="W133" s="48" t="n">
        <f aca="false">W42*$D$19*$D$128*Input!$H$159*Input!$H$152/1000000</f>
        <v>0.0785118675298805</v>
      </c>
      <c r="X133" s="48" t="n">
        <f aca="false">X42*$D$19*$D$128*Input!$H$159*Input!$H$152/1000000</f>
        <v>0.0785118675298805</v>
      </c>
      <c r="Y133" s="48" t="n">
        <f aca="false">Y42*$D$19*$D$128*Input!$H$159*Input!$H$152/1000000</f>
        <v>0.0785118675298805</v>
      </c>
      <c r="Z133" s="48" t="n">
        <f aca="false">Z42*$D$19*$D$128*Input!$H$159*Input!$H$152/1000000</f>
        <v>0.0785118675298805</v>
      </c>
      <c r="AA133" s="48" t="n">
        <f aca="false">AA42*$D$19*$D$128*Input!$H$159*Input!$H$152/1000000</f>
        <v>0.0785118675298805</v>
      </c>
      <c r="AB133" s="48" t="n">
        <f aca="false">AB42*$D$19*$D$128*Input!$H$159*Input!$H$152/1000000</f>
        <v>0.0785118675298805</v>
      </c>
      <c r="AC133" s="48" t="n">
        <f aca="false">AC42*$D$19*$D$128*Input!$H$159*Input!$H$152/1000000</f>
        <v>0.0785118675298805</v>
      </c>
      <c r="AD133" s="48" t="n">
        <f aca="false">AD42*$D$19*$D$128*Input!$H$159*Input!$H$152/1000000</f>
        <v>0.0785118675298805</v>
      </c>
      <c r="AE133" s="48" t="n">
        <f aca="false">AE42*$D$19*$D$128*Input!$H$159*Input!$H$152/1000000</f>
        <v>0.0785118675298805</v>
      </c>
      <c r="AF133" s="48" t="n">
        <f aca="false">AF42*$D$19*$D$128*Input!$H$159*Input!$H$152/1000000</f>
        <v>0.0785118675298805</v>
      </c>
      <c r="AG133" s="48" t="n">
        <f aca="false">AG42*$D$19*$D$128*Input!$H$159*Input!$H$152/1000000</f>
        <v>0.0785118675298805</v>
      </c>
      <c r="AH133" s="48" t="n">
        <f aca="false">AH42*$D$19*$D$128*Input!$H$159*Input!$H$152/1000000</f>
        <v>0.0785118675298805</v>
      </c>
      <c r="AI133" s="48" t="n">
        <f aca="false">AI42*$D$19*$D$128*Input!$H$159*Input!$H$152/1000000</f>
        <v>0.0785118675298805</v>
      </c>
      <c r="AJ133" s="48" t="n">
        <f aca="false">AJ42*$D$19*$D$128*Input!$H$159*Input!$H$152/1000000</f>
        <v>0.0785118675298805</v>
      </c>
      <c r="AK133" s="48" t="n">
        <f aca="false">AK42*$D$19*$D$128*Input!$H$159*Input!$H$152/1000000</f>
        <v>0.0785118675298805</v>
      </c>
      <c r="AL133" s="48" t="n">
        <f aca="false">AL42*$D$19*$D$128*Input!$H$159*Input!$H$152/1000000</f>
        <v>0.0785118675298805</v>
      </c>
      <c r="AM133" s="48" t="n">
        <f aca="false">AM42*$D$19*$D$128*Input!$H$159*Input!$H$152/1000000</f>
        <v>0.0785118675298805</v>
      </c>
      <c r="AN133" s="48" t="n">
        <f aca="false">AN42*$D$19*$D$128*Input!$H$159*Input!$H$152/1000000</f>
        <v>0.0785118675298805</v>
      </c>
      <c r="AO133" s="48" t="n">
        <f aca="false">AO42*$D$19*$D$128*Input!$H$159*Input!$H$152/1000000</f>
        <v>0.0785118675298805</v>
      </c>
      <c r="AP133" s="48" t="n">
        <f aca="false">AP42*$D$19*$D$128*Input!$H$159*Input!$H$152/1000000</f>
        <v>0.0785118675298805</v>
      </c>
      <c r="AQ133" s="48" t="n">
        <f aca="false">AQ42*$D$19*$D$128*Input!$H$159*Input!$H$152/1000000</f>
        <v>0.0785118675298805</v>
      </c>
      <c r="AR133" s="48" t="n">
        <f aca="false">AR42*$D$19*$D$128*Input!$H$159*Input!$H$152/1000000</f>
        <v>0.0785118675298805</v>
      </c>
      <c r="AS133" s="48" t="n">
        <f aca="false">AS42*$D$19*$D$128*Input!$H$159*Input!$H$152/1000000</f>
        <v>0.0785118675298805</v>
      </c>
      <c r="AT133" s="48" t="n">
        <f aca="false">AT42*$D$19*$D$128*Input!$H$159*Input!$H$152/1000000</f>
        <v>0.0785118675298805</v>
      </c>
      <c r="AU133" s="48" t="n">
        <f aca="false">AU42*$D$19*$D$128*Input!$H$159*Input!$H$152/1000000</f>
        <v>0.0785118675298805</v>
      </c>
      <c r="AV133" s="48" t="n">
        <f aca="false">AV42*$D$19*$D$128*Input!$H$159*Input!$H$152/1000000</f>
        <v>0.0785118675298805</v>
      </c>
      <c r="AW133" s="48" t="n">
        <f aca="false">AW42*$D$19*$D$128*Input!$H$159*Input!$H$152/1000000</f>
        <v>0.0785118675298805</v>
      </c>
      <c r="AX133" s="48" t="n">
        <f aca="false">AX42*$D$19*$D$128*Input!$H$159*Input!$H$152/1000000</f>
        <v>0.0785118675298805</v>
      </c>
      <c r="AY133" s="48" t="n">
        <f aca="false">AY42*$D$19*$D$128*Input!$H$159*Input!$H$152/1000000</f>
        <v>0.0785118675298805</v>
      </c>
      <c r="AZ133" s="48" t="n">
        <f aca="false">AZ42*$D$19*$D$128*Input!$H$159*Input!$H$152/1000000</f>
        <v>0.0785118675298805</v>
      </c>
      <c r="BA133" s="48" t="n">
        <f aca="false">BA42*$D$19*$D$128*Input!$H$159*Input!$H$152/1000000</f>
        <v>0.0785118675298805</v>
      </c>
      <c r="BB133" s="48" t="n">
        <f aca="false">BB42*$D$19*$D$128*Input!$H$159*Input!$H$152/1000000</f>
        <v>0.0785118675298805</v>
      </c>
      <c r="BC133" s="48" t="n">
        <f aca="false">BC42*$D$19*$D$128*Input!$H$159*Input!$H$152/1000000</f>
        <v>0.0785118675298805</v>
      </c>
      <c r="BD133" s="48" t="n">
        <f aca="false">BD42*$D$19*$D$128*Input!$H$159*Input!$H$152/1000000</f>
        <v>0.0785118675298805</v>
      </c>
      <c r="BE133" s="48" t="n">
        <f aca="false">BE42*$D$19*$D$128*Input!$H$159*Input!$H$152/1000000</f>
        <v>0.0785118675298805</v>
      </c>
      <c r="BF133" s="48" t="n">
        <f aca="false">BF42*$D$19*$D$128*Input!$H$159*Input!$H$152/1000000</f>
        <v>0.0785118675298805</v>
      </c>
      <c r="BG133" s="48" t="n">
        <f aca="false">BG42*$D$19*$D$128*Input!$H$159*Input!$H$152/1000000</f>
        <v>0.0785118675298805</v>
      </c>
      <c r="BH133" s="48" t="n">
        <f aca="false">BH42*$D$19*$D$128*Input!$H$159*Input!$H$152/1000000</f>
        <v>0.0785118675298805</v>
      </c>
      <c r="BI133" s="48" t="n">
        <f aca="false">BI42*$D$19*$D$128*Input!$H$159*Input!$H$152/1000000</f>
        <v>0.0785118675298805</v>
      </c>
      <c r="BJ133" s="48" t="n">
        <f aca="false">BJ42*$D$19*$D$128*Input!$H$159*Input!$H$152/1000000</f>
        <v>0.0785118675298805</v>
      </c>
      <c r="BK133" s="48" t="n">
        <f aca="false">BK42*$D$19*$D$128*Input!$H$159*Input!$H$152/1000000</f>
        <v>0.0785118675298805</v>
      </c>
      <c r="BL133" s="48" t="n">
        <f aca="false">BL42*$D$19*$D$128*Input!$H$159*Input!$H$152/1000000</f>
        <v>0.0785118675298805</v>
      </c>
      <c r="BM133" s="48" t="n">
        <f aca="false">BM42*$D$19*$D$128*Input!$H$159*Input!$H$152/1000000</f>
        <v>0.0785118675298805</v>
      </c>
      <c r="BN133" s="48" t="n">
        <f aca="false">BN42*$D$19*$D$128*Input!$H$159*Input!$H$152/1000000</f>
        <v>0.0785118675298805</v>
      </c>
      <c r="BO133" s="48" t="n">
        <f aca="false">BO42*$D$19*$D$128*Input!$H$159*Input!$H$152/1000000</f>
        <v>0.0785118675298805</v>
      </c>
      <c r="BP133" s="48" t="n">
        <f aca="false">BP42*$D$19*$D$128*Input!$H$159*Input!$H$152/1000000</f>
        <v>0.0785118675298805</v>
      </c>
      <c r="BQ133" s="48" t="n">
        <f aca="false">BQ42*$D$19*$D$128*Input!$H$159*Input!$H$152/1000000</f>
        <v>0.0785118675298805</v>
      </c>
      <c r="BR133" s="48" t="n">
        <f aca="false">BR42*$D$19*$D$128*Input!$H$159*Input!$H$152/1000000</f>
        <v>0.0785118675298805</v>
      </c>
      <c r="BS133" s="48" t="n">
        <f aca="false">BS42*$D$19*$D$128*Input!$H$159*Input!$H$152/1000000</f>
        <v>0.0785118675298805</v>
      </c>
      <c r="BT133" s="48" t="n">
        <f aca="false">BT42*$D$19*$D$128*Input!$H$159*Input!$H$152/1000000</f>
        <v>0.0785118675298805</v>
      </c>
      <c r="BU133" s="48" t="n">
        <f aca="false">BU42*$D$19*$D$128*Input!$H$159*Input!$H$152/1000000</f>
        <v>0.0785118675298805</v>
      </c>
      <c r="BV133" s="48" t="n">
        <f aca="false">BV42*$D$19*$D$128*Input!$H$159*Input!$H$152/1000000</f>
        <v>0.0785118675298805</v>
      </c>
      <c r="BW133" s="48" t="n">
        <f aca="false">BW42*$D$19*$D$128*Input!$H$159*Input!$H$152/1000000</f>
        <v>0</v>
      </c>
      <c r="BX133" s="48" t="n">
        <f aca="false">BX42*$D$19*$D$128*Input!$H$159*Input!$H$152/1000000</f>
        <v>0</v>
      </c>
    </row>
    <row r="134" customFormat="false" ht="15" hidden="false" customHeight="false" outlineLevel="0" collapsed="false">
      <c r="A134" s="1"/>
      <c r="B134" s="4" t="s">
        <v>394</v>
      </c>
      <c r="C134" s="8" t="s">
        <v>126</v>
      </c>
      <c r="D134" s="44" t="n">
        <f aca="false">SUM(G134:BX134)</f>
        <v>3845.65184346702</v>
      </c>
      <c r="E134" s="1"/>
      <c r="F134" s="1"/>
      <c r="G134" s="44" t="n">
        <f aca="false">G122+G123+G124+G125+G126+G131+G132+G133</f>
        <v>0</v>
      </c>
      <c r="H134" s="44" t="n">
        <f aca="false">H122+H123+H124+H125+H126+H131+H132+H133</f>
        <v>0</v>
      </c>
      <c r="I134" s="44" t="n">
        <f aca="false">I122+I123+I124+I125+I126+I131+I132+I133</f>
        <v>0</v>
      </c>
      <c r="J134" s="44" t="n">
        <f aca="false">J122+J123+J124+J125+J126+J131+J132+J133</f>
        <v>1.35402212279805</v>
      </c>
      <c r="K134" s="44" t="n">
        <f aca="false">K122+K123+K124+K125+K126+K131+K132+K133</f>
        <v>2.46107450220195</v>
      </c>
      <c r="L134" s="44" t="n">
        <f aca="false">L122+L123+L124+L125+L126+L131+L132+L133</f>
        <v>3.1452705</v>
      </c>
      <c r="M134" s="44" t="n">
        <f aca="false">M122+M123+M124+M125+M126+M131+M132+M133</f>
        <v>2.46107450220195</v>
      </c>
      <c r="N134" s="44" t="n">
        <f aca="false">N122+N123+N124+N125+N126+N131+N132+N133</f>
        <v>1.35402212279805</v>
      </c>
      <c r="O134" s="44" t="n">
        <f aca="false">O122+O123+O124+O125+O126+O131+O132+O133</f>
        <v>47.6973884611554</v>
      </c>
      <c r="P134" s="44" t="n">
        <f aca="false">P122+P123+P124+P125+P126+P131+P132+P133</f>
        <v>47.6973884611554</v>
      </c>
      <c r="Q134" s="44" t="n">
        <f aca="false">Q122+Q123+Q124+Q125+Q126+Q131+Q132+Q133</f>
        <v>47.6973884611554</v>
      </c>
      <c r="R134" s="44" t="n">
        <f aca="false">R122+R123+R124+R125+R126+R131+R132+R133</f>
        <v>47.6973884611554</v>
      </c>
      <c r="S134" s="44" t="n">
        <f aca="false">S122+S123+S124+S125+S126+S131+S132+S133</f>
        <v>47.6973884611554</v>
      </c>
      <c r="T134" s="44" t="n">
        <f aca="false">T122+T123+T124+T125+T126+T131+T132+T133</f>
        <v>47.6973884611554</v>
      </c>
      <c r="U134" s="44" t="n">
        <f aca="false">U122+U123+U124+U125+U126+U131+U132+U133</f>
        <v>47.6973884611554</v>
      </c>
      <c r="V134" s="44" t="n">
        <f aca="false">V122+V123+V124+V125+V126+V131+V132+V133</f>
        <v>47.6973884611554</v>
      </c>
      <c r="W134" s="44" t="n">
        <f aca="false">W122+W123+W124+W125+W126+W131+W132+W133</f>
        <v>47.6973884611554</v>
      </c>
      <c r="X134" s="44" t="n">
        <f aca="false">X122+X123+X124+X125+X126+X131+X132+X133</f>
        <v>47.6973884611554</v>
      </c>
      <c r="Y134" s="44" t="n">
        <f aca="false">Y122+Y123+Y124+Y125+Y126+Y131+Y132+Y133</f>
        <v>50.2360625863002</v>
      </c>
      <c r="Z134" s="44" t="n">
        <f aca="false">Z122+Z123+Z124+Z125+Z126+Z131+Z132+Z133</f>
        <v>50.168634705667</v>
      </c>
      <c r="AA134" s="44" t="n">
        <f aca="false">AA122+AA123+AA124+AA125+AA126+AA131+AA132+AA133</f>
        <v>51.1564240839554</v>
      </c>
      <c r="AB134" s="44" t="n">
        <f aca="false">AB122+AB123+AB124+AB125+AB126+AB131+AB132+AB133</f>
        <v>50.0338173131862</v>
      </c>
      <c r="AC134" s="44" t="n">
        <f aca="false">AC122+AC123+AC124+AC125+AC126+AC131+AC132+AC133</f>
        <v>55.2479654097813</v>
      </c>
      <c r="AD134" s="44" t="n">
        <f aca="false">AD122+AD123+AD124+AD125+AD126+AD131+AD132+AD133</f>
        <v>58.3415214885963</v>
      </c>
      <c r="AE134" s="44" t="n">
        <f aca="false">AE122+AE123+AE124+AE125+AE126+AE131+AE132+AE133</f>
        <v>57.2929590729073</v>
      </c>
      <c r="AF134" s="44" t="n">
        <f aca="false">AF122+AF123+AF124+AF125+AF126+AF131+AF132+AF133</f>
        <v>57.2926800286711</v>
      </c>
      <c r="AG134" s="44" t="n">
        <f aca="false">AG122+AG123+AG124+AG125+AG126+AG131+AG132+AG133</f>
        <v>58.3437512873962</v>
      </c>
      <c r="AH134" s="44" t="n">
        <f aca="false">AH122+AH123+AH124+AH125+AH126+AH131+AH132+AH133</f>
        <v>56.4226325914729</v>
      </c>
      <c r="AI134" s="44" t="n">
        <f aca="false">AI122+AI123+AI124+AI125+AI126+AI131+AI132+AI133</f>
        <v>57.2919625556919</v>
      </c>
      <c r="AJ134" s="44" t="n">
        <f aca="false">AJ122+AJ123+AJ124+AJ125+AJ126+AJ131+AJ132+AJ133</f>
        <v>58.3460026885005</v>
      </c>
      <c r="AK134" s="44" t="n">
        <f aca="false">AK122+AK123+AK124+AK125+AK126+AK131+AK132+AK133</f>
        <v>59.1400275107874</v>
      </c>
      <c r="AL134" s="44" t="n">
        <f aca="false">AL122+AL123+AL124+AL125+AL126+AL131+AL132+AL133</f>
        <v>59.6679396454218</v>
      </c>
      <c r="AM134" s="44" t="n">
        <f aca="false">AM122+AM123+AM124+AM125+AM126+AM131+AM132+AM133</f>
        <v>60.7249290724051</v>
      </c>
      <c r="AN134" s="44" t="n">
        <f aca="false">AN122+AN123+AN124+AN125+AN126+AN131+AN132+AN133</f>
        <v>59.6674688000898</v>
      </c>
      <c r="AO134" s="44" t="n">
        <f aca="false">AO122+AO123+AO124+AO125+AO126+AO131+AO132+AO133</f>
        <v>59.6672411802487</v>
      </c>
      <c r="AP134" s="44" t="n">
        <f aca="false">AP122+AP123+AP124+AP125+AP126+AP131+AP132+AP133</f>
        <v>60.7264463010044</v>
      </c>
      <c r="AQ134" s="44" t="n">
        <f aca="false">AQ122+AQ123+AQ124+AQ125+AQ126+AQ131+AQ132+AQ133</f>
        <v>59.6672411802487</v>
      </c>
      <c r="AR134" s="44" t="n">
        <f aca="false">AR122+AR123+AR124+AR125+AR126+AR131+AR132+AR133</f>
        <v>58.789930289664</v>
      </c>
      <c r="AS134" s="44" t="n">
        <f aca="false">AS122+AS123+AS124+AS125+AS126+AS131+AS132+AS133</f>
        <v>60.7264463010044</v>
      </c>
      <c r="AT134" s="44" t="n">
        <f aca="false">AT122+AT123+AT124+AT125+AT126+AT131+AT132+AT133</f>
        <v>70.4987992018404</v>
      </c>
      <c r="AU134" s="44" t="n">
        <f aca="false">AU122+AU123+AU124+AU125+AU126+AU131+AU132+AU133</f>
        <v>71.6370938993419</v>
      </c>
      <c r="AV134" s="44" t="n">
        <f aca="false">AV122+AV123+AV124+AV125+AV126+AV131+AV132+AV133</f>
        <v>73.7555041408534</v>
      </c>
      <c r="AW134" s="44" t="n">
        <f aca="false">AW122+AW123+AW124+AW125+AW126+AW131+AW132+AW133</f>
        <v>71.6370938993419</v>
      </c>
      <c r="AX134" s="44" t="n">
        <f aca="false">AX122+AX123+AX124+AX125+AX126+AX131+AX132+AX133</f>
        <v>71.6370938993419</v>
      </c>
      <c r="AY134" s="44" t="n">
        <f aca="false">AY122+AY123+AY124+AY125+AY126+AY131+AY132+AY133</f>
        <v>73.7555041408534</v>
      </c>
      <c r="AZ134" s="44" t="n">
        <f aca="false">AZ122+AZ123+AZ124+AZ125+AZ126+AZ131+AZ132+AZ133</f>
        <v>71.6370938993419</v>
      </c>
      <c r="BA134" s="44" t="n">
        <f aca="false">BA122+BA123+BA124+BA125+BA126+BA131+BA132+BA133</f>
        <v>71.6370938993419</v>
      </c>
      <c r="BB134" s="44" t="n">
        <f aca="false">BB122+BB123+BB124+BB125+BB126+BB131+BB132+BB133</f>
        <v>70.3920381586394</v>
      </c>
      <c r="BC134" s="44" t="n">
        <f aca="false">BC122+BC123+BC124+BC125+BC126+BC131+BC132+BC133</f>
        <v>75.1580938993419</v>
      </c>
      <c r="BD134" s="44" t="n">
        <f aca="false">BD122+BD123+BD124+BD125+BD126+BD131+BD132+BD133</f>
        <v>75.1580938993419</v>
      </c>
      <c r="BE134" s="44" t="n">
        <f aca="false">BE122+BE123+BE124+BE125+BE126+BE131+BE132+BE133</f>
        <v>77.2765041408534</v>
      </c>
      <c r="BF134" s="44" t="n">
        <f aca="false">BF122+BF123+BF124+BF125+BF126+BF131+BF132+BF133</f>
        <v>75.1580938993419</v>
      </c>
      <c r="BG134" s="44" t="n">
        <f aca="false">BG122+BG123+BG124+BG125+BG126+BG131+BG132+BG133</f>
        <v>75.1580938993419</v>
      </c>
      <c r="BH134" s="44" t="n">
        <f aca="false">BH122+BH123+BH124+BH125+BH126+BH131+BH132+BH133</f>
        <v>77.2765041408534</v>
      </c>
      <c r="BI134" s="44" t="n">
        <f aca="false">BI122+BI123+BI124+BI125+BI126+BI131+BI132+BI133</f>
        <v>75.1580938993419</v>
      </c>
      <c r="BJ134" s="44" t="n">
        <f aca="false">BJ122+BJ123+BJ124+BJ125+BJ126+BJ131+BJ132+BJ133</f>
        <v>75.1580938993419</v>
      </c>
      <c r="BK134" s="44" t="n">
        <f aca="false">BK122+BK123+BK124+BK125+BK126+BK131+BK132+BK133</f>
        <v>77.2765041408534</v>
      </c>
      <c r="BL134" s="44" t="n">
        <f aca="false">BL122+BL123+BL124+BL125+BL126+BL131+BL132+BL133</f>
        <v>73.4034721181726</v>
      </c>
      <c r="BM134" s="44" t="n">
        <f aca="false">BM122+BM123+BM124+BM125+BM126+BM131+BM132+BM133</f>
        <v>75.1580938993419</v>
      </c>
      <c r="BN134" s="44" t="n">
        <f aca="false">BN122+BN123+BN124+BN125+BN126+BN131+BN132+BN133</f>
        <v>77.2765041408534</v>
      </c>
      <c r="BO134" s="44" t="n">
        <f aca="false">BO122+BO123+BO124+BO125+BO126+BO131+BO132+BO133</f>
        <v>75.1580938993419</v>
      </c>
      <c r="BP134" s="44" t="n">
        <f aca="false">BP122+BP123+BP124+BP125+BP126+BP131+BP132+BP133</f>
        <v>75.1580938993419</v>
      </c>
      <c r="BQ134" s="44" t="n">
        <f aca="false">BQ122+BQ123+BQ124+BQ125+BQ126+BQ131+BQ132+BQ133</f>
        <v>77.2765041408534</v>
      </c>
      <c r="BR134" s="44" t="n">
        <f aca="false">BR122+BR123+BR124+BR125+BR126+BR131+BR132+BR133</f>
        <v>75.1580938993419</v>
      </c>
      <c r="BS134" s="44" t="n">
        <f aca="false">BS122+BS123+BS124+BS125+BS126+BS131+BS132+BS133</f>
        <v>75.1580938993419</v>
      </c>
      <c r="BT134" s="44" t="n">
        <f aca="false">BT122+BT123+BT124+BT125+BT126+BT131+BT132+BT133</f>
        <v>77.2765041408534</v>
      </c>
      <c r="BU134" s="44" t="n">
        <f aca="false">BU122+BU123+BU124+BU125+BU126+BU131+BU132+BU133</f>
        <v>75.1580938993419</v>
      </c>
      <c r="BV134" s="44" t="n">
        <f aca="false">BV122+BV123+BV124+BV125+BV126+BV131+BV132+BV133</f>
        <v>73.4034721181726</v>
      </c>
      <c r="BW134" s="44" t="n">
        <f aca="false">BW122+BW123+BW124+BW125+BW126+BW131+BW132+BW133</f>
        <v>0</v>
      </c>
      <c r="BX134" s="44" t="n">
        <f aca="false">BX122+BX123+BX124+BX125+BX126+BX131+BX132+BX133</f>
        <v>0</v>
      </c>
    </row>
    <row r="135" customFormat="false" ht="15" hidden="false" customHeight="false" outlineLevel="0" collapsed="false">
      <c r="A135" s="1"/>
      <c r="B135" s="8" t="s">
        <v>395</v>
      </c>
      <c r="C135" s="8" t="s">
        <v>126</v>
      </c>
      <c r="D135" s="44" t="n">
        <f aca="false">SUM(G135:BX135)</f>
        <v>419.742788844621</v>
      </c>
      <c r="E135" s="1"/>
      <c r="F135" s="1"/>
      <c r="G135" s="48" t="n">
        <f aca="false">G42*$D$19*$D$129/1000000</f>
        <v>0</v>
      </c>
      <c r="H135" s="48" t="n">
        <f aca="false">H42*$D$19*$D$129/1000000</f>
        <v>0</v>
      </c>
      <c r="I135" s="48" t="n">
        <f aca="false">I42*$D$19*$D$129/1000000</f>
        <v>0</v>
      </c>
      <c r="J135" s="48" t="n">
        <f aca="false">J42*$D$19*$D$129/1000000</f>
        <v>0</v>
      </c>
      <c r="K135" s="48" t="n">
        <f aca="false">K42*$D$19*$D$129/1000000</f>
        <v>0</v>
      </c>
      <c r="L135" s="48" t="n">
        <f aca="false">L42*$D$19*$D$129/1000000</f>
        <v>0</v>
      </c>
      <c r="M135" s="48" t="n">
        <f aca="false">M42*$D$19*$D$129/1000000</f>
        <v>0</v>
      </c>
      <c r="N135" s="48" t="n">
        <f aca="false">N42*$D$19*$D$129/1000000</f>
        <v>0</v>
      </c>
      <c r="O135" s="48" t="n">
        <f aca="false">O42*$D$19*$D$129/1000000</f>
        <v>6.99571314741036</v>
      </c>
      <c r="P135" s="48" t="n">
        <f aca="false">P42*$D$19*$D$129/1000000</f>
        <v>6.99571314741036</v>
      </c>
      <c r="Q135" s="48" t="n">
        <f aca="false">Q42*$D$19*$D$129/1000000</f>
        <v>6.99571314741036</v>
      </c>
      <c r="R135" s="48" t="n">
        <f aca="false">R42*$D$19*$D$129/1000000</f>
        <v>6.99571314741036</v>
      </c>
      <c r="S135" s="48" t="n">
        <f aca="false">S42*$D$19*$D$129/1000000</f>
        <v>6.99571314741036</v>
      </c>
      <c r="T135" s="48" t="n">
        <f aca="false">T42*$D$19*$D$129/1000000</f>
        <v>6.99571314741036</v>
      </c>
      <c r="U135" s="48" t="n">
        <f aca="false">U42*$D$19*$D$129/1000000</f>
        <v>6.99571314741036</v>
      </c>
      <c r="V135" s="48" t="n">
        <f aca="false">V42*$D$19*$D$129/1000000</f>
        <v>6.99571314741036</v>
      </c>
      <c r="W135" s="48" t="n">
        <f aca="false">W42*$D$19*$D$129/1000000</f>
        <v>6.99571314741036</v>
      </c>
      <c r="X135" s="48" t="n">
        <f aca="false">X42*$D$19*$D$129/1000000</f>
        <v>6.99571314741036</v>
      </c>
      <c r="Y135" s="48" t="n">
        <f aca="false">Y42*$D$19*$D$129/1000000</f>
        <v>6.99571314741036</v>
      </c>
      <c r="Z135" s="48" t="n">
        <f aca="false">Z42*$D$19*$D$129/1000000</f>
        <v>6.99571314741036</v>
      </c>
      <c r="AA135" s="48" t="n">
        <f aca="false">AA42*$D$19*$D$129/1000000</f>
        <v>6.99571314741036</v>
      </c>
      <c r="AB135" s="48" t="n">
        <f aca="false">AB42*$D$19*$D$129/1000000</f>
        <v>6.99571314741036</v>
      </c>
      <c r="AC135" s="48" t="n">
        <f aca="false">AC42*$D$19*$D$129/1000000</f>
        <v>6.99571314741036</v>
      </c>
      <c r="AD135" s="48" t="n">
        <f aca="false">AD42*$D$19*$D$129/1000000</f>
        <v>6.99571314741036</v>
      </c>
      <c r="AE135" s="48" t="n">
        <f aca="false">AE42*$D$19*$D$129/1000000</f>
        <v>6.99571314741036</v>
      </c>
      <c r="AF135" s="48" t="n">
        <f aca="false">AF42*$D$19*$D$129/1000000</f>
        <v>6.99571314741036</v>
      </c>
      <c r="AG135" s="48" t="n">
        <f aca="false">AG42*$D$19*$D$129/1000000</f>
        <v>6.99571314741036</v>
      </c>
      <c r="AH135" s="48" t="n">
        <f aca="false">AH42*$D$19*$D$129/1000000</f>
        <v>6.99571314741036</v>
      </c>
      <c r="AI135" s="48" t="n">
        <f aca="false">AI42*$D$19*$D$129/1000000</f>
        <v>6.99571314741036</v>
      </c>
      <c r="AJ135" s="48" t="n">
        <f aca="false">AJ42*$D$19*$D$129/1000000</f>
        <v>6.99571314741036</v>
      </c>
      <c r="AK135" s="48" t="n">
        <f aca="false">AK42*$D$19*$D$129/1000000</f>
        <v>6.99571314741036</v>
      </c>
      <c r="AL135" s="48" t="n">
        <f aca="false">AL42*$D$19*$D$129/1000000</f>
        <v>6.99571314741036</v>
      </c>
      <c r="AM135" s="48" t="n">
        <f aca="false">AM42*$D$19*$D$129/1000000</f>
        <v>6.99571314741036</v>
      </c>
      <c r="AN135" s="48" t="n">
        <f aca="false">AN42*$D$19*$D$129/1000000</f>
        <v>6.99571314741036</v>
      </c>
      <c r="AO135" s="48" t="n">
        <f aca="false">AO42*$D$19*$D$129/1000000</f>
        <v>6.99571314741036</v>
      </c>
      <c r="AP135" s="48" t="n">
        <f aca="false">AP42*$D$19*$D$129/1000000</f>
        <v>6.99571314741036</v>
      </c>
      <c r="AQ135" s="48" t="n">
        <f aca="false">AQ42*$D$19*$D$129/1000000</f>
        <v>6.99571314741036</v>
      </c>
      <c r="AR135" s="48" t="n">
        <f aca="false">AR42*$D$19*$D$129/1000000</f>
        <v>6.99571314741036</v>
      </c>
      <c r="AS135" s="48" t="n">
        <f aca="false">AS42*$D$19*$D$129/1000000</f>
        <v>6.99571314741036</v>
      </c>
      <c r="AT135" s="48" t="n">
        <f aca="false">AT42*$D$19*$D$129/1000000</f>
        <v>6.99571314741036</v>
      </c>
      <c r="AU135" s="48" t="n">
        <f aca="false">AU42*$D$19*$D$129/1000000</f>
        <v>6.99571314741036</v>
      </c>
      <c r="AV135" s="48" t="n">
        <f aca="false">AV42*$D$19*$D$129/1000000</f>
        <v>6.99571314741036</v>
      </c>
      <c r="AW135" s="48" t="n">
        <f aca="false">AW42*$D$19*$D$129/1000000</f>
        <v>6.99571314741036</v>
      </c>
      <c r="AX135" s="48" t="n">
        <f aca="false">AX42*$D$19*$D$129/1000000</f>
        <v>6.99571314741036</v>
      </c>
      <c r="AY135" s="48" t="n">
        <f aca="false">AY42*$D$19*$D$129/1000000</f>
        <v>6.99571314741036</v>
      </c>
      <c r="AZ135" s="48" t="n">
        <f aca="false">AZ42*$D$19*$D$129/1000000</f>
        <v>6.99571314741036</v>
      </c>
      <c r="BA135" s="48" t="n">
        <f aca="false">BA42*$D$19*$D$129/1000000</f>
        <v>6.99571314741036</v>
      </c>
      <c r="BB135" s="48" t="n">
        <f aca="false">BB42*$D$19*$D$129/1000000</f>
        <v>6.99571314741036</v>
      </c>
      <c r="BC135" s="48" t="n">
        <f aca="false">BC42*$D$19*$D$129/1000000</f>
        <v>6.99571314741036</v>
      </c>
      <c r="BD135" s="48" t="n">
        <f aca="false">BD42*$D$19*$D$129/1000000</f>
        <v>6.99571314741036</v>
      </c>
      <c r="BE135" s="48" t="n">
        <f aca="false">BE42*$D$19*$D$129/1000000</f>
        <v>6.99571314741036</v>
      </c>
      <c r="BF135" s="48" t="n">
        <f aca="false">BF42*$D$19*$D$129/1000000</f>
        <v>6.99571314741036</v>
      </c>
      <c r="BG135" s="48" t="n">
        <f aca="false">BG42*$D$19*$D$129/1000000</f>
        <v>6.99571314741036</v>
      </c>
      <c r="BH135" s="48" t="n">
        <f aca="false">BH42*$D$19*$D$129/1000000</f>
        <v>6.99571314741036</v>
      </c>
      <c r="BI135" s="48" t="n">
        <f aca="false">BI42*$D$19*$D$129/1000000</f>
        <v>6.99571314741036</v>
      </c>
      <c r="BJ135" s="48" t="n">
        <f aca="false">BJ42*$D$19*$D$129/1000000</f>
        <v>6.99571314741036</v>
      </c>
      <c r="BK135" s="48" t="n">
        <f aca="false">BK42*$D$19*$D$129/1000000</f>
        <v>6.99571314741036</v>
      </c>
      <c r="BL135" s="48" t="n">
        <f aca="false">BL42*$D$19*$D$129/1000000</f>
        <v>6.99571314741036</v>
      </c>
      <c r="BM135" s="48" t="n">
        <f aca="false">BM42*$D$19*$D$129/1000000</f>
        <v>6.99571314741036</v>
      </c>
      <c r="BN135" s="48" t="n">
        <f aca="false">BN42*$D$19*$D$129/1000000</f>
        <v>6.99571314741036</v>
      </c>
      <c r="BO135" s="48" t="n">
        <f aca="false">BO42*$D$19*$D$129/1000000</f>
        <v>6.99571314741036</v>
      </c>
      <c r="BP135" s="48" t="n">
        <f aca="false">BP42*$D$19*$D$129/1000000</f>
        <v>6.99571314741036</v>
      </c>
      <c r="BQ135" s="48" t="n">
        <f aca="false">BQ42*$D$19*$D$129/1000000</f>
        <v>6.99571314741036</v>
      </c>
      <c r="BR135" s="48" t="n">
        <f aca="false">BR42*$D$19*$D$129/1000000</f>
        <v>6.99571314741036</v>
      </c>
      <c r="BS135" s="48" t="n">
        <f aca="false">BS42*$D$19*$D$129/1000000</f>
        <v>6.99571314741036</v>
      </c>
      <c r="BT135" s="48" t="n">
        <f aca="false">BT42*$D$19*$D$129/1000000</f>
        <v>6.99571314741036</v>
      </c>
      <c r="BU135" s="48" t="n">
        <f aca="false">BU42*$D$19*$D$129/1000000</f>
        <v>6.99571314741036</v>
      </c>
      <c r="BV135" s="48" t="n">
        <f aca="false">BV42*$D$19*$D$129/1000000</f>
        <v>6.99571314741036</v>
      </c>
      <c r="BW135" s="48" t="n">
        <f aca="false">BW42*$D$19*$D$129/1000000</f>
        <v>0</v>
      </c>
      <c r="BX135" s="48" t="n">
        <f aca="false">BX42*$D$19*$D$129/1000000</f>
        <v>0</v>
      </c>
    </row>
    <row r="136" customFormat="false" ht="15" hidden="false" customHeight="false" outlineLevel="0" collapsed="false">
      <c r="A136" s="1"/>
      <c r="B136" s="4" t="s">
        <v>396</v>
      </c>
      <c r="C136" s="1"/>
      <c r="D136" s="46" t="n">
        <f aca="false">IFERROR(SUMIF($G$42:$BX$42,1,$G$134:$BX$134)/COUNTIF($G$42:$BX$42,1),0)</f>
        <v>63.914606328617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</row>
    <row r="137" customFormat="false" ht="15" hidden="false" customHeight="false" outlineLevel="0" collapsed="false">
      <c r="A137" s="1"/>
      <c r="B137" s="8" t="s">
        <v>397</v>
      </c>
      <c r="C137" s="1"/>
      <c r="D137" s="48" t="n">
        <f aca="false">SUM($G$94:$BX$94)</f>
        <v>3301.36220873326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</row>
    <row r="138" customFormat="false" ht="15" hidden="false" customHeight="false" outlineLevel="0" collapsed="false">
      <c r="A138" s="1"/>
      <c r="B138" s="8" t="s">
        <v>398</v>
      </c>
      <c r="C138" s="1"/>
      <c r="D138" s="48" t="n">
        <f aca="false">SUM($G$69:$BX$69)</f>
        <v>0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</row>
    <row r="139" customFormat="false" ht="15" hidden="false" customHeight="false" outlineLevel="0" collapsed="false">
      <c r="A139" s="1"/>
      <c r="B139" s="8" t="s">
        <v>399</v>
      </c>
      <c r="C139" s="1"/>
      <c r="D139" s="48" t="n">
        <f aca="false">SUM($G$72:$BX$72)</f>
        <v>3647.454571332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</row>
    <row r="140" customFormat="false" ht="15" hidden="false" customHeight="false" outlineLevel="0" collapsed="false">
      <c r="A140" s="1"/>
      <c r="B140" s="8" t="s">
        <v>400</v>
      </c>
      <c r="C140" s="1"/>
      <c r="D140" s="48" t="n">
        <f aca="false">SUM($G$62:$BX$62)</f>
        <v>0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</row>
    <row r="141" customFormat="false" ht="15" hidden="false" customHeight="false" outlineLevel="0" collapsed="false">
      <c r="A141" s="1"/>
      <c r="B141" s="8" t="s">
        <v>401</v>
      </c>
      <c r="C141" s="1"/>
      <c r="D141" s="48" t="n">
        <f aca="false">SUM($G$122:$BX$122)</f>
        <v>1368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</row>
    <row r="142" customFormat="false" ht="15" hidden="false" customHeight="false" outlineLevel="0" collapsed="false">
      <c r="A142" s="1"/>
      <c r="B142" s="8" t="s">
        <v>402</v>
      </c>
      <c r="C142" s="1"/>
      <c r="D142" s="48" t="n">
        <f aca="false">SUM($G$123:$BX$123)</f>
        <v>1368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</row>
    <row r="143" customFormat="false" ht="15" hidden="false" customHeight="false" outlineLevel="0" collapsed="false">
      <c r="A143" s="1"/>
      <c r="B143" s="8" t="s">
        <v>403</v>
      </c>
      <c r="C143" s="1"/>
      <c r="D143" s="48" t="n">
        <f aca="false">SUM($G$124:$BX$124)+SUM($G$125:$BX$125)+SUM($G$126:$BX$126)</f>
        <v>973.033072047696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</row>
    <row r="144" customFormat="false" ht="15" hidden="false" customHeight="false" outlineLevel="0" collapsed="false">
      <c r="A144" s="1"/>
      <c r="B144" s="8" t="s">
        <v>404</v>
      </c>
      <c r="C144" s="1"/>
      <c r="D144" s="48" t="n">
        <f aca="false">SUM($G$131:$BX$131)+SUM($G$132:$BX$132)+SUM($G$133:$BX$133)</f>
        <v>136.618771419323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X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6" min="5" style="0" width="3"/>
    <col collapsed="false" customWidth="true" hidden="false" outlineLevel="0" max="76" min="7" style="0" width="10.51"/>
  </cols>
  <sheetData>
    <row r="1" customFormat="false" ht="15" hidden="false" customHeight="false" outlineLevel="0" collapsed="false">
      <c r="A1" s="1"/>
      <c r="B1" s="2" t="s">
        <v>19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</row>
    <row r="2" customFormat="false" ht="15" hidden="false" customHeight="false" outlineLevel="0" collapsed="false">
      <c r="A2" s="1"/>
      <c r="B2" s="6" t="s">
        <v>273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</row>
    <row r="4" customFormat="false" ht="15" hidden="false" customHeight="false" outlineLevel="0" collapsed="false">
      <c r="A4" s="1"/>
      <c r="B4" s="4" t="s">
        <v>25</v>
      </c>
      <c r="C4" s="1"/>
      <c r="D4" s="1"/>
      <c r="E4" s="1"/>
      <c r="F4" s="1"/>
      <c r="G4" s="37" t="n">
        <v>2027</v>
      </c>
      <c r="H4" s="37" t="n">
        <v>2028</v>
      </c>
      <c r="I4" s="37" t="n">
        <v>2029</v>
      </c>
      <c r="J4" s="37" t="n">
        <v>2030</v>
      </c>
      <c r="K4" s="37" t="n">
        <v>2031</v>
      </c>
      <c r="L4" s="37" t="n">
        <v>2032</v>
      </c>
      <c r="M4" s="37" t="n">
        <v>2033</v>
      </c>
      <c r="N4" s="37" t="n">
        <v>2034</v>
      </c>
      <c r="O4" s="37" t="n">
        <v>2035</v>
      </c>
      <c r="P4" s="37" t="n">
        <v>2036</v>
      </c>
      <c r="Q4" s="37" t="n">
        <v>2037</v>
      </c>
      <c r="R4" s="37" t="n">
        <v>2038</v>
      </c>
      <c r="S4" s="37" t="n">
        <v>2039</v>
      </c>
      <c r="T4" s="37" t="n">
        <v>2040</v>
      </c>
      <c r="U4" s="37" t="n">
        <v>2041</v>
      </c>
      <c r="V4" s="37" t="n">
        <v>2042</v>
      </c>
      <c r="W4" s="37" t="n">
        <v>2043</v>
      </c>
      <c r="X4" s="37" t="n">
        <v>2044</v>
      </c>
      <c r="Y4" s="37" t="n">
        <v>2045</v>
      </c>
      <c r="Z4" s="37" t="n">
        <v>2046</v>
      </c>
      <c r="AA4" s="37" t="n">
        <v>2047</v>
      </c>
      <c r="AB4" s="37" t="n">
        <v>2048</v>
      </c>
      <c r="AC4" s="37" t="n">
        <v>2049</v>
      </c>
      <c r="AD4" s="37" t="n">
        <v>2050</v>
      </c>
      <c r="AE4" s="37" t="n">
        <v>2051</v>
      </c>
      <c r="AF4" s="37" t="n">
        <v>2052</v>
      </c>
      <c r="AG4" s="37" t="n">
        <v>2053</v>
      </c>
      <c r="AH4" s="37" t="n">
        <v>2054</v>
      </c>
      <c r="AI4" s="37" t="n">
        <v>2055</v>
      </c>
      <c r="AJ4" s="37" t="n">
        <v>2056</v>
      </c>
      <c r="AK4" s="37" t="n">
        <v>2057</v>
      </c>
      <c r="AL4" s="37" t="n">
        <v>2058</v>
      </c>
      <c r="AM4" s="37" t="n">
        <v>2059</v>
      </c>
      <c r="AN4" s="37" t="n">
        <v>2060</v>
      </c>
      <c r="AO4" s="37" t="n">
        <v>2061</v>
      </c>
      <c r="AP4" s="37" t="n">
        <v>2062</v>
      </c>
      <c r="AQ4" s="37" t="n">
        <v>2063</v>
      </c>
      <c r="AR4" s="37" t="n">
        <v>2064</v>
      </c>
      <c r="AS4" s="37" t="n">
        <v>2065</v>
      </c>
      <c r="AT4" s="37" t="n">
        <v>2066</v>
      </c>
      <c r="AU4" s="37" t="n">
        <v>2067</v>
      </c>
      <c r="AV4" s="37" t="n">
        <v>2068</v>
      </c>
      <c r="AW4" s="37" t="n">
        <v>2069</v>
      </c>
      <c r="AX4" s="37" t="n">
        <v>2070</v>
      </c>
      <c r="AY4" s="37" t="n">
        <v>2071</v>
      </c>
      <c r="AZ4" s="37" t="n">
        <v>2072</v>
      </c>
      <c r="BA4" s="37" t="n">
        <v>2073</v>
      </c>
      <c r="BB4" s="37" t="n">
        <v>2074</v>
      </c>
      <c r="BC4" s="37" t="n">
        <v>2075</v>
      </c>
      <c r="BD4" s="37" t="n">
        <v>2076</v>
      </c>
      <c r="BE4" s="37" t="n">
        <v>2077</v>
      </c>
      <c r="BF4" s="37" t="n">
        <v>2078</v>
      </c>
      <c r="BG4" s="37" t="n">
        <v>2079</v>
      </c>
      <c r="BH4" s="37" t="n">
        <v>2080</v>
      </c>
      <c r="BI4" s="37" t="n">
        <v>2081</v>
      </c>
      <c r="BJ4" s="37" t="n">
        <v>2082</v>
      </c>
      <c r="BK4" s="37" t="n">
        <v>2083</v>
      </c>
      <c r="BL4" s="37" t="n">
        <v>2084</v>
      </c>
      <c r="BM4" s="37" t="n">
        <v>2085</v>
      </c>
      <c r="BN4" s="37" t="n">
        <v>2086</v>
      </c>
      <c r="BO4" s="37" t="n">
        <v>2087</v>
      </c>
      <c r="BP4" s="37" t="n">
        <v>2088</v>
      </c>
      <c r="BQ4" s="37" t="n">
        <v>2089</v>
      </c>
      <c r="BR4" s="37" t="n">
        <v>2090</v>
      </c>
      <c r="BS4" s="37" t="n">
        <v>2091</v>
      </c>
      <c r="BT4" s="37" t="n">
        <v>2092</v>
      </c>
      <c r="BU4" s="37" t="n">
        <v>2093</v>
      </c>
      <c r="BV4" s="37" t="n">
        <v>2094</v>
      </c>
      <c r="BW4" s="37" t="n">
        <v>2095</v>
      </c>
      <c r="BX4" s="37" t="n">
        <v>2096</v>
      </c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</row>
    <row r="6" customFormat="false" ht="15" hidden="false" customHeight="false" outlineLevel="0" collapsed="false">
      <c r="A6" s="1"/>
      <c r="B6" s="13" t="s">
        <v>274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</row>
    <row r="7" customFormat="false" ht="15" hidden="false" customHeight="false" outlineLevel="0" collapsed="false">
      <c r="A7" s="1"/>
      <c r="B7" s="8" t="s">
        <v>275</v>
      </c>
      <c r="C7" s="1"/>
      <c r="D7" s="9" t="n">
        <f aca="false">Input!$H$90</f>
        <v>300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</row>
    <row r="8" customFormat="false" ht="15" hidden="false" customHeight="false" outlineLevel="0" collapsed="false">
      <c r="A8" s="1"/>
      <c r="B8" s="8" t="s">
        <v>276</v>
      </c>
      <c r="C8" s="1"/>
      <c r="D8" s="9" t="n">
        <f aca="false">Input!$H$91</f>
        <v>6200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</row>
    <row r="9" customFormat="false" ht="15" hidden="false" customHeight="false" outlineLevel="0" collapsed="false">
      <c r="A9" s="1"/>
      <c r="B9" s="8" t="s">
        <v>277</v>
      </c>
      <c r="C9" s="1"/>
      <c r="D9" s="38" t="n">
        <f aca="false">Input!$H$92</f>
        <v>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</row>
    <row r="10" customFormat="false" ht="15" hidden="false" customHeight="false" outlineLevel="0" collapsed="false">
      <c r="A10" s="1"/>
      <c r="B10" s="8" t="s">
        <v>278</v>
      </c>
      <c r="C10" s="1"/>
      <c r="D10" s="38" t="n">
        <f aca="false">Input!$H$83</f>
        <v>2031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</row>
    <row r="11" customFormat="false" ht="15" hidden="false" customHeight="false" outlineLevel="0" collapsed="false">
      <c r="A11" s="1"/>
      <c r="B11" s="8" t="s">
        <v>279</v>
      </c>
      <c r="C11" s="1"/>
      <c r="D11" s="38" t="n">
        <f aca="false">Input!$H$93</f>
        <v>30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</row>
    <row r="12" customFormat="false" ht="15" hidden="false" customHeight="false" outlineLevel="0" collapsed="false">
      <c r="A12" s="1"/>
      <c r="B12" s="8" t="s">
        <v>280</v>
      </c>
      <c r="C12" s="1"/>
      <c r="D12" s="39" t="n">
        <f aca="false">$D$10-$D$9</f>
        <v>2027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</row>
    <row r="13" customFormat="false" ht="15" hidden="false" customHeight="false" outlineLevel="0" collapsed="false">
      <c r="A13" s="1"/>
      <c r="B13" s="8" t="s">
        <v>281</v>
      </c>
      <c r="C13" s="1"/>
      <c r="D13" s="10" t="n">
        <f aca="false">Input!$H$17</f>
        <v>0.07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</row>
    <row r="14" customFormat="false" ht="15" hidden="false" customHeight="false" outlineLevel="0" collapsed="false">
      <c r="A14" s="1"/>
      <c r="B14" s="8" t="s">
        <v>282</v>
      </c>
      <c r="C14" s="1"/>
      <c r="D14" s="9" t="n">
        <f aca="false">Input!$H$95</f>
        <v>100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</row>
    <row r="15" customFormat="false" ht="15" hidden="false" customHeight="false" outlineLevel="0" collapsed="false">
      <c r="A15" s="1"/>
      <c r="B15" s="8" t="s">
        <v>283</v>
      </c>
      <c r="C15" s="1"/>
      <c r="D15" s="40" t="n">
        <f aca="false">Input!$H$96</f>
        <v>16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</row>
    <row r="16" customFormat="false" ht="15" hidden="false" customHeight="false" outlineLevel="0" collapsed="false">
      <c r="A16" s="1"/>
      <c r="B16" s="8" t="s">
        <v>57</v>
      </c>
      <c r="C16" s="1"/>
      <c r="D16" s="41" t="n">
        <f aca="false">Input!$H$10</f>
        <v>4.3633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</row>
    <row r="17" customFormat="false" ht="15" hidden="false" customHeight="false" outlineLevel="0" collapsed="false">
      <c r="A17" s="1"/>
      <c r="B17" s="8" t="s">
        <v>215</v>
      </c>
      <c r="C17" s="1"/>
      <c r="D17" s="10" t="n">
        <f aca="false">Input!$H$141</f>
        <v>0.19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</row>
    <row r="18" customFormat="false" ht="15" hidden="false" customHeight="false" outlineLevel="0" collapsed="false">
      <c r="A18" s="1"/>
      <c r="B18" s="8" t="s">
        <v>284</v>
      </c>
      <c r="C18" s="1"/>
      <c r="D18" s="42" t="n">
        <f aca="false">Input!$H$31</f>
        <v>0.005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</row>
    <row r="19" customFormat="false" ht="15" hidden="false" customHeight="false" outlineLevel="0" collapsed="false">
      <c r="A19" s="1"/>
      <c r="B19" s="8" t="s">
        <v>285</v>
      </c>
      <c r="C19" s="1"/>
      <c r="D19" s="9" t="n">
        <f aca="false">Input!$H$98</f>
        <v>60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</row>
    <row r="20" customFormat="false" ht="15" hidden="false" customHeight="false" outlineLevel="0" collapsed="false">
      <c r="A20" s="1"/>
      <c r="B20" s="8" t="s">
        <v>286</v>
      </c>
      <c r="C20" s="1"/>
      <c r="D20" s="9" t="n">
        <f aca="false">Input!$H$99</f>
        <v>200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</row>
    <row r="21" customFormat="false" ht="15" hidden="false" customHeight="false" outlineLevel="0" collapsed="false">
      <c r="A21" s="1"/>
      <c r="B21" s="8" t="s">
        <v>287</v>
      </c>
      <c r="C21" s="1"/>
      <c r="D21" s="10" t="n">
        <f aca="false">Input!$H$100</f>
        <v>0.15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</row>
    <row r="22" customFormat="false" ht="15" hidden="false" customHeight="false" outlineLevel="0" collapsed="false">
      <c r="A22" s="1"/>
      <c r="B22" s="8" t="s">
        <v>288</v>
      </c>
      <c r="C22" s="1"/>
      <c r="D22" s="43" t="n">
        <f aca="false">Input!$H$84</f>
        <v>0.02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</row>
    <row r="23" customFormat="false" ht="15" hidden="false" customHeight="false" outlineLevel="0" collapsed="false">
      <c r="A23" s="1"/>
      <c r="B23" s="8" t="s">
        <v>155</v>
      </c>
      <c r="C23" s="1"/>
      <c r="D23" s="43" t="n">
        <f aca="false">1</f>
        <v>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</row>
    <row r="24" customFormat="false" ht="15" hidden="false" customHeight="false" outlineLevel="0" collapsed="false">
      <c r="A24" s="1"/>
      <c r="B24" s="4" t="s">
        <v>289</v>
      </c>
      <c r="C24" s="1"/>
      <c r="D24" s="44" t="n">
        <f aca="false">$D$8*$D$7*1000/1000000</f>
        <v>1860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</row>
    <row r="25" customFormat="false" ht="15" hidden="false" customHeight="false" outlineLevel="0" collapsed="false">
      <c r="A25" s="1"/>
      <c r="B25" s="8" t="s">
        <v>410</v>
      </c>
      <c r="C25" s="1"/>
      <c r="D25" s="10" t="n">
        <f aca="false">Input!$H$94</f>
        <v>0.57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</row>
    <row r="26" customFormat="false" ht="15" hidden="false" customHeight="false" outlineLevel="0" collapsed="false">
      <c r="A26" s="1"/>
      <c r="B26" s="8" t="s">
        <v>411</v>
      </c>
      <c r="C26" s="1"/>
      <c r="D26" s="41" t="n">
        <f aca="false">Input!$H$30</f>
        <v>0.2006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</row>
    <row r="27" customFormat="false" ht="15" hidden="false" customHeight="false" outlineLevel="0" collapsed="false">
      <c r="A27" s="1"/>
      <c r="B27" s="8" t="s">
        <v>412</v>
      </c>
      <c r="C27" s="1"/>
      <c r="D27" s="9" t="n">
        <f aca="false">Input!$H$97</f>
        <v>58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</row>
    <row r="28" customFormat="false" ht="15" hidden="false" customHeight="false" outlineLevel="0" collapsed="false">
      <c r="A28" s="1"/>
      <c r="B28" s="8" t="s">
        <v>413</v>
      </c>
      <c r="C28" s="1"/>
      <c r="D28" s="9" t="n">
        <f aca="false">Input!$H$85</f>
        <v>350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</row>
    <row r="29" customFormat="false" ht="15" hidden="false" customHeight="false" outlineLevel="0" collapsed="false">
      <c r="A29" s="1"/>
      <c r="B29" s="8" t="s">
        <v>414</v>
      </c>
      <c r="C29" s="1"/>
      <c r="D29" s="10" t="n">
        <f aca="false">Input!$H$86</f>
        <v>0.05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</row>
    <row r="30" customFormat="false" ht="15" hidden="false" customHeight="false" outlineLevel="0" collapsed="false">
      <c r="A30" s="1"/>
      <c r="B30" s="8" t="s">
        <v>299</v>
      </c>
      <c r="C30" s="1"/>
      <c r="D30" s="41" t="n">
        <f aca="false">Input!$H$26</f>
        <v>0.9315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</row>
    <row r="31" customFormat="false" ht="15" hidden="false" customHeight="false" outlineLevel="0" collapsed="false">
      <c r="A31" s="1"/>
      <c r="B31" s="8" t="s">
        <v>415</v>
      </c>
      <c r="C31" s="1"/>
      <c r="D31" s="9" t="n">
        <f aca="false">Input!$H$28</f>
        <v>15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</row>
    <row r="32" customFormat="false" ht="15" hidden="false" customHeight="false" outlineLevel="0" collapsed="false">
      <c r="A32" s="1"/>
      <c r="B32" s="8" t="s">
        <v>300</v>
      </c>
      <c r="C32" s="1"/>
      <c r="D32" s="48" t="n">
        <f aca="false">Input!$H$87*$D$7/300</f>
        <v>300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</row>
    <row r="33" customFormat="false" ht="15" hidden="false" customHeight="false" outlineLevel="0" collapsed="false">
      <c r="A33" s="1"/>
      <c r="B33" s="8" t="s">
        <v>304</v>
      </c>
      <c r="C33" s="1"/>
      <c r="D33" s="9" t="n">
        <f aca="false">Input!$H$23</f>
        <v>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</row>
    <row r="34" customFormat="false" ht="15" hidden="false" customHeight="false" outlineLevel="0" collapsed="false">
      <c r="A34" s="1"/>
      <c r="B34" s="8" t="s">
        <v>305</v>
      </c>
      <c r="C34" s="1"/>
      <c r="D34" s="38" t="n">
        <f aca="false">Input!$H$24</f>
        <v>17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</row>
    <row r="36" customFormat="false" ht="15" hidden="false" customHeight="false" outlineLevel="0" collapsed="false">
      <c r="A36" s="1"/>
      <c r="B36" s="13" t="s">
        <v>306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</row>
    <row r="37" customFormat="false" ht="15" hidden="false" customHeight="false" outlineLevel="0" collapsed="false">
      <c r="A37" s="1"/>
      <c r="B37" s="8" t="s">
        <v>307</v>
      </c>
      <c r="C37" s="8" t="s">
        <v>308</v>
      </c>
      <c r="D37" s="1"/>
      <c r="E37" s="1"/>
      <c r="F37" s="1"/>
      <c r="G37" s="39" t="n">
        <f aca="false">IF(AND(G$4&gt;=$D$12,G$4&lt;$D$10),1,0)</f>
        <v>1</v>
      </c>
      <c r="H37" s="39" t="n">
        <f aca="false">IF(AND(H$4&gt;=$D$12,H$4&lt;$D$10),1,0)</f>
        <v>1</v>
      </c>
      <c r="I37" s="39" t="n">
        <f aca="false">IF(AND(I$4&gt;=$D$12,I$4&lt;$D$10),1,0)</f>
        <v>1</v>
      </c>
      <c r="J37" s="39" t="n">
        <f aca="false">IF(AND(J$4&gt;=$D$12,J$4&lt;$D$10),1,0)</f>
        <v>1</v>
      </c>
      <c r="K37" s="39" t="n">
        <f aca="false">IF(AND(K$4&gt;=$D$12,K$4&lt;$D$10),1,0)</f>
        <v>0</v>
      </c>
      <c r="L37" s="39" t="n">
        <f aca="false">IF(AND(L$4&gt;=$D$12,L$4&lt;$D$10),1,0)</f>
        <v>0</v>
      </c>
      <c r="M37" s="39" t="n">
        <f aca="false">IF(AND(M$4&gt;=$D$12,M$4&lt;$D$10),1,0)</f>
        <v>0</v>
      </c>
      <c r="N37" s="39" t="n">
        <f aca="false">IF(AND(N$4&gt;=$D$12,N$4&lt;$D$10),1,0)</f>
        <v>0</v>
      </c>
      <c r="O37" s="39" t="n">
        <f aca="false">IF(AND(O$4&gt;=$D$12,O$4&lt;$D$10),1,0)</f>
        <v>0</v>
      </c>
      <c r="P37" s="39" t="n">
        <f aca="false">IF(AND(P$4&gt;=$D$12,P$4&lt;$D$10),1,0)</f>
        <v>0</v>
      </c>
      <c r="Q37" s="39" t="n">
        <f aca="false">IF(AND(Q$4&gt;=$D$12,Q$4&lt;$D$10),1,0)</f>
        <v>0</v>
      </c>
      <c r="R37" s="39" t="n">
        <f aca="false">IF(AND(R$4&gt;=$D$12,R$4&lt;$D$10),1,0)</f>
        <v>0</v>
      </c>
      <c r="S37" s="39" t="n">
        <f aca="false">IF(AND(S$4&gt;=$D$12,S$4&lt;$D$10),1,0)</f>
        <v>0</v>
      </c>
      <c r="T37" s="39" t="n">
        <f aca="false">IF(AND(T$4&gt;=$D$12,T$4&lt;$D$10),1,0)</f>
        <v>0</v>
      </c>
      <c r="U37" s="39" t="n">
        <f aca="false">IF(AND(U$4&gt;=$D$12,U$4&lt;$D$10),1,0)</f>
        <v>0</v>
      </c>
      <c r="V37" s="39" t="n">
        <f aca="false">IF(AND(V$4&gt;=$D$12,V$4&lt;$D$10),1,0)</f>
        <v>0</v>
      </c>
      <c r="W37" s="39" t="n">
        <f aca="false">IF(AND(W$4&gt;=$D$12,W$4&lt;$D$10),1,0)</f>
        <v>0</v>
      </c>
      <c r="X37" s="39" t="n">
        <f aca="false">IF(AND(X$4&gt;=$D$12,X$4&lt;$D$10),1,0)</f>
        <v>0</v>
      </c>
      <c r="Y37" s="39" t="n">
        <f aca="false">IF(AND(Y$4&gt;=$D$12,Y$4&lt;$D$10),1,0)</f>
        <v>0</v>
      </c>
      <c r="Z37" s="39" t="n">
        <f aca="false">IF(AND(Z$4&gt;=$D$12,Z$4&lt;$D$10),1,0)</f>
        <v>0</v>
      </c>
      <c r="AA37" s="39" t="n">
        <f aca="false">IF(AND(AA$4&gt;=$D$12,AA$4&lt;$D$10),1,0)</f>
        <v>0</v>
      </c>
      <c r="AB37" s="39" t="n">
        <f aca="false">IF(AND(AB$4&gt;=$D$12,AB$4&lt;$D$10),1,0)</f>
        <v>0</v>
      </c>
      <c r="AC37" s="39" t="n">
        <f aca="false">IF(AND(AC$4&gt;=$D$12,AC$4&lt;$D$10),1,0)</f>
        <v>0</v>
      </c>
      <c r="AD37" s="39" t="n">
        <f aca="false">IF(AND(AD$4&gt;=$D$12,AD$4&lt;$D$10),1,0)</f>
        <v>0</v>
      </c>
      <c r="AE37" s="39" t="n">
        <f aca="false">IF(AND(AE$4&gt;=$D$12,AE$4&lt;$D$10),1,0)</f>
        <v>0</v>
      </c>
      <c r="AF37" s="39" t="n">
        <f aca="false">IF(AND(AF$4&gt;=$D$12,AF$4&lt;$D$10),1,0)</f>
        <v>0</v>
      </c>
      <c r="AG37" s="39" t="n">
        <f aca="false">IF(AND(AG$4&gt;=$D$12,AG$4&lt;$D$10),1,0)</f>
        <v>0</v>
      </c>
      <c r="AH37" s="39" t="n">
        <f aca="false">IF(AND(AH$4&gt;=$D$12,AH$4&lt;$D$10),1,0)</f>
        <v>0</v>
      </c>
      <c r="AI37" s="39" t="n">
        <f aca="false">IF(AND(AI$4&gt;=$D$12,AI$4&lt;$D$10),1,0)</f>
        <v>0</v>
      </c>
      <c r="AJ37" s="39" t="n">
        <f aca="false">IF(AND(AJ$4&gt;=$D$12,AJ$4&lt;$D$10),1,0)</f>
        <v>0</v>
      </c>
      <c r="AK37" s="39" t="n">
        <f aca="false">IF(AND(AK$4&gt;=$D$12,AK$4&lt;$D$10),1,0)</f>
        <v>0</v>
      </c>
      <c r="AL37" s="39" t="n">
        <f aca="false">IF(AND(AL$4&gt;=$D$12,AL$4&lt;$D$10),1,0)</f>
        <v>0</v>
      </c>
      <c r="AM37" s="39" t="n">
        <f aca="false">IF(AND(AM$4&gt;=$D$12,AM$4&lt;$D$10),1,0)</f>
        <v>0</v>
      </c>
      <c r="AN37" s="39" t="n">
        <f aca="false">IF(AND(AN$4&gt;=$D$12,AN$4&lt;$D$10),1,0)</f>
        <v>0</v>
      </c>
      <c r="AO37" s="39" t="n">
        <f aca="false">IF(AND(AO$4&gt;=$D$12,AO$4&lt;$D$10),1,0)</f>
        <v>0</v>
      </c>
      <c r="AP37" s="39" t="n">
        <f aca="false">IF(AND(AP$4&gt;=$D$12,AP$4&lt;$D$10),1,0)</f>
        <v>0</v>
      </c>
      <c r="AQ37" s="39" t="n">
        <f aca="false">IF(AND(AQ$4&gt;=$D$12,AQ$4&lt;$D$10),1,0)</f>
        <v>0</v>
      </c>
      <c r="AR37" s="39" t="n">
        <f aca="false">IF(AND(AR$4&gt;=$D$12,AR$4&lt;$D$10),1,0)</f>
        <v>0</v>
      </c>
      <c r="AS37" s="39" t="n">
        <f aca="false">IF(AND(AS$4&gt;=$D$12,AS$4&lt;$D$10),1,0)</f>
        <v>0</v>
      </c>
      <c r="AT37" s="39" t="n">
        <f aca="false">IF(AND(AT$4&gt;=$D$12,AT$4&lt;$D$10),1,0)</f>
        <v>0</v>
      </c>
      <c r="AU37" s="39" t="n">
        <f aca="false">IF(AND(AU$4&gt;=$D$12,AU$4&lt;$D$10),1,0)</f>
        <v>0</v>
      </c>
      <c r="AV37" s="39" t="n">
        <f aca="false">IF(AND(AV$4&gt;=$D$12,AV$4&lt;$D$10),1,0)</f>
        <v>0</v>
      </c>
      <c r="AW37" s="39" t="n">
        <f aca="false">IF(AND(AW$4&gt;=$D$12,AW$4&lt;$D$10),1,0)</f>
        <v>0</v>
      </c>
      <c r="AX37" s="39" t="n">
        <f aca="false">IF(AND(AX$4&gt;=$D$12,AX$4&lt;$D$10),1,0)</f>
        <v>0</v>
      </c>
      <c r="AY37" s="39" t="n">
        <f aca="false">IF(AND(AY$4&gt;=$D$12,AY$4&lt;$D$10),1,0)</f>
        <v>0</v>
      </c>
      <c r="AZ37" s="39" t="n">
        <f aca="false">IF(AND(AZ$4&gt;=$D$12,AZ$4&lt;$D$10),1,0)</f>
        <v>0</v>
      </c>
      <c r="BA37" s="39" t="n">
        <f aca="false">IF(AND(BA$4&gt;=$D$12,BA$4&lt;$D$10),1,0)</f>
        <v>0</v>
      </c>
      <c r="BB37" s="39" t="n">
        <f aca="false">IF(AND(BB$4&gt;=$D$12,BB$4&lt;$D$10),1,0)</f>
        <v>0</v>
      </c>
      <c r="BC37" s="39" t="n">
        <f aca="false">IF(AND(BC$4&gt;=$D$12,BC$4&lt;$D$10),1,0)</f>
        <v>0</v>
      </c>
      <c r="BD37" s="39" t="n">
        <f aca="false">IF(AND(BD$4&gt;=$D$12,BD$4&lt;$D$10),1,0)</f>
        <v>0</v>
      </c>
      <c r="BE37" s="39" t="n">
        <f aca="false">IF(AND(BE$4&gt;=$D$12,BE$4&lt;$D$10),1,0)</f>
        <v>0</v>
      </c>
      <c r="BF37" s="39" t="n">
        <f aca="false">IF(AND(BF$4&gt;=$D$12,BF$4&lt;$D$10),1,0)</f>
        <v>0</v>
      </c>
      <c r="BG37" s="39" t="n">
        <f aca="false">IF(AND(BG$4&gt;=$D$12,BG$4&lt;$D$10),1,0)</f>
        <v>0</v>
      </c>
      <c r="BH37" s="39" t="n">
        <f aca="false">IF(AND(BH$4&gt;=$D$12,BH$4&lt;$D$10),1,0)</f>
        <v>0</v>
      </c>
      <c r="BI37" s="39" t="n">
        <f aca="false">IF(AND(BI$4&gt;=$D$12,BI$4&lt;$D$10),1,0)</f>
        <v>0</v>
      </c>
      <c r="BJ37" s="39" t="n">
        <f aca="false">IF(AND(BJ$4&gt;=$D$12,BJ$4&lt;$D$10),1,0)</f>
        <v>0</v>
      </c>
      <c r="BK37" s="39" t="n">
        <f aca="false">IF(AND(BK$4&gt;=$D$12,BK$4&lt;$D$10),1,0)</f>
        <v>0</v>
      </c>
      <c r="BL37" s="39" t="n">
        <f aca="false">IF(AND(BL$4&gt;=$D$12,BL$4&lt;$D$10),1,0)</f>
        <v>0</v>
      </c>
      <c r="BM37" s="39" t="n">
        <f aca="false">IF(AND(BM$4&gt;=$D$12,BM$4&lt;$D$10),1,0)</f>
        <v>0</v>
      </c>
      <c r="BN37" s="39" t="n">
        <f aca="false">IF(AND(BN$4&gt;=$D$12,BN$4&lt;$D$10),1,0)</f>
        <v>0</v>
      </c>
      <c r="BO37" s="39" t="n">
        <f aca="false">IF(AND(BO$4&gt;=$D$12,BO$4&lt;$D$10),1,0)</f>
        <v>0</v>
      </c>
      <c r="BP37" s="39" t="n">
        <f aca="false">IF(AND(BP$4&gt;=$D$12,BP$4&lt;$D$10),1,0)</f>
        <v>0</v>
      </c>
      <c r="BQ37" s="39" t="n">
        <f aca="false">IF(AND(BQ$4&gt;=$D$12,BQ$4&lt;$D$10),1,0)</f>
        <v>0</v>
      </c>
      <c r="BR37" s="39" t="n">
        <f aca="false">IF(AND(BR$4&gt;=$D$12,BR$4&lt;$D$10),1,0)</f>
        <v>0</v>
      </c>
      <c r="BS37" s="39" t="n">
        <f aca="false">IF(AND(BS$4&gt;=$D$12,BS$4&lt;$D$10),1,0)</f>
        <v>0</v>
      </c>
      <c r="BT37" s="39" t="n">
        <f aca="false">IF(AND(BT$4&gt;=$D$12,BT$4&lt;$D$10),1,0)</f>
        <v>0</v>
      </c>
      <c r="BU37" s="39" t="n">
        <f aca="false">IF(AND(BU$4&gt;=$D$12,BU$4&lt;$D$10),1,0)</f>
        <v>0</v>
      </c>
      <c r="BV37" s="39" t="n">
        <f aca="false">IF(AND(BV$4&gt;=$D$12,BV$4&lt;$D$10),1,0)</f>
        <v>0</v>
      </c>
      <c r="BW37" s="39" t="n">
        <f aca="false">IF(AND(BW$4&gt;=$D$12,BW$4&lt;$D$10),1,0)</f>
        <v>0</v>
      </c>
      <c r="BX37" s="39" t="n">
        <f aca="false">IF(AND(BX$4&gt;=$D$12,BX$4&lt;$D$10),1,0)</f>
        <v>0</v>
      </c>
    </row>
    <row r="38" customFormat="false" ht="15" hidden="false" customHeight="false" outlineLevel="0" collapsed="false">
      <c r="A38" s="1"/>
      <c r="B38" s="8" t="s">
        <v>309</v>
      </c>
      <c r="C38" s="8" t="s">
        <v>308</v>
      </c>
      <c r="D38" s="1"/>
      <c r="E38" s="1"/>
      <c r="F38" s="1"/>
      <c r="G38" s="39" t="n">
        <f aca="false">IF(AND(G$4&gt;=$D$10,G$4&lt;$D$10+$D$11),1,0)</f>
        <v>0</v>
      </c>
      <c r="H38" s="39" t="n">
        <f aca="false">IF(AND(H$4&gt;=$D$10,H$4&lt;$D$10+$D$11),1,0)</f>
        <v>0</v>
      </c>
      <c r="I38" s="39" t="n">
        <f aca="false">IF(AND(I$4&gt;=$D$10,I$4&lt;$D$10+$D$11),1,0)</f>
        <v>0</v>
      </c>
      <c r="J38" s="39" t="n">
        <f aca="false">IF(AND(J$4&gt;=$D$10,J$4&lt;$D$10+$D$11),1,0)</f>
        <v>0</v>
      </c>
      <c r="K38" s="39" t="n">
        <f aca="false">IF(AND(K$4&gt;=$D$10,K$4&lt;$D$10+$D$11),1,0)</f>
        <v>1</v>
      </c>
      <c r="L38" s="39" t="n">
        <f aca="false">IF(AND(L$4&gt;=$D$10,L$4&lt;$D$10+$D$11),1,0)</f>
        <v>1</v>
      </c>
      <c r="M38" s="39" t="n">
        <f aca="false">IF(AND(M$4&gt;=$D$10,M$4&lt;$D$10+$D$11),1,0)</f>
        <v>1</v>
      </c>
      <c r="N38" s="39" t="n">
        <f aca="false">IF(AND(N$4&gt;=$D$10,N$4&lt;$D$10+$D$11),1,0)</f>
        <v>1</v>
      </c>
      <c r="O38" s="39" t="n">
        <f aca="false">IF(AND(O$4&gt;=$D$10,O$4&lt;$D$10+$D$11),1,0)</f>
        <v>1</v>
      </c>
      <c r="P38" s="39" t="n">
        <f aca="false">IF(AND(P$4&gt;=$D$10,P$4&lt;$D$10+$D$11),1,0)</f>
        <v>1</v>
      </c>
      <c r="Q38" s="39" t="n">
        <f aca="false">IF(AND(Q$4&gt;=$D$10,Q$4&lt;$D$10+$D$11),1,0)</f>
        <v>1</v>
      </c>
      <c r="R38" s="39" t="n">
        <f aca="false">IF(AND(R$4&gt;=$D$10,R$4&lt;$D$10+$D$11),1,0)</f>
        <v>1</v>
      </c>
      <c r="S38" s="39" t="n">
        <f aca="false">IF(AND(S$4&gt;=$D$10,S$4&lt;$D$10+$D$11),1,0)</f>
        <v>1</v>
      </c>
      <c r="T38" s="39" t="n">
        <f aca="false">IF(AND(T$4&gt;=$D$10,T$4&lt;$D$10+$D$11),1,0)</f>
        <v>1</v>
      </c>
      <c r="U38" s="39" t="n">
        <f aca="false">IF(AND(U$4&gt;=$D$10,U$4&lt;$D$10+$D$11),1,0)</f>
        <v>1</v>
      </c>
      <c r="V38" s="39" t="n">
        <f aca="false">IF(AND(V$4&gt;=$D$10,V$4&lt;$D$10+$D$11),1,0)</f>
        <v>1</v>
      </c>
      <c r="W38" s="39" t="n">
        <f aca="false">IF(AND(W$4&gt;=$D$10,W$4&lt;$D$10+$D$11),1,0)</f>
        <v>1</v>
      </c>
      <c r="X38" s="39" t="n">
        <f aca="false">IF(AND(X$4&gt;=$D$10,X$4&lt;$D$10+$D$11),1,0)</f>
        <v>1</v>
      </c>
      <c r="Y38" s="39" t="n">
        <f aca="false">IF(AND(Y$4&gt;=$D$10,Y$4&lt;$D$10+$D$11),1,0)</f>
        <v>1</v>
      </c>
      <c r="Z38" s="39" t="n">
        <f aca="false">IF(AND(Z$4&gt;=$D$10,Z$4&lt;$D$10+$D$11),1,0)</f>
        <v>1</v>
      </c>
      <c r="AA38" s="39" t="n">
        <f aca="false">IF(AND(AA$4&gt;=$D$10,AA$4&lt;$D$10+$D$11),1,0)</f>
        <v>1</v>
      </c>
      <c r="AB38" s="39" t="n">
        <f aca="false">IF(AND(AB$4&gt;=$D$10,AB$4&lt;$D$10+$D$11),1,0)</f>
        <v>1</v>
      </c>
      <c r="AC38" s="39" t="n">
        <f aca="false">IF(AND(AC$4&gt;=$D$10,AC$4&lt;$D$10+$D$11),1,0)</f>
        <v>1</v>
      </c>
      <c r="AD38" s="39" t="n">
        <f aca="false">IF(AND(AD$4&gt;=$D$10,AD$4&lt;$D$10+$D$11),1,0)</f>
        <v>1</v>
      </c>
      <c r="AE38" s="39" t="n">
        <f aca="false">IF(AND(AE$4&gt;=$D$10,AE$4&lt;$D$10+$D$11),1,0)</f>
        <v>1</v>
      </c>
      <c r="AF38" s="39" t="n">
        <f aca="false">IF(AND(AF$4&gt;=$D$10,AF$4&lt;$D$10+$D$11),1,0)</f>
        <v>1</v>
      </c>
      <c r="AG38" s="39" t="n">
        <f aca="false">IF(AND(AG$4&gt;=$D$10,AG$4&lt;$D$10+$D$11),1,0)</f>
        <v>1</v>
      </c>
      <c r="AH38" s="39" t="n">
        <f aca="false">IF(AND(AH$4&gt;=$D$10,AH$4&lt;$D$10+$D$11),1,0)</f>
        <v>1</v>
      </c>
      <c r="AI38" s="39" t="n">
        <f aca="false">IF(AND(AI$4&gt;=$D$10,AI$4&lt;$D$10+$D$11),1,0)</f>
        <v>1</v>
      </c>
      <c r="AJ38" s="39" t="n">
        <f aca="false">IF(AND(AJ$4&gt;=$D$10,AJ$4&lt;$D$10+$D$11),1,0)</f>
        <v>1</v>
      </c>
      <c r="AK38" s="39" t="n">
        <f aca="false">IF(AND(AK$4&gt;=$D$10,AK$4&lt;$D$10+$D$11),1,0)</f>
        <v>1</v>
      </c>
      <c r="AL38" s="39" t="n">
        <f aca="false">IF(AND(AL$4&gt;=$D$10,AL$4&lt;$D$10+$D$11),1,0)</f>
        <v>1</v>
      </c>
      <c r="AM38" s="39" t="n">
        <f aca="false">IF(AND(AM$4&gt;=$D$10,AM$4&lt;$D$10+$D$11),1,0)</f>
        <v>1</v>
      </c>
      <c r="AN38" s="39" t="n">
        <f aca="false">IF(AND(AN$4&gt;=$D$10,AN$4&lt;$D$10+$D$11),1,0)</f>
        <v>1</v>
      </c>
      <c r="AO38" s="39" t="n">
        <f aca="false">IF(AND(AO$4&gt;=$D$10,AO$4&lt;$D$10+$D$11),1,0)</f>
        <v>0</v>
      </c>
      <c r="AP38" s="39" t="n">
        <f aca="false">IF(AND(AP$4&gt;=$D$10,AP$4&lt;$D$10+$D$11),1,0)</f>
        <v>0</v>
      </c>
      <c r="AQ38" s="39" t="n">
        <f aca="false">IF(AND(AQ$4&gt;=$D$10,AQ$4&lt;$D$10+$D$11),1,0)</f>
        <v>0</v>
      </c>
      <c r="AR38" s="39" t="n">
        <f aca="false">IF(AND(AR$4&gt;=$D$10,AR$4&lt;$D$10+$D$11),1,0)</f>
        <v>0</v>
      </c>
      <c r="AS38" s="39" t="n">
        <f aca="false">IF(AND(AS$4&gt;=$D$10,AS$4&lt;$D$10+$D$11),1,0)</f>
        <v>0</v>
      </c>
      <c r="AT38" s="39" t="n">
        <f aca="false">IF(AND(AT$4&gt;=$D$10,AT$4&lt;$D$10+$D$11),1,0)</f>
        <v>0</v>
      </c>
      <c r="AU38" s="39" t="n">
        <f aca="false">IF(AND(AU$4&gt;=$D$10,AU$4&lt;$D$10+$D$11),1,0)</f>
        <v>0</v>
      </c>
      <c r="AV38" s="39" t="n">
        <f aca="false">IF(AND(AV$4&gt;=$D$10,AV$4&lt;$D$10+$D$11),1,0)</f>
        <v>0</v>
      </c>
      <c r="AW38" s="39" t="n">
        <f aca="false">IF(AND(AW$4&gt;=$D$10,AW$4&lt;$D$10+$D$11),1,0)</f>
        <v>0</v>
      </c>
      <c r="AX38" s="39" t="n">
        <f aca="false">IF(AND(AX$4&gt;=$D$10,AX$4&lt;$D$10+$D$11),1,0)</f>
        <v>0</v>
      </c>
      <c r="AY38" s="39" t="n">
        <f aca="false">IF(AND(AY$4&gt;=$D$10,AY$4&lt;$D$10+$D$11),1,0)</f>
        <v>0</v>
      </c>
      <c r="AZ38" s="39" t="n">
        <f aca="false">IF(AND(AZ$4&gt;=$D$10,AZ$4&lt;$D$10+$D$11),1,0)</f>
        <v>0</v>
      </c>
      <c r="BA38" s="39" t="n">
        <f aca="false">IF(AND(BA$4&gt;=$D$10,BA$4&lt;$D$10+$D$11),1,0)</f>
        <v>0</v>
      </c>
      <c r="BB38" s="39" t="n">
        <f aca="false">IF(AND(BB$4&gt;=$D$10,BB$4&lt;$D$10+$D$11),1,0)</f>
        <v>0</v>
      </c>
      <c r="BC38" s="39" t="n">
        <f aca="false">IF(AND(BC$4&gt;=$D$10,BC$4&lt;$D$10+$D$11),1,0)</f>
        <v>0</v>
      </c>
      <c r="BD38" s="39" t="n">
        <f aca="false">IF(AND(BD$4&gt;=$D$10,BD$4&lt;$D$10+$D$11),1,0)</f>
        <v>0</v>
      </c>
      <c r="BE38" s="39" t="n">
        <f aca="false">IF(AND(BE$4&gt;=$D$10,BE$4&lt;$D$10+$D$11),1,0)</f>
        <v>0</v>
      </c>
      <c r="BF38" s="39" t="n">
        <f aca="false">IF(AND(BF$4&gt;=$D$10,BF$4&lt;$D$10+$D$11),1,0)</f>
        <v>0</v>
      </c>
      <c r="BG38" s="39" t="n">
        <f aca="false">IF(AND(BG$4&gt;=$D$10,BG$4&lt;$D$10+$D$11),1,0)</f>
        <v>0</v>
      </c>
      <c r="BH38" s="39" t="n">
        <f aca="false">IF(AND(BH$4&gt;=$D$10,BH$4&lt;$D$10+$D$11),1,0)</f>
        <v>0</v>
      </c>
      <c r="BI38" s="39" t="n">
        <f aca="false">IF(AND(BI$4&gt;=$D$10,BI$4&lt;$D$10+$D$11),1,0)</f>
        <v>0</v>
      </c>
      <c r="BJ38" s="39" t="n">
        <f aca="false">IF(AND(BJ$4&gt;=$D$10,BJ$4&lt;$D$10+$D$11),1,0)</f>
        <v>0</v>
      </c>
      <c r="BK38" s="39" t="n">
        <f aca="false">IF(AND(BK$4&gt;=$D$10,BK$4&lt;$D$10+$D$11),1,0)</f>
        <v>0</v>
      </c>
      <c r="BL38" s="39" t="n">
        <f aca="false">IF(AND(BL$4&gt;=$D$10,BL$4&lt;$D$10+$D$11),1,0)</f>
        <v>0</v>
      </c>
      <c r="BM38" s="39" t="n">
        <f aca="false">IF(AND(BM$4&gt;=$D$10,BM$4&lt;$D$10+$D$11),1,0)</f>
        <v>0</v>
      </c>
      <c r="BN38" s="39" t="n">
        <f aca="false">IF(AND(BN$4&gt;=$D$10,BN$4&lt;$D$10+$D$11),1,0)</f>
        <v>0</v>
      </c>
      <c r="BO38" s="39" t="n">
        <f aca="false">IF(AND(BO$4&gt;=$D$10,BO$4&lt;$D$10+$D$11),1,0)</f>
        <v>0</v>
      </c>
      <c r="BP38" s="39" t="n">
        <f aca="false">IF(AND(BP$4&gt;=$D$10,BP$4&lt;$D$10+$D$11),1,0)</f>
        <v>0</v>
      </c>
      <c r="BQ38" s="39" t="n">
        <f aca="false">IF(AND(BQ$4&gt;=$D$10,BQ$4&lt;$D$10+$D$11),1,0)</f>
        <v>0</v>
      </c>
      <c r="BR38" s="39" t="n">
        <f aca="false">IF(AND(BR$4&gt;=$D$10,BR$4&lt;$D$10+$D$11),1,0)</f>
        <v>0</v>
      </c>
      <c r="BS38" s="39" t="n">
        <f aca="false">IF(AND(BS$4&gt;=$D$10,BS$4&lt;$D$10+$D$11),1,0)</f>
        <v>0</v>
      </c>
      <c r="BT38" s="39" t="n">
        <f aca="false">IF(AND(BT$4&gt;=$D$10,BT$4&lt;$D$10+$D$11),1,0)</f>
        <v>0</v>
      </c>
      <c r="BU38" s="39" t="n">
        <f aca="false">IF(AND(BU$4&gt;=$D$10,BU$4&lt;$D$10+$D$11),1,0)</f>
        <v>0</v>
      </c>
      <c r="BV38" s="39" t="n">
        <f aca="false">IF(AND(BV$4&gt;=$D$10,BV$4&lt;$D$10+$D$11),1,0)</f>
        <v>0</v>
      </c>
      <c r="BW38" s="39" t="n">
        <f aca="false">IF(AND(BW$4&gt;=$D$10,BW$4&lt;$D$10+$D$11),1,0)</f>
        <v>0</v>
      </c>
      <c r="BX38" s="39" t="n">
        <f aca="false">IF(AND(BX$4&gt;=$D$10,BX$4&lt;$D$10+$D$11),1,0)</f>
        <v>0</v>
      </c>
    </row>
    <row r="39" customFormat="false" ht="15" hidden="false" customHeight="false" outlineLevel="0" collapsed="false">
      <c r="A39" s="1"/>
      <c r="B39" s="8" t="s">
        <v>310</v>
      </c>
      <c r="C39" s="8" t="s">
        <v>46</v>
      </c>
      <c r="D39" s="1"/>
      <c r="E39" s="1"/>
      <c r="F39" s="1"/>
      <c r="G39" s="39" t="n">
        <f aca="false">IF(G38=1,G$4-$D$10+1,0)</f>
        <v>0</v>
      </c>
      <c r="H39" s="39" t="n">
        <f aca="false">IF(H38=1,H$4-$D$10+1,0)</f>
        <v>0</v>
      </c>
      <c r="I39" s="39" t="n">
        <f aca="false">IF(I38=1,I$4-$D$10+1,0)</f>
        <v>0</v>
      </c>
      <c r="J39" s="39" t="n">
        <f aca="false">IF(J38=1,J$4-$D$10+1,0)</f>
        <v>0</v>
      </c>
      <c r="K39" s="39" t="n">
        <f aca="false">IF(K38=1,K$4-$D$10+1,0)</f>
        <v>1</v>
      </c>
      <c r="L39" s="39" t="n">
        <f aca="false">IF(L38=1,L$4-$D$10+1,0)</f>
        <v>2</v>
      </c>
      <c r="M39" s="39" t="n">
        <f aca="false">IF(M38=1,M$4-$D$10+1,0)</f>
        <v>3</v>
      </c>
      <c r="N39" s="39" t="n">
        <f aca="false">IF(N38=1,N$4-$D$10+1,0)</f>
        <v>4</v>
      </c>
      <c r="O39" s="39" t="n">
        <f aca="false">IF(O38=1,O$4-$D$10+1,0)</f>
        <v>5</v>
      </c>
      <c r="P39" s="39" t="n">
        <f aca="false">IF(P38=1,P$4-$D$10+1,0)</f>
        <v>6</v>
      </c>
      <c r="Q39" s="39" t="n">
        <f aca="false">IF(Q38=1,Q$4-$D$10+1,0)</f>
        <v>7</v>
      </c>
      <c r="R39" s="39" t="n">
        <f aca="false">IF(R38=1,R$4-$D$10+1,0)</f>
        <v>8</v>
      </c>
      <c r="S39" s="39" t="n">
        <f aca="false">IF(S38=1,S$4-$D$10+1,0)</f>
        <v>9</v>
      </c>
      <c r="T39" s="39" t="n">
        <f aca="false">IF(T38=1,T$4-$D$10+1,0)</f>
        <v>10</v>
      </c>
      <c r="U39" s="39" t="n">
        <f aca="false">IF(U38=1,U$4-$D$10+1,0)</f>
        <v>11</v>
      </c>
      <c r="V39" s="39" t="n">
        <f aca="false">IF(V38=1,V$4-$D$10+1,0)</f>
        <v>12</v>
      </c>
      <c r="W39" s="39" t="n">
        <f aca="false">IF(W38=1,W$4-$D$10+1,0)</f>
        <v>13</v>
      </c>
      <c r="X39" s="39" t="n">
        <f aca="false">IF(X38=1,X$4-$D$10+1,0)</f>
        <v>14</v>
      </c>
      <c r="Y39" s="39" t="n">
        <f aca="false">IF(Y38=1,Y$4-$D$10+1,0)</f>
        <v>15</v>
      </c>
      <c r="Z39" s="39" t="n">
        <f aca="false">IF(Z38=1,Z$4-$D$10+1,0)</f>
        <v>16</v>
      </c>
      <c r="AA39" s="39" t="n">
        <f aca="false">IF(AA38=1,AA$4-$D$10+1,0)</f>
        <v>17</v>
      </c>
      <c r="AB39" s="39" t="n">
        <f aca="false">IF(AB38=1,AB$4-$D$10+1,0)</f>
        <v>18</v>
      </c>
      <c r="AC39" s="39" t="n">
        <f aca="false">IF(AC38=1,AC$4-$D$10+1,0)</f>
        <v>19</v>
      </c>
      <c r="AD39" s="39" t="n">
        <f aca="false">IF(AD38=1,AD$4-$D$10+1,0)</f>
        <v>20</v>
      </c>
      <c r="AE39" s="39" t="n">
        <f aca="false">IF(AE38=1,AE$4-$D$10+1,0)</f>
        <v>21</v>
      </c>
      <c r="AF39" s="39" t="n">
        <f aca="false">IF(AF38=1,AF$4-$D$10+1,0)</f>
        <v>22</v>
      </c>
      <c r="AG39" s="39" t="n">
        <f aca="false">IF(AG38=1,AG$4-$D$10+1,0)</f>
        <v>23</v>
      </c>
      <c r="AH39" s="39" t="n">
        <f aca="false">IF(AH38=1,AH$4-$D$10+1,0)</f>
        <v>24</v>
      </c>
      <c r="AI39" s="39" t="n">
        <f aca="false">IF(AI38=1,AI$4-$D$10+1,0)</f>
        <v>25</v>
      </c>
      <c r="AJ39" s="39" t="n">
        <f aca="false">IF(AJ38=1,AJ$4-$D$10+1,0)</f>
        <v>26</v>
      </c>
      <c r="AK39" s="39" t="n">
        <f aca="false">IF(AK38=1,AK$4-$D$10+1,0)</f>
        <v>27</v>
      </c>
      <c r="AL39" s="39" t="n">
        <f aca="false">IF(AL38=1,AL$4-$D$10+1,0)</f>
        <v>28</v>
      </c>
      <c r="AM39" s="39" t="n">
        <f aca="false">IF(AM38=1,AM$4-$D$10+1,0)</f>
        <v>29</v>
      </c>
      <c r="AN39" s="39" t="n">
        <f aca="false">IF(AN38=1,AN$4-$D$10+1,0)</f>
        <v>30</v>
      </c>
      <c r="AO39" s="39" t="n">
        <f aca="false">IF(AO38=1,AO$4-$D$10+1,0)</f>
        <v>0</v>
      </c>
      <c r="AP39" s="39" t="n">
        <f aca="false">IF(AP38=1,AP$4-$D$10+1,0)</f>
        <v>0</v>
      </c>
      <c r="AQ39" s="39" t="n">
        <f aca="false">IF(AQ38=1,AQ$4-$D$10+1,0)</f>
        <v>0</v>
      </c>
      <c r="AR39" s="39" t="n">
        <f aca="false">IF(AR38=1,AR$4-$D$10+1,0)</f>
        <v>0</v>
      </c>
      <c r="AS39" s="39" t="n">
        <f aca="false">IF(AS38=1,AS$4-$D$10+1,0)</f>
        <v>0</v>
      </c>
      <c r="AT39" s="39" t="n">
        <f aca="false">IF(AT38=1,AT$4-$D$10+1,0)</f>
        <v>0</v>
      </c>
      <c r="AU39" s="39" t="n">
        <f aca="false">IF(AU38=1,AU$4-$D$10+1,0)</f>
        <v>0</v>
      </c>
      <c r="AV39" s="39" t="n">
        <f aca="false">IF(AV38=1,AV$4-$D$10+1,0)</f>
        <v>0</v>
      </c>
      <c r="AW39" s="39" t="n">
        <f aca="false">IF(AW38=1,AW$4-$D$10+1,0)</f>
        <v>0</v>
      </c>
      <c r="AX39" s="39" t="n">
        <f aca="false">IF(AX38=1,AX$4-$D$10+1,0)</f>
        <v>0</v>
      </c>
      <c r="AY39" s="39" t="n">
        <f aca="false">IF(AY38=1,AY$4-$D$10+1,0)</f>
        <v>0</v>
      </c>
      <c r="AZ39" s="39" t="n">
        <f aca="false">IF(AZ38=1,AZ$4-$D$10+1,0)</f>
        <v>0</v>
      </c>
      <c r="BA39" s="39" t="n">
        <f aca="false">IF(BA38=1,BA$4-$D$10+1,0)</f>
        <v>0</v>
      </c>
      <c r="BB39" s="39" t="n">
        <f aca="false">IF(BB38=1,BB$4-$D$10+1,0)</f>
        <v>0</v>
      </c>
      <c r="BC39" s="39" t="n">
        <f aca="false">IF(BC38=1,BC$4-$D$10+1,0)</f>
        <v>0</v>
      </c>
      <c r="BD39" s="39" t="n">
        <f aca="false">IF(BD38=1,BD$4-$D$10+1,0)</f>
        <v>0</v>
      </c>
      <c r="BE39" s="39" t="n">
        <f aca="false">IF(BE38=1,BE$4-$D$10+1,0)</f>
        <v>0</v>
      </c>
      <c r="BF39" s="39" t="n">
        <f aca="false">IF(BF38=1,BF$4-$D$10+1,0)</f>
        <v>0</v>
      </c>
      <c r="BG39" s="39" t="n">
        <f aca="false">IF(BG38=1,BG$4-$D$10+1,0)</f>
        <v>0</v>
      </c>
      <c r="BH39" s="39" t="n">
        <f aca="false">IF(BH38=1,BH$4-$D$10+1,0)</f>
        <v>0</v>
      </c>
      <c r="BI39" s="39" t="n">
        <f aca="false">IF(BI38=1,BI$4-$D$10+1,0)</f>
        <v>0</v>
      </c>
      <c r="BJ39" s="39" t="n">
        <f aca="false">IF(BJ38=1,BJ$4-$D$10+1,0)</f>
        <v>0</v>
      </c>
      <c r="BK39" s="39" t="n">
        <f aca="false">IF(BK38=1,BK$4-$D$10+1,0)</f>
        <v>0</v>
      </c>
      <c r="BL39" s="39" t="n">
        <f aca="false">IF(BL38=1,BL$4-$D$10+1,0)</f>
        <v>0</v>
      </c>
      <c r="BM39" s="39" t="n">
        <f aca="false">IF(BM38=1,BM$4-$D$10+1,0)</f>
        <v>0</v>
      </c>
      <c r="BN39" s="39" t="n">
        <f aca="false">IF(BN38=1,BN$4-$D$10+1,0)</f>
        <v>0</v>
      </c>
      <c r="BO39" s="39" t="n">
        <f aca="false">IF(BO38=1,BO$4-$D$10+1,0)</f>
        <v>0</v>
      </c>
      <c r="BP39" s="39" t="n">
        <f aca="false">IF(BP38=1,BP$4-$D$10+1,0)</f>
        <v>0</v>
      </c>
      <c r="BQ39" s="39" t="n">
        <f aca="false">IF(BQ38=1,BQ$4-$D$10+1,0)</f>
        <v>0</v>
      </c>
      <c r="BR39" s="39" t="n">
        <f aca="false">IF(BR38=1,BR$4-$D$10+1,0)</f>
        <v>0</v>
      </c>
      <c r="BS39" s="39" t="n">
        <f aca="false">IF(BS38=1,BS$4-$D$10+1,0)</f>
        <v>0</v>
      </c>
      <c r="BT39" s="39" t="n">
        <f aca="false">IF(BT38=1,BT$4-$D$10+1,0)</f>
        <v>0</v>
      </c>
      <c r="BU39" s="39" t="n">
        <f aca="false">IF(BU38=1,BU$4-$D$10+1,0)</f>
        <v>0</v>
      </c>
      <c r="BV39" s="39" t="n">
        <f aca="false">IF(BV38=1,BV$4-$D$10+1,0)</f>
        <v>0</v>
      </c>
      <c r="BW39" s="39" t="n">
        <f aca="false">IF(BW38=1,BW$4-$D$10+1,0)</f>
        <v>0</v>
      </c>
      <c r="BX39" s="39" t="n">
        <f aca="false">IF(BX38=1,BX$4-$D$10+1,0)</f>
        <v>0</v>
      </c>
    </row>
    <row r="40" customFormat="false" ht="15" hidden="false" customHeight="false" outlineLevel="0" collapsed="false">
      <c r="A40" s="1"/>
      <c r="B40" s="8" t="s">
        <v>311</v>
      </c>
      <c r="C40" s="8" t="s">
        <v>46</v>
      </c>
      <c r="D40" s="1"/>
      <c r="E40" s="1"/>
      <c r="F40" s="1"/>
      <c r="G40" s="39" t="n">
        <f aca="false">G$4-$D$12</f>
        <v>0</v>
      </c>
      <c r="H40" s="39" t="n">
        <f aca="false">H$4-$D$12</f>
        <v>1</v>
      </c>
      <c r="I40" s="39" t="n">
        <f aca="false">I$4-$D$12</f>
        <v>2</v>
      </c>
      <c r="J40" s="39" t="n">
        <f aca="false">J$4-$D$12</f>
        <v>3</v>
      </c>
      <c r="K40" s="39" t="n">
        <f aca="false">K$4-$D$12</f>
        <v>4</v>
      </c>
      <c r="L40" s="39" t="n">
        <f aca="false">L$4-$D$12</f>
        <v>5</v>
      </c>
      <c r="M40" s="39" t="n">
        <f aca="false">M$4-$D$12</f>
        <v>6</v>
      </c>
      <c r="N40" s="39" t="n">
        <f aca="false">N$4-$D$12</f>
        <v>7</v>
      </c>
      <c r="O40" s="39" t="n">
        <f aca="false">O$4-$D$12</f>
        <v>8</v>
      </c>
      <c r="P40" s="39" t="n">
        <f aca="false">P$4-$D$12</f>
        <v>9</v>
      </c>
      <c r="Q40" s="39" t="n">
        <f aca="false">Q$4-$D$12</f>
        <v>10</v>
      </c>
      <c r="R40" s="39" t="n">
        <f aca="false">R$4-$D$12</f>
        <v>11</v>
      </c>
      <c r="S40" s="39" t="n">
        <f aca="false">S$4-$D$12</f>
        <v>12</v>
      </c>
      <c r="T40" s="39" t="n">
        <f aca="false">T$4-$D$12</f>
        <v>13</v>
      </c>
      <c r="U40" s="39" t="n">
        <f aca="false">U$4-$D$12</f>
        <v>14</v>
      </c>
      <c r="V40" s="39" t="n">
        <f aca="false">V$4-$D$12</f>
        <v>15</v>
      </c>
      <c r="W40" s="39" t="n">
        <f aca="false">W$4-$D$12</f>
        <v>16</v>
      </c>
      <c r="X40" s="39" t="n">
        <f aca="false">X$4-$D$12</f>
        <v>17</v>
      </c>
      <c r="Y40" s="39" t="n">
        <f aca="false">Y$4-$D$12</f>
        <v>18</v>
      </c>
      <c r="Z40" s="39" t="n">
        <f aca="false">Z$4-$D$12</f>
        <v>19</v>
      </c>
      <c r="AA40" s="39" t="n">
        <f aca="false">AA$4-$D$12</f>
        <v>20</v>
      </c>
      <c r="AB40" s="39" t="n">
        <f aca="false">AB$4-$D$12</f>
        <v>21</v>
      </c>
      <c r="AC40" s="39" t="n">
        <f aca="false">AC$4-$D$12</f>
        <v>22</v>
      </c>
      <c r="AD40" s="39" t="n">
        <f aca="false">AD$4-$D$12</f>
        <v>23</v>
      </c>
      <c r="AE40" s="39" t="n">
        <f aca="false">AE$4-$D$12</f>
        <v>24</v>
      </c>
      <c r="AF40" s="39" t="n">
        <f aca="false">AF$4-$D$12</f>
        <v>25</v>
      </c>
      <c r="AG40" s="39" t="n">
        <f aca="false">AG$4-$D$12</f>
        <v>26</v>
      </c>
      <c r="AH40" s="39" t="n">
        <f aca="false">AH$4-$D$12</f>
        <v>27</v>
      </c>
      <c r="AI40" s="39" t="n">
        <f aca="false">AI$4-$D$12</f>
        <v>28</v>
      </c>
      <c r="AJ40" s="39" t="n">
        <f aca="false">AJ$4-$D$12</f>
        <v>29</v>
      </c>
      <c r="AK40" s="39" t="n">
        <f aca="false">AK$4-$D$12</f>
        <v>30</v>
      </c>
      <c r="AL40" s="39" t="n">
        <f aca="false">AL$4-$D$12</f>
        <v>31</v>
      </c>
      <c r="AM40" s="39" t="n">
        <f aca="false">AM$4-$D$12</f>
        <v>32</v>
      </c>
      <c r="AN40" s="39" t="n">
        <f aca="false">AN$4-$D$12</f>
        <v>33</v>
      </c>
      <c r="AO40" s="39" t="n">
        <f aca="false">AO$4-$D$12</f>
        <v>34</v>
      </c>
      <c r="AP40" s="39" t="n">
        <f aca="false">AP$4-$D$12</f>
        <v>35</v>
      </c>
      <c r="AQ40" s="39" t="n">
        <f aca="false">AQ$4-$D$12</f>
        <v>36</v>
      </c>
      <c r="AR40" s="39" t="n">
        <f aca="false">AR$4-$D$12</f>
        <v>37</v>
      </c>
      <c r="AS40" s="39" t="n">
        <f aca="false">AS$4-$D$12</f>
        <v>38</v>
      </c>
      <c r="AT40" s="39" t="n">
        <f aca="false">AT$4-$D$12</f>
        <v>39</v>
      </c>
      <c r="AU40" s="39" t="n">
        <f aca="false">AU$4-$D$12</f>
        <v>40</v>
      </c>
      <c r="AV40" s="39" t="n">
        <f aca="false">AV$4-$D$12</f>
        <v>41</v>
      </c>
      <c r="AW40" s="39" t="n">
        <f aca="false">AW$4-$D$12</f>
        <v>42</v>
      </c>
      <c r="AX40" s="39" t="n">
        <f aca="false">AX$4-$D$12</f>
        <v>43</v>
      </c>
      <c r="AY40" s="39" t="n">
        <f aca="false">AY$4-$D$12</f>
        <v>44</v>
      </c>
      <c r="AZ40" s="39" t="n">
        <f aca="false">AZ$4-$D$12</f>
        <v>45</v>
      </c>
      <c r="BA40" s="39" t="n">
        <f aca="false">BA$4-$D$12</f>
        <v>46</v>
      </c>
      <c r="BB40" s="39" t="n">
        <f aca="false">BB$4-$D$12</f>
        <v>47</v>
      </c>
      <c r="BC40" s="39" t="n">
        <f aca="false">BC$4-$D$12</f>
        <v>48</v>
      </c>
      <c r="BD40" s="39" t="n">
        <f aca="false">BD$4-$D$12</f>
        <v>49</v>
      </c>
      <c r="BE40" s="39" t="n">
        <f aca="false">BE$4-$D$12</f>
        <v>50</v>
      </c>
      <c r="BF40" s="39" t="n">
        <f aca="false">BF$4-$D$12</f>
        <v>51</v>
      </c>
      <c r="BG40" s="39" t="n">
        <f aca="false">BG$4-$D$12</f>
        <v>52</v>
      </c>
      <c r="BH40" s="39" t="n">
        <f aca="false">BH$4-$D$12</f>
        <v>53</v>
      </c>
      <c r="BI40" s="39" t="n">
        <f aca="false">BI$4-$D$12</f>
        <v>54</v>
      </c>
      <c r="BJ40" s="39" t="n">
        <f aca="false">BJ$4-$D$12</f>
        <v>55</v>
      </c>
      <c r="BK40" s="39" t="n">
        <f aca="false">BK$4-$D$12</f>
        <v>56</v>
      </c>
      <c r="BL40" s="39" t="n">
        <f aca="false">BL$4-$D$12</f>
        <v>57</v>
      </c>
      <c r="BM40" s="39" t="n">
        <f aca="false">BM$4-$D$12</f>
        <v>58</v>
      </c>
      <c r="BN40" s="39" t="n">
        <f aca="false">BN$4-$D$12</f>
        <v>59</v>
      </c>
      <c r="BO40" s="39" t="n">
        <f aca="false">BO$4-$D$12</f>
        <v>60</v>
      </c>
      <c r="BP40" s="39" t="n">
        <f aca="false">BP$4-$D$12</f>
        <v>61</v>
      </c>
      <c r="BQ40" s="39" t="n">
        <f aca="false">BQ$4-$D$12</f>
        <v>62</v>
      </c>
      <c r="BR40" s="39" t="n">
        <f aca="false">BR$4-$D$12</f>
        <v>63</v>
      </c>
      <c r="BS40" s="39" t="n">
        <f aca="false">BS$4-$D$12</f>
        <v>64</v>
      </c>
      <c r="BT40" s="39" t="n">
        <f aca="false">BT$4-$D$12</f>
        <v>65</v>
      </c>
      <c r="BU40" s="39" t="n">
        <f aca="false">BU$4-$D$12</f>
        <v>66</v>
      </c>
      <c r="BV40" s="39" t="n">
        <f aca="false">BV$4-$D$12</f>
        <v>67</v>
      </c>
      <c r="BW40" s="39" t="n">
        <f aca="false">BW$4-$D$12</f>
        <v>68</v>
      </c>
      <c r="BX40" s="39" t="n">
        <f aca="false">BX$4-$D$12</f>
        <v>69</v>
      </c>
    </row>
    <row r="41" customFormat="false" ht="15" hidden="false" customHeight="false" outlineLevel="0" collapsed="false">
      <c r="A41" s="1"/>
      <c r="B41" s="8" t="s">
        <v>312</v>
      </c>
      <c r="C41" s="8" t="s">
        <v>46</v>
      </c>
      <c r="D41" s="1"/>
      <c r="E41" s="1"/>
      <c r="F41" s="1"/>
      <c r="G41" s="47" t="n">
        <f aca="false">IF(G$4&gt;=$D$12,1/(1+$D$13)^G40,0)</f>
        <v>1</v>
      </c>
      <c r="H41" s="47" t="n">
        <f aca="false">IF(H$4&gt;=$D$12,1/(1+$D$13)^H40,0)</f>
        <v>0.934579439252336</v>
      </c>
      <c r="I41" s="47" t="n">
        <f aca="false">IF(I$4&gt;=$D$12,1/(1+$D$13)^I40,0)</f>
        <v>0.873438728273212</v>
      </c>
      <c r="J41" s="47" t="n">
        <f aca="false">IF(J$4&gt;=$D$12,1/(1+$D$13)^J40,0)</f>
        <v>0.816297876890852</v>
      </c>
      <c r="K41" s="47" t="n">
        <f aca="false">IF(K$4&gt;=$D$12,1/(1+$D$13)^K40,0)</f>
        <v>0.762895212047525</v>
      </c>
      <c r="L41" s="47" t="n">
        <f aca="false">IF(L$4&gt;=$D$12,1/(1+$D$13)^L40,0)</f>
        <v>0.712986179483668</v>
      </c>
      <c r="M41" s="47" t="n">
        <f aca="false">IF(M$4&gt;=$D$12,1/(1+$D$13)^M40,0)</f>
        <v>0.666342223816512</v>
      </c>
      <c r="N41" s="47" t="n">
        <f aca="false">IF(N$4&gt;=$D$12,1/(1+$D$13)^N40,0)</f>
        <v>0.622749741884591</v>
      </c>
      <c r="O41" s="47" t="n">
        <f aca="false">IF(O$4&gt;=$D$12,1/(1+$D$13)^O40,0)</f>
        <v>0.582009104565038</v>
      </c>
      <c r="P41" s="47" t="n">
        <f aca="false">IF(P$4&gt;=$D$12,1/(1+$D$13)^P40,0)</f>
        <v>0.543933742584148</v>
      </c>
      <c r="Q41" s="47" t="n">
        <f aca="false">IF(Q$4&gt;=$D$12,1/(1+$D$13)^Q40,0)</f>
        <v>0.508349292134718</v>
      </c>
      <c r="R41" s="47" t="n">
        <f aca="false">IF(R$4&gt;=$D$12,1/(1+$D$13)^R40,0)</f>
        <v>0.475092796387586</v>
      </c>
      <c r="S41" s="47" t="n">
        <f aca="false">IF(S$4&gt;=$D$12,1/(1+$D$13)^S40,0)</f>
        <v>0.444011959240735</v>
      </c>
      <c r="T41" s="47" t="n">
        <f aca="false">IF(T$4&gt;=$D$12,1/(1+$D$13)^T40,0)</f>
        <v>0.414964447888537</v>
      </c>
      <c r="U41" s="47" t="n">
        <f aca="false">IF(U$4&gt;=$D$12,1/(1+$D$13)^U40,0)</f>
        <v>0.387817241017325</v>
      </c>
      <c r="V41" s="47" t="n">
        <f aca="false">IF(V$4&gt;=$D$12,1/(1+$D$13)^V40,0)</f>
        <v>0.362446019642359</v>
      </c>
      <c r="W41" s="47" t="n">
        <f aca="false">IF(W$4&gt;=$D$12,1/(1+$D$13)^W40,0)</f>
        <v>0.338734597796598</v>
      </c>
      <c r="X41" s="47" t="n">
        <f aca="false">IF(X$4&gt;=$D$12,1/(1+$D$13)^X40,0)</f>
        <v>0.31657439046411</v>
      </c>
      <c r="Y41" s="47" t="n">
        <f aca="false">IF(Y$4&gt;=$D$12,1/(1+$D$13)^Y40,0)</f>
        <v>0.295863916321598</v>
      </c>
      <c r="Z41" s="47" t="n">
        <f aca="false">IF(Z$4&gt;=$D$12,1/(1+$D$13)^Z40,0)</f>
        <v>0.276508333010839</v>
      </c>
      <c r="AA41" s="47" t="n">
        <f aca="false">IF(AA$4&gt;=$D$12,1/(1+$D$13)^AA40,0)</f>
        <v>0.258419002813868</v>
      </c>
      <c r="AB41" s="47" t="n">
        <f aca="false">IF(AB$4&gt;=$D$12,1/(1+$D$13)^AB40,0)</f>
        <v>0.241513086741933</v>
      </c>
      <c r="AC41" s="47" t="n">
        <f aca="false">IF(AC$4&gt;=$D$12,1/(1+$D$13)^AC40,0)</f>
        <v>0.225713165179377</v>
      </c>
      <c r="AD41" s="47" t="n">
        <f aca="false">IF(AD$4&gt;=$D$12,1/(1+$D$13)^AD40,0)</f>
        <v>0.210946883345212</v>
      </c>
      <c r="AE41" s="47" t="n">
        <f aca="false">IF(AE$4&gt;=$D$12,1/(1+$D$13)^AE40,0)</f>
        <v>0.197146619948796</v>
      </c>
      <c r="AF41" s="47" t="n">
        <f aca="false">IF(AF$4&gt;=$D$12,1/(1+$D$13)^AF40,0)</f>
        <v>0.184249177522239</v>
      </c>
      <c r="AG41" s="47" t="n">
        <f aca="false">IF(AG$4&gt;=$D$12,1/(1+$D$13)^AG40,0)</f>
        <v>0.172195493011439</v>
      </c>
      <c r="AH41" s="47" t="n">
        <f aca="false">IF(AH$4&gt;=$D$12,1/(1+$D$13)^AH40,0)</f>
        <v>0.16093036730041</v>
      </c>
      <c r="AI41" s="47" t="n">
        <f aca="false">IF(AI$4&gt;=$D$12,1/(1+$D$13)^AI40,0)</f>
        <v>0.15040221243029</v>
      </c>
      <c r="AJ41" s="47" t="n">
        <f aca="false">IF(AJ$4&gt;=$D$12,1/(1+$D$13)^AJ40,0)</f>
        <v>0.140562815355411</v>
      </c>
      <c r="AK41" s="47" t="n">
        <f aca="false">IF(AK$4&gt;=$D$12,1/(1+$D$13)^AK40,0)</f>
        <v>0.13136711715459</v>
      </c>
      <c r="AL41" s="47" t="n">
        <f aca="false">IF(AL$4&gt;=$D$12,1/(1+$D$13)^AL40,0)</f>
        <v>0.122773006686532</v>
      </c>
      <c r="AM41" s="47" t="n">
        <f aca="false">IF(AM$4&gt;=$D$12,1/(1+$D$13)^AM40,0)</f>
        <v>0.114741127744423</v>
      </c>
      <c r="AN41" s="47" t="n">
        <f aca="false">IF(AN$4&gt;=$D$12,1/(1+$D$13)^AN40,0)</f>
        <v>0.107234698826563</v>
      </c>
      <c r="AO41" s="47" t="n">
        <f aca="false">IF(AO$4&gt;=$D$12,1/(1+$D$13)^AO40,0)</f>
        <v>0.100219344697723</v>
      </c>
      <c r="AP41" s="47" t="n">
        <f aca="false">IF(AP$4&gt;=$D$12,1/(1+$D$13)^AP40,0)</f>
        <v>0.0936629389698343</v>
      </c>
      <c r="AQ41" s="47" t="n">
        <f aca="false">IF(AQ$4&gt;=$D$12,1/(1+$D$13)^AQ40,0)</f>
        <v>0.0875354569811535</v>
      </c>
      <c r="AR41" s="47" t="n">
        <f aca="false">IF(AR$4&gt;=$D$12,1/(1+$D$13)^AR40,0)</f>
        <v>0.0818088383001435</v>
      </c>
      <c r="AS41" s="47" t="n">
        <f aca="false">IF(AS$4&gt;=$D$12,1/(1+$D$13)^AS40,0)</f>
        <v>0.0764568582244332</v>
      </c>
      <c r="AT41" s="47" t="n">
        <f aca="false">IF(AT$4&gt;=$D$12,1/(1+$D$13)^AT40,0)</f>
        <v>0.0714550076863861</v>
      </c>
      <c r="AU41" s="47" t="n">
        <f aca="false">IF(AU$4&gt;=$D$12,1/(1+$D$13)^AU40,0)</f>
        <v>0.0667803810153141</v>
      </c>
      <c r="AV41" s="47" t="n">
        <f aca="false">IF(AV$4&gt;=$D$12,1/(1+$D$13)^AV40,0)</f>
        <v>0.0624115710423497</v>
      </c>
      <c r="AW41" s="47" t="n">
        <f aca="false">IF(AW$4&gt;=$D$12,1/(1+$D$13)^AW40,0)</f>
        <v>0.0583285710676165</v>
      </c>
      <c r="AX41" s="47" t="n">
        <f aca="false">IF(AX$4&gt;=$D$12,1/(1+$D$13)^AX40,0)</f>
        <v>0.0545126832407631</v>
      </c>
      <c r="AY41" s="47" t="n">
        <f aca="false">IF(AY$4&gt;=$D$12,1/(1+$D$13)^AY40,0)</f>
        <v>0.0509464329352926</v>
      </c>
      <c r="AZ41" s="47" t="n">
        <f aca="false">IF(AZ$4&gt;=$D$12,1/(1+$D$13)^AZ40,0)</f>
        <v>0.0476134887245725</v>
      </c>
      <c r="BA41" s="47" t="n">
        <f aca="false">IF(BA$4&gt;=$D$12,1/(1+$D$13)^BA40,0)</f>
        <v>0.0444985875930584</v>
      </c>
      <c r="BB41" s="47" t="n">
        <f aca="false">IF(BB$4&gt;=$D$12,1/(1+$D$13)^BB40,0)</f>
        <v>0.0415874650402415</v>
      </c>
      <c r="BC41" s="47" t="n">
        <f aca="false">IF(BC$4&gt;=$D$12,1/(1+$D$13)^BC40,0)</f>
        <v>0.0388667897572351</v>
      </c>
      <c r="BD41" s="47" t="n">
        <f aca="false">IF(BD$4&gt;=$D$12,1/(1+$D$13)^BD40,0)</f>
        <v>0.0363241025768552</v>
      </c>
      <c r="BE41" s="47" t="n">
        <f aca="false">IF(BE$4&gt;=$D$12,1/(1+$D$13)^BE40,0)</f>
        <v>0.0339477594176217</v>
      </c>
      <c r="BF41" s="47" t="n">
        <f aca="false">IF(BF$4&gt;=$D$12,1/(1+$D$13)^BF40,0)</f>
        <v>0.0317268779603941</v>
      </c>
      <c r="BG41" s="47" t="n">
        <f aca="false">IF(BG$4&gt;=$D$12,1/(1+$D$13)^BG40,0)</f>
        <v>0.0296512878134524</v>
      </c>
      <c r="BH41" s="47" t="n">
        <f aca="false">IF(BH$4&gt;=$D$12,1/(1+$D$13)^BH40,0)</f>
        <v>0.027711483937806</v>
      </c>
      <c r="BI41" s="47" t="n">
        <f aca="false">IF(BI$4&gt;=$D$12,1/(1+$D$13)^BI40,0)</f>
        <v>0.0258985831194449</v>
      </c>
      <c r="BJ41" s="47" t="n">
        <f aca="false">IF(BJ$4&gt;=$D$12,1/(1+$D$13)^BJ40,0)</f>
        <v>0.0242042832892008</v>
      </c>
      <c r="BK41" s="47" t="n">
        <f aca="false">IF(BK$4&gt;=$D$12,1/(1+$D$13)^BK40,0)</f>
        <v>0.022620825503926</v>
      </c>
      <c r="BL41" s="47" t="n">
        <f aca="false">IF(BL$4&gt;=$D$12,1/(1+$D$13)^BL40,0)</f>
        <v>0.0211409584148841</v>
      </c>
      <c r="BM41" s="47" t="n">
        <f aca="false">IF(BM$4&gt;=$D$12,1/(1+$D$13)^BM40,0)</f>
        <v>0.0197579050606393</v>
      </c>
      <c r="BN41" s="47" t="n">
        <f aca="false">IF(BN$4&gt;=$D$12,1/(1+$D$13)^BN40,0)</f>
        <v>0.0184653318323732</v>
      </c>
      <c r="BO41" s="47" t="n">
        <f aca="false">IF(BO$4&gt;=$D$12,1/(1+$D$13)^BO40,0)</f>
        <v>0.0172573194695077</v>
      </c>
      <c r="BP41" s="47" t="n">
        <f aca="false">IF(BP$4&gt;=$D$12,1/(1+$D$13)^BP40,0)</f>
        <v>0.0161283359528109</v>
      </c>
      <c r="BQ41" s="47" t="n">
        <f aca="false">IF(BQ$4&gt;=$D$12,1/(1+$D$13)^BQ40,0)</f>
        <v>0.0150732111708513</v>
      </c>
      <c r="BR41" s="47" t="n">
        <f aca="false">IF(BR$4&gt;=$D$12,1/(1+$D$13)^BR40,0)</f>
        <v>0.0140871132437863</v>
      </c>
      <c r="BS41" s="47" t="n">
        <f aca="false">IF(BS$4&gt;=$D$12,1/(1+$D$13)^BS40,0)</f>
        <v>0.0131655263960619</v>
      </c>
      <c r="BT41" s="47" t="n">
        <f aca="false">IF(BT$4&gt;=$D$12,1/(1+$D$13)^BT40,0)</f>
        <v>0.0123042302766934</v>
      </c>
      <c r="BU41" s="47" t="n">
        <f aca="false">IF(BU$4&gt;=$D$12,1/(1+$D$13)^BU40,0)</f>
        <v>0.0114992806324237</v>
      </c>
      <c r="BV41" s="47" t="n">
        <f aca="false">IF(BV$4&gt;=$D$12,1/(1+$D$13)^BV40,0)</f>
        <v>0.0107469912452558</v>
      </c>
      <c r="BW41" s="47" t="n">
        <f aca="false">IF(BW$4&gt;=$D$12,1/(1+$D$13)^BW40,0)</f>
        <v>0.010043917051641</v>
      </c>
      <c r="BX41" s="47" t="n">
        <f aca="false">IF(BX$4&gt;=$D$12,1/(1+$D$13)^BX40,0)</f>
        <v>0.00938683836601959</v>
      </c>
    </row>
    <row r="42" customFormat="false" ht="15" hidden="false" customHeight="false" outlineLevel="0" collapsed="false">
      <c r="A42" s="1"/>
      <c r="B42" s="8" t="s">
        <v>313</v>
      </c>
      <c r="C42" s="8" t="s">
        <v>66</v>
      </c>
      <c r="D42" s="1"/>
      <c r="E42" s="1"/>
      <c r="F42" s="1"/>
      <c r="G42" s="43" t="n">
        <f aca="false">IF(G37=1,IF(G$4-$D$12=0,0.3,IF(G$4-$D$12=1,0.45,0.25/MAX($D$9-2,1))),0)</f>
        <v>0.3</v>
      </c>
      <c r="H42" s="43" t="n">
        <f aca="false">IF(H37=1,IF(H$4-$D$12=0,0.3,IF(H$4-$D$12=1,0.45,0.25/MAX($D$9-2,1))),0)</f>
        <v>0.45</v>
      </c>
      <c r="I42" s="43" t="n">
        <f aca="false">IF(I37=1,IF(I$4-$D$12=0,0.3,IF(I$4-$D$12=1,0.45,0.25/MAX($D$9-2,1))),0)</f>
        <v>0.125</v>
      </c>
      <c r="J42" s="43" t="n">
        <f aca="false">IF(J37=1,IF(J$4-$D$12=0,0.3,IF(J$4-$D$12=1,0.45,0.25/MAX($D$9-2,1))),0)</f>
        <v>0.125</v>
      </c>
      <c r="K42" s="43" t="n">
        <f aca="false">IF(K37=1,IF(K$4-$D$12=0,0.3,IF(K$4-$D$12=1,0.45,0.25/MAX($D$9-2,1))),0)</f>
        <v>0</v>
      </c>
      <c r="L42" s="43" t="n">
        <f aca="false">IF(L37=1,IF(L$4-$D$12=0,0.3,IF(L$4-$D$12=1,0.45,0.25/MAX($D$9-2,1))),0)</f>
        <v>0</v>
      </c>
      <c r="M42" s="43" t="n">
        <f aca="false">IF(M37=1,IF(M$4-$D$12=0,0.3,IF(M$4-$D$12=1,0.45,0.25/MAX($D$9-2,1))),0)</f>
        <v>0</v>
      </c>
      <c r="N42" s="43" t="n">
        <f aca="false">IF(N37=1,IF(N$4-$D$12=0,0.3,IF(N$4-$D$12=1,0.45,0.25/MAX($D$9-2,1))),0)</f>
        <v>0</v>
      </c>
      <c r="O42" s="43" t="n">
        <f aca="false">IF(O37=1,IF(O$4-$D$12=0,0.3,IF(O$4-$D$12=1,0.45,0.25/MAX($D$9-2,1))),0)</f>
        <v>0</v>
      </c>
      <c r="P42" s="43" t="n">
        <f aca="false">IF(P37=1,IF(P$4-$D$12=0,0.3,IF(P$4-$D$12=1,0.45,0.25/MAX($D$9-2,1))),0)</f>
        <v>0</v>
      </c>
      <c r="Q42" s="43" t="n">
        <f aca="false">IF(Q37=1,IF(Q$4-$D$12=0,0.3,IF(Q$4-$D$12=1,0.45,0.25/MAX($D$9-2,1))),0)</f>
        <v>0</v>
      </c>
      <c r="R42" s="43" t="n">
        <f aca="false">IF(R37=1,IF(R$4-$D$12=0,0.3,IF(R$4-$D$12=1,0.45,0.25/MAX($D$9-2,1))),0)</f>
        <v>0</v>
      </c>
      <c r="S42" s="43" t="n">
        <f aca="false">IF(S37=1,IF(S$4-$D$12=0,0.3,IF(S$4-$D$12=1,0.45,0.25/MAX($D$9-2,1))),0)</f>
        <v>0</v>
      </c>
      <c r="T42" s="43" t="n">
        <f aca="false">IF(T37=1,IF(T$4-$D$12=0,0.3,IF(T$4-$D$12=1,0.45,0.25/MAX($D$9-2,1))),0)</f>
        <v>0</v>
      </c>
      <c r="U42" s="43" t="n">
        <f aca="false">IF(U37=1,IF(U$4-$D$12=0,0.3,IF(U$4-$D$12=1,0.45,0.25/MAX($D$9-2,1))),0)</f>
        <v>0</v>
      </c>
      <c r="V42" s="43" t="n">
        <f aca="false">IF(V37=1,IF(V$4-$D$12=0,0.3,IF(V$4-$D$12=1,0.45,0.25/MAX($D$9-2,1))),0)</f>
        <v>0</v>
      </c>
      <c r="W42" s="43" t="n">
        <f aca="false">IF(W37=1,IF(W$4-$D$12=0,0.3,IF(W$4-$D$12=1,0.45,0.25/MAX($D$9-2,1))),0)</f>
        <v>0</v>
      </c>
      <c r="X42" s="43" t="n">
        <f aca="false">IF(X37=1,IF(X$4-$D$12=0,0.3,IF(X$4-$D$12=1,0.45,0.25/MAX($D$9-2,1))),0)</f>
        <v>0</v>
      </c>
      <c r="Y42" s="43" t="n">
        <f aca="false">IF(Y37=1,IF(Y$4-$D$12=0,0.3,IF(Y$4-$D$12=1,0.45,0.25/MAX($D$9-2,1))),0)</f>
        <v>0</v>
      </c>
      <c r="Z42" s="43" t="n">
        <f aca="false">IF(Z37=1,IF(Z$4-$D$12=0,0.3,IF(Z$4-$D$12=1,0.45,0.25/MAX($D$9-2,1))),0)</f>
        <v>0</v>
      </c>
      <c r="AA42" s="43" t="n">
        <f aca="false">IF(AA37=1,IF(AA$4-$D$12=0,0.3,IF(AA$4-$D$12=1,0.45,0.25/MAX($D$9-2,1))),0)</f>
        <v>0</v>
      </c>
      <c r="AB42" s="43" t="n">
        <f aca="false">IF(AB37=1,IF(AB$4-$D$12=0,0.3,IF(AB$4-$D$12=1,0.45,0.25/MAX($D$9-2,1))),0)</f>
        <v>0</v>
      </c>
      <c r="AC42" s="43" t="n">
        <f aca="false">IF(AC37=1,IF(AC$4-$D$12=0,0.3,IF(AC$4-$D$12=1,0.45,0.25/MAX($D$9-2,1))),0)</f>
        <v>0</v>
      </c>
      <c r="AD42" s="43" t="n">
        <f aca="false">IF(AD37=1,IF(AD$4-$D$12=0,0.3,IF(AD$4-$D$12=1,0.45,0.25/MAX($D$9-2,1))),0)</f>
        <v>0</v>
      </c>
      <c r="AE42" s="43" t="n">
        <f aca="false">IF(AE37=1,IF(AE$4-$D$12=0,0.3,IF(AE$4-$D$12=1,0.45,0.25/MAX($D$9-2,1))),0)</f>
        <v>0</v>
      </c>
      <c r="AF42" s="43" t="n">
        <f aca="false">IF(AF37=1,IF(AF$4-$D$12=0,0.3,IF(AF$4-$D$12=1,0.45,0.25/MAX($D$9-2,1))),0)</f>
        <v>0</v>
      </c>
      <c r="AG42" s="43" t="n">
        <f aca="false">IF(AG37=1,IF(AG$4-$D$12=0,0.3,IF(AG$4-$D$12=1,0.45,0.25/MAX($D$9-2,1))),0)</f>
        <v>0</v>
      </c>
      <c r="AH42" s="43" t="n">
        <f aca="false">IF(AH37=1,IF(AH$4-$D$12=0,0.3,IF(AH$4-$D$12=1,0.45,0.25/MAX($D$9-2,1))),0)</f>
        <v>0</v>
      </c>
      <c r="AI42" s="43" t="n">
        <f aca="false">IF(AI37=1,IF(AI$4-$D$12=0,0.3,IF(AI$4-$D$12=1,0.45,0.25/MAX($D$9-2,1))),0)</f>
        <v>0</v>
      </c>
      <c r="AJ42" s="43" t="n">
        <f aca="false">IF(AJ37=1,IF(AJ$4-$D$12=0,0.3,IF(AJ$4-$D$12=1,0.45,0.25/MAX($D$9-2,1))),0)</f>
        <v>0</v>
      </c>
      <c r="AK42" s="43" t="n">
        <f aca="false">IF(AK37=1,IF(AK$4-$D$12=0,0.3,IF(AK$4-$D$12=1,0.45,0.25/MAX($D$9-2,1))),0)</f>
        <v>0</v>
      </c>
      <c r="AL42" s="43" t="n">
        <f aca="false">IF(AL37=1,IF(AL$4-$D$12=0,0.3,IF(AL$4-$D$12=1,0.45,0.25/MAX($D$9-2,1))),0)</f>
        <v>0</v>
      </c>
      <c r="AM42" s="43" t="n">
        <f aca="false">IF(AM37=1,IF(AM$4-$D$12=0,0.3,IF(AM$4-$D$12=1,0.45,0.25/MAX($D$9-2,1))),0)</f>
        <v>0</v>
      </c>
      <c r="AN42" s="43" t="n">
        <f aca="false">IF(AN37=1,IF(AN$4-$D$12=0,0.3,IF(AN$4-$D$12=1,0.45,0.25/MAX($D$9-2,1))),0)</f>
        <v>0</v>
      </c>
      <c r="AO42" s="43" t="n">
        <f aca="false">IF(AO37=1,IF(AO$4-$D$12=0,0.3,IF(AO$4-$D$12=1,0.45,0.25/MAX($D$9-2,1))),0)</f>
        <v>0</v>
      </c>
      <c r="AP42" s="43" t="n">
        <f aca="false">IF(AP37=1,IF(AP$4-$D$12=0,0.3,IF(AP$4-$D$12=1,0.45,0.25/MAX($D$9-2,1))),0)</f>
        <v>0</v>
      </c>
      <c r="AQ42" s="43" t="n">
        <f aca="false">IF(AQ37=1,IF(AQ$4-$D$12=0,0.3,IF(AQ$4-$D$12=1,0.45,0.25/MAX($D$9-2,1))),0)</f>
        <v>0</v>
      </c>
      <c r="AR42" s="43" t="n">
        <f aca="false">IF(AR37=1,IF(AR$4-$D$12=0,0.3,IF(AR$4-$D$12=1,0.45,0.25/MAX($D$9-2,1))),0)</f>
        <v>0</v>
      </c>
      <c r="AS42" s="43" t="n">
        <f aca="false">IF(AS37=1,IF(AS$4-$D$12=0,0.3,IF(AS$4-$D$12=1,0.45,0.25/MAX($D$9-2,1))),0)</f>
        <v>0</v>
      </c>
      <c r="AT42" s="43" t="n">
        <f aca="false">IF(AT37=1,IF(AT$4-$D$12=0,0.3,IF(AT$4-$D$12=1,0.45,0.25/MAX($D$9-2,1))),0)</f>
        <v>0</v>
      </c>
      <c r="AU42" s="43" t="n">
        <f aca="false">IF(AU37=1,IF(AU$4-$D$12=0,0.3,IF(AU$4-$D$12=1,0.45,0.25/MAX($D$9-2,1))),0)</f>
        <v>0</v>
      </c>
      <c r="AV42" s="43" t="n">
        <f aca="false">IF(AV37=1,IF(AV$4-$D$12=0,0.3,IF(AV$4-$D$12=1,0.45,0.25/MAX($D$9-2,1))),0)</f>
        <v>0</v>
      </c>
      <c r="AW42" s="43" t="n">
        <f aca="false">IF(AW37=1,IF(AW$4-$D$12=0,0.3,IF(AW$4-$D$12=1,0.45,0.25/MAX($D$9-2,1))),0)</f>
        <v>0</v>
      </c>
      <c r="AX42" s="43" t="n">
        <f aca="false">IF(AX37=1,IF(AX$4-$D$12=0,0.3,IF(AX$4-$D$12=1,0.45,0.25/MAX($D$9-2,1))),0)</f>
        <v>0</v>
      </c>
      <c r="AY42" s="43" t="n">
        <f aca="false">IF(AY37=1,IF(AY$4-$D$12=0,0.3,IF(AY$4-$D$12=1,0.45,0.25/MAX($D$9-2,1))),0)</f>
        <v>0</v>
      </c>
      <c r="AZ42" s="43" t="n">
        <f aca="false">IF(AZ37=1,IF(AZ$4-$D$12=0,0.3,IF(AZ$4-$D$12=1,0.45,0.25/MAX($D$9-2,1))),0)</f>
        <v>0</v>
      </c>
      <c r="BA42" s="43" t="n">
        <f aca="false">IF(BA37=1,IF(BA$4-$D$12=0,0.3,IF(BA$4-$D$12=1,0.45,0.25/MAX($D$9-2,1))),0)</f>
        <v>0</v>
      </c>
      <c r="BB42" s="43" t="n">
        <f aca="false">IF(BB37=1,IF(BB$4-$D$12=0,0.3,IF(BB$4-$D$12=1,0.45,0.25/MAX($D$9-2,1))),0)</f>
        <v>0</v>
      </c>
      <c r="BC42" s="43" t="n">
        <f aca="false">IF(BC37=1,IF(BC$4-$D$12=0,0.3,IF(BC$4-$D$12=1,0.45,0.25/MAX($D$9-2,1))),0)</f>
        <v>0</v>
      </c>
      <c r="BD42" s="43" t="n">
        <f aca="false">IF(BD37=1,IF(BD$4-$D$12=0,0.3,IF(BD$4-$D$12=1,0.45,0.25/MAX($D$9-2,1))),0)</f>
        <v>0</v>
      </c>
      <c r="BE42" s="43" t="n">
        <f aca="false">IF(BE37=1,IF(BE$4-$D$12=0,0.3,IF(BE$4-$D$12=1,0.45,0.25/MAX($D$9-2,1))),0)</f>
        <v>0</v>
      </c>
      <c r="BF42" s="43" t="n">
        <f aca="false">IF(BF37=1,IF(BF$4-$D$12=0,0.3,IF(BF$4-$D$12=1,0.45,0.25/MAX($D$9-2,1))),0)</f>
        <v>0</v>
      </c>
      <c r="BG42" s="43" t="n">
        <f aca="false">IF(BG37=1,IF(BG$4-$D$12=0,0.3,IF(BG$4-$D$12=1,0.45,0.25/MAX($D$9-2,1))),0)</f>
        <v>0</v>
      </c>
      <c r="BH42" s="43" t="n">
        <f aca="false">IF(BH37=1,IF(BH$4-$D$12=0,0.3,IF(BH$4-$D$12=1,0.45,0.25/MAX($D$9-2,1))),0)</f>
        <v>0</v>
      </c>
      <c r="BI42" s="43" t="n">
        <f aca="false">IF(BI37=1,IF(BI$4-$D$12=0,0.3,IF(BI$4-$D$12=1,0.45,0.25/MAX($D$9-2,1))),0)</f>
        <v>0</v>
      </c>
      <c r="BJ42" s="43" t="n">
        <f aca="false">IF(BJ37=1,IF(BJ$4-$D$12=0,0.3,IF(BJ$4-$D$12=1,0.45,0.25/MAX($D$9-2,1))),0)</f>
        <v>0</v>
      </c>
      <c r="BK42" s="43" t="n">
        <f aca="false">IF(BK37=1,IF(BK$4-$D$12=0,0.3,IF(BK$4-$D$12=1,0.45,0.25/MAX($D$9-2,1))),0)</f>
        <v>0</v>
      </c>
      <c r="BL42" s="43" t="n">
        <f aca="false">IF(BL37=1,IF(BL$4-$D$12=0,0.3,IF(BL$4-$D$12=1,0.45,0.25/MAX($D$9-2,1))),0)</f>
        <v>0</v>
      </c>
      <c r="BM42" s="43" t="n">
        <f aca="false">IF(BM37=1,IF(BM$4-$D$12=0,0.3,IF(BM$4-$D$12=1,0.45,0.25/MAX($D$9-2,1))),0)</f>
        <v>0</v>
      </c>
      <c r="BN42" s="43" t="n">
        <f aca="false">IF(BN37=1,IF(BN$4-$D$12=0,0.3,IF(BN$4-$D$12=1,0.45,0.25/MAX($D$9-2,1))),0)</f>
        <v>0</v>
      </c>
      <c r="BO42" s="43" t="n">
        <f aca="false">IF(BO37=1,IF(BO$4-$D$12=0,0.3,IF(BO$4-$D$12=1,0.45,0.25/MAX($D$9-2,1))),0)</f>
        <v>0</v>
      </c>
      <c r="BP42" s="43" t="n">
        <f aca="false">IF(BP37=1,IF(BP$4-$D$12=0,0.3,IF(BP$4-$D$12=1,0.45,0.25/MAX($D$9-2,1))),0)</f>
        <v>0</v>
      </c>
      <c r="BQ42" s="43" t="n">
        <f aca="false">IF(BQ37=1,IF(BQ$4-$D$12=0,0.3,IF(BQ$4-$D$12=1,0.45,0.25/MAX($D$9-2,1))),0)</f>
        <v>0</v>
      </c>
      <c r="BR42" s="43" t="n">
        <f aca="false">IF(BR37=1,IF(BR$4-$D$12=0,0.3,IF(BR$4-$D$12=1,0.45,0.25/MAX($D$9-2,1))),0)</f>
        <v>0</v>
      </c>
      <c r="BS42" s="43" t="n">
        <f aca="false">IF(BS37=1,IF(BS$4-$D$12=0,0.3,IF(BS$4-$D$12=1,0.45,0.25/MAX($D$9-2,1))),0)</f>
        <v>0</v>
      </c>
      <c r="BT42" s="43" t="n">
        <f aca="false">IF(BT37=1,IF(BT$4-$D$12=0,0.3,IF(BT$4-$D$12=1,0.45,0.25/MAX($D$9-2,1))),0)</f>
        <v>0</v>
      </c>
      <c r="BU42" s="43" t="n">
        <f aca="false">IF(BU37=1,IF(BU$4-$D$12=0,0.3,IF(BU$4-$D$12=1,0.45,0.25/MAX($D$9-2,1))),0)</f>
        <v>0</v>
      </c>
      <c r="BV42" s="43" t="n">
        <f aca="false">IF(BV37=1,IF(BV$4-$D$12=0,0.3,IF(BV$4-$D$12=1,0.45,0.25/MAX($D$9-2,1))),0)</f>
        <v>0</v>
      </c>
      <c r="BW42" s="43" t="n">
        <f aca="false">IF(BW37=1,IF(BW$4-$D$12=0,0.3,IF(BW$4-$D$12=1,0.45,0.25/MAX($D$9-2,1))),0)</f>
        <v>0</v>
      </c>
      <c r="BX42" s="43" t="n">
        <f aca="false">IF(BX37=1,IF(BX$4-$D$12=0,0.3,IF(BX$4-$D$12=1,0.45,0.25/MAX($D$9-2,1))),0)</f>
        <v>0</v>
      </c>
    </row>
    <row r="43" customFormat="false" ht="15" hidden="false" customHeight="false" outlineLevel="0" collapsed="false">
      <c r="A43" s="1"/>
      <c r="B43" s="8" t="s">
        <v>314</v>
      </c>
      <c r="C43" s="8" t="s">
        <v>66</v>
      </c>
      <c r="D43" s="1"/>
      <c r="E43" s="1"/>
      <c r="F43" s="1"/>
      <c r="G43" s="43" t="n">
        <f aca="false">IF(SUM($G42:$BX42)&gt;0,G42/SUM($G42:$BX42),0)</f>
        <v>0.3</v>
      </c>
      <c r="H43" s="43" t="n">
        <f aca="false">IF(SUM($G42:$BX42)&gt;0,H42/SUM($G42:$BX42),0)</f>
        <v>0.45</v>
      </c>
      <c r="I43" s="43" t="n">
        <f aca="false">IF(SUM($G42:$BX42)&gt;0,I42/SUM($G42:$BX42),0)</f>
        <v>0.125</v>
      </c>
      <c r="J43" s="43" t="n">
        <f aca="false">IF(SUM($G42:$BX42)&gt;0,J42/SUM($G42:$BX42),0)</f>
        <v>0.125</v>
      </c>
      <c r="K43" s="43" t="n">
        <f aca="false">IF(SUM($G42:$BX42)&gt;0,K42/SUM($G42:$BX42),0)</f>
        <v>0</v>
      </c>
      <c r="L43" s="43" t="n">
        <f aca="false">IF(SUM($G42:$BX42)&gt;0,L42/SUM($G42:$BX42),0)</f>
        <v>0</v>
      </c>
      <c r="M43" s="43" t="n">
        <f aca="false">IF(SUM($G42:$BX42)&gt;0,M42/SUM($G42:$BX42),0)</f>
        <v>0</v>
      </c>
      <c r="N43" s="43" t="n">
        <f aca="false">IF(SUM($G42:$BX42)&gt;0,N42/SUM($G42:$BX42),0)</f>
        <v>0</v>
      </c>
      <c r="O43" s="43" t="n">
        <f aca="false">IF(SUM($G42:$BX42)&gt;0,O42/SUM($G42:$BX42),0)</f>
        <v>0</v>
      </c>
      <c r="P43" s="43" t="n">
        <f aca="false">IF(SUM($G42:$BX42)&gt;0,P42/SUM($G42:$BX42),0)</f>
        <v>0</v>
      </c>
      <c r="Q43" s="43" t="n">
        <f aca="false">IF(SUM($G42:$BX42)&gt;0,Q42/SUM($G42:$BX42),0)</f>
        <v>0</v>
      </c>
      <c r="R43" s="43" t="n">
        <f aca="false">IF(SUM($G42:$BX42)&gt;0,R42/SUM($G42:$BX42),0)</f>
        <v>0</v>
      </c>
      <c r="S43" s="43" t="n">
        <f aca="false">IF(SUM($G42:$BX42)&gt;0,S42/SUM($G42:$BX42),0)</f>
        <v>0</v>
      </c>
      <c r="T43" s="43" t="n">
        <f aca="false">IF(SUM($G42:$BX42)&gt;0,T42/SUM($G42:$BX42),0)</f>
        <v>0</v>
      </c>
      <c r="U43" s="43" t="n">
        <f aca="false">IF(SUM($G42:$BX42)&gt;0,U42/SUM($G42:$BX42),0)</f>
        <v>0</v>
      </c>
      <c r="V43" s="43" t="n">
        <f aca="false">IF(SUM($G42:$BX42)&gt;0,V42/SUM($G42:$BX42),0)</f>
        <v>0</v>
      </c>
      <c r="W43" s="43" t="n">
        <f aca="false">IF(SUM($G42:$BX42)&gt;0,W42/SUM($G42:$BX42),0)</f>
        <v>0</v>
      </c>
      <c r="X43" s="43" t="n">
        <f aca="false">IF(SUM($G42:$BX42)&gt;0,X42/SUM($G42:$BX42),0)</f>
        <v>0</v>
      </c>
      <c r="Y43" s="43" t="n">
        <f aca="false">IF(SUM($G42:$BX42)&gt;0,Y42/SUM($G42:$BX42),0)</f>
        <v>0</v>
      </c>
      <c r="Z43" s="43" t="n">
        <f aca="false">IF(SUM($G42:$BX42)&gt;0,Z42/SUM($G42:$BX42),0)</f>
        <v>0</v>
      </c>
      <c r="AA43" s="43" t="n">
        <f aca="false">IF(SUM($G42:$BX42)&gt;0,AA42/SUM($G42:$BX42),0)</f>
        <v>0</v>
      </c>
      <c r="AB43" s="43" t="n">
        <f aca="false">IF(SUM($G42:$BX42)&gt;0,AB42/SUM($G42:$BX42),0)</f>
        <v>0</v>
      </c>
      <c r="AC43" s="43" t="n">
        <f aca="false">IF(SUM($G42:$BX42)&gt;0,AC42/SUM($G42:$BX42),0)</f>
        <v>0</v>
      </c>
      <c r="AD43" s="43" t="n">
        <f aca="false">IF(SUM($G42:$BX42)&gt;0,AD42/SUM($G42:$BX42),0)</f>
        <v>0</v>
      </c>
      <c r="AE43" s="43" t="n">
        <f aca="false">IF(SUM($G42:$BX42)&gt;0,AE42/SUM($G42:$BX42),0)</f>
        <v>0</v>
      </c>
      <c r="AF43" s="43" t="n">
        <f aca="false">IF(SUM($G42:$BX42)&gt;0,AF42/SUM($G42:$BX42),0)</f>
        <v>0</v>
      </c>
      <c r="AG43" s="43" t="n">
        <f aca="false">IF(SUM($G42:$BX42)&gt;0,AG42/SUM($G42:$BX42),0)</f>
        <v>0</v>
      </c>
      <c r="AH43" s="43" t="n">
        <f aca="false">IF(SUM($G42:$BX42)&gt;0,AH42/SUM($G42:$BX42),0)</f>
        <v>0</v>
      </c>
      <c r="AI43" s="43" t="n">
        <f aca="false">IF(SUM($G42:$BX42)&gt;0,AI42/SUM($G42:$BX42),0)</f>
        <v>0</v>
      </c>
      <c r="AJ43" s="43" t="n">
        <f aca="false">IF(SUM($G42:$BX42)&gt;0,AJ42/SUM($G42:$BX42),0)</f>
        <v>0</v>
      </c>
      <c r="AK43" s="43" t="n">
        <f aca="false">IF(SUM($G42:$BX42)&gt;0,AK42/SUM($G42:$BX42),0)</f>
        <v>0</v>
      </c>
      <c r="AL43" s="43" t="n">
        <f aca="false">IF(SUM($G42:$BX42)&gt;0,AL42/SUM($G42:$BX42),0)</f>
        <v>0</v>
      </c>
      <c r="AM43" s="43" t="n">
        <f aca="false">IF(SUM($G42:$BX42)&gt;0,AM42/SUM($G42:$BX42),0)</f>
        <v>0</v>
      </c>
      <c r="AN43" s="43" t="n">
        <f aca="false">IF(SUM($G42:$BX42)&gt;0,AN42/SUM($G42:$BX42),0)</f>
        <v>0</v>
      </c>
      <c r="AO43" s="43" t="n">
        <f aca="false">IF(SUM($G42:$BX42)&gt;0,AO42/SUM($G42:$BX42),0)</f>
        <v>0</v>
      </c>
      <c r="AP43" s="43" t="n">
        <f aca="false">IF(SUM($G42:$BX42)&gt;0,AP42/SUM($G42:$BX42),0)</f>
        <v>0</v>
      </c>
      <c r="AQ43" s="43" t="n">
        <f aca="false">IF(SUM($G42:$BX42)&gt;0,AQ42/SUM($G42:$BX42),0)</f>
        <v>0</v>
      </c>
      <c r="AR43" s="43" t="n">
        <f aca="false">IF(SUM($G42:$BX42)&gt;0,AR42/SUM($G42:$BX42),0)</f>
        <v>0</v>
      </c>
      <c r="AS43" s="43" t="n">
        <f aca="false">IF(SUM($G42:$BX42)&gt;0,AS42/SUM($G42:$BX42),0)</f>
        <v>0</v>
      </c>
      <c r="AT43" s="43" t="n">
        <f aca="false">IF(SUM($G42:$BX42)&gt;0,AT42/SUM($G42:$BX42),0)</f>
        <v>0</v>
      </c>
      <c r="AU43" s="43" t="n">
        <f aca="false">IF(SUM($G42:$BX42)&gt;0,AU42/SUM($G42:$BX42),0)</f>
        <v>0</v>
      </c>
      <c r="AV43" s="43" t="n">
        <f aca="false">IF(SUM($G42:$BX42)&gt;0,AV42/SUM($G42:$BX42),0)</f>
        <v>0</v>
      </c>
      <c r="AW43" s="43" t="n">
        <f aca="false">IF(SUM($G42:$BX42)&gt;0,AW42/SUM($G42:$BX42),0)</f>
        <v>0</v>
      </c>
      <c r="AX43" s="43" t="n">
        <f aca="false">IF(SUM($G42:$BX42)&gt;0,AX42/SUM($G42:$BX42),0)</f>
        <v>0</v>
      </c>
      <c r="AY43" s="43" t="n">
        <f aca="false">IF(SUM($G42:$BX42)&gt;0,AY42/SUM($G42:$BX42),0)</f>
        <v>0</v>
      </c>
      <c r="AZ43" s="43" t="n">
        <f aca="false">IF(SUM($G42:$BX42)&gt;0,AZ42/SUM($G42:$BX42),0)</f>
        <v>0</v>
      </c>
      <c r="BA43" s="43" t="n">
        <f aca="false">IF(SUM($G42:$BX42)&gt;0,BA42/SUM($G42:$BX42),0)</f>
        <v>0</v>
      </c>
      <c r="BB43" s="43" t="n">
        <f aca="false">IF(SUM($G42:$BX42)&gt;0,BB42/SUM($G42:$BX42),0)</f>
        <v>0</v>
      </c>
      <c r="BC43" s="43" t="n">
        <f aca="false">IF(SUM($G42:$BX42)&gt;0,BC42/SUM($G42:$BX42),0)</f>
        <v>0</v>
      </c>
      <c r="BD43" s="43" t="n">
        <f aca="false">IF(SUM($G42:$BX42)&gt;0,BD42/SUM($G42:$BX42),0)</f>
        <v>0</v>
      </c>
      <c r="BE43" s="43" t="n">
        <f aca="false">IF(SUM($G42:$BX42)&gt;0,BE42/SUM($G42:$BX42),0)</f>
        <v>0</v>
      </c>
      <c r="BF43" s="43" t="n">
        <f aca="false">IF(SUM($G42:$BX42)&gt;0,BF42/SUM($G42:$BX42),0)</f>
        <v>0</v>
      </c>
      <c r="BG43" s="43" t="n">
        <f aca="false">IF(SUM($G42:$BX42)&gt;0,BG42/SUM($G42:$BX42),0)</f>
        <v>0</v>
      </c>
      <c r="BH43" s="43" t="n">
        <f aca="false">IF(SUM($G42:$BX42)&gt;0,BH42/SUM($G42:$BX42),0)</f>
        <v>0</v>
      </c>
      <c r="BI43" s="43" t="n">
        <f aca="false">IF(SUM($G42:$BX42)&gt;0,BI42/SUM($G42:$BX42),0)</f>
        <v>0</v>
      </c>
      <c r="BJ43" s="43" t="n">
        <f aca="false">IF(SUM($G42:$BX42)&gt;0,BJ42/SUM($G42:$BX42),0)</f>
        <v>0</v>
      </c>
      <c r="BK43" s="43" t="n">
        <f aca="false">IF(SUM($G42:$BX42)&gt;0,BK42/SUM($G42:$BX42),0)</f>
        <v>0</v>
      </c>
      <c r="BL43" s="43" t="n">
        <f aca="false">IF(SUM($G42:$BX42)&gt;0,BL42/SUM($G42:$BX42),0)</f>
        <v>0</v>
      </c>
      <c r="BM43" s="43" t="n">
        <f aca="false">IF(SUM($G42:$BX42)&gt;0,BM42/SUM($G42:$BX42),0)</f>
        <v>0</v>
      </c>
      <c r="BN43" s="43" t="n">
        <f aca="false">IF(SUM($G42:$BX42)&gt;0,BN42/SUM($G42:$BX42),0)</f>
        <v>0</v>
      </c>
      <c r="BO43" s="43" t="n">
        <f aca="false">IF(SUM($G42:$BX42)&gt;0,BO42/SUM($G42:$BX42),0)</f>
        <v>0</v>
      </c>
      <c r="BP43" s="43" t="n">
        <f aca="false">IF(SUM($G42:$BX42)&gt;0,BP42/SUM($G42:$BX42),0)</f>
        <v>0</v>
      </c>
      <c r="BQ43" s="43" t="n">
        <f aca="false">IF(SUM($G42:$BX42)&gt;0,BQ42/SUM($G42:$BX42),0)</f>
        <v>0</v>
      </c>
      <c r="BR43" s="43" t="n">
        <f aca="false">IF(SUM($G42:$BX42)&gt;0,BR42/SUM($G42:$BX42),0)</f>
        <v>0</v>
      </c>
      <c r="BS43" s="43" t="n">
        <f aca="false">IF(SUM($G42:$BX42)&gt;0,BS42/SUM($G42:$BX42),0)</f>
        <v>0</v>
      </c>
      <c r="BT43" s="43" t="n">
        <f aca="false">IF(SUM($G42:$BX42)&gt;0,BT42/SUM($G42:$BX42),0)</f>
        <v>0</v>
      </c>
      <c r="BU43" s="43" t="n">
        <f aca="false">IF(SUM($G42:$BX42)&gt;0,BU42/SUM($G42:$BX42),0)</f>
        <v>0</v>
      </c>
      <c r="BV43" s="43" t="n">
        <f aca="false">IF(SUM($G42:$BX42)&gt;0,BV42/SUM($G42:$BX42),0)</f>
        <v>0</v>
      </c>
      <c r="BW43" s="43" t="n">
        <f aca="false">IF(SUM($G42:$BX42)&gt;0,BW42/SUM($G42:$BX42),0)</f>
        <v>0</v>
      </c>
      <c r="BX43" s="43" t="n">
        <f aca="false">IF(SUM($G42:$BX42)&gt;0,BX42/SUM($G42:$BX42),0)</f>
        <v>0</v>
      </c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</row>
    <row r="45" customFormat="false" ht="15" hidden="false" customHeight="false" outlineLevel="0" collapsed="false">
      <c r="A45" s="1"/>
      <c r="B45" s="13" t="s">
        <v>315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</row>
    <row r="46" customFormat="false" ht="15" hidden="false" customHeight="false" outlineLevel="0" collapsed="false">
      <c r="A46" s="1"/>
      <c r="B46" s="8" t="s">
        <v>316</v>
      </c>
      <c r="C46" s="8" t="s">
        <v>126</v>
      </c>
      <c r="D46" s="44" t="n">
        <f aca="false">SUM(G46:BX46)</f>
        <v>1860</v>
      </c>
      <c r="E46" s="1"/>
      <c r="F46" s="1"/>
      <c r="G46" s="48" t="n">
        <f aca="false">$D$24*G43</f>
        <v>558</v>
      </c>
      <c r="H46" s="48" t="n">
        <f aca="false">$D$24*H43</f>
        <v>837</v>
      </c>
      <c r="I46" s="48" t="n">
        <f aca="false">$D$24*I43</f>
        <v>232.5</v>
      </c>
      <c r="J46" s="48" t="n">
        <f aca="false">$D$24*J43</f>
        <v>232.5</v>
      </c>
      <c r="K46" s="48" t="n">
        <f aca="false">$D$24*K43</f>
        <v>0</v>
      </c>
      <c r="L46" s="48" t="n">
        <f aca="false">$D$24*L43</f>
        <v>0</v>
      </c>
      <c r="M46" s="48" t="n">
        <f aca="false">$D$24*M43</f>
        <v>0</v>
      </c>
      <c r="N46" s="48" t="n">
        <f aca="false">$D$24*N43</f>
        <v>0</v>
      </c>
      <c r="O46" s="48" t="n">
        <f aca="false">$D$24*O43</f>
        <v>0</v>
      </c>
      <c r="P46" s="48" t="n">
        <f aca="false">$D$24*P43</f>
        <v>0</v>
      </c>
      <c r="Q46" s="48" t="n">
        <f aca="false">$D$24*Q43</f>
        <v>0</v>
      </c>
      <c r="R46" s="48" t="n">
        <f aca="false">$D$24*R43</f>
        <v>0</v>
      </c>
      <c r="S46" s="48" t="n">
        <f aca="false">$D$24*S43</f>
        <v>0</v>
      </c>
      <c r="T46" s="48" t="n">
        <f aca="false">$D$24*T43</f>
        <v>0</v>
      </c>
      <c r="U46" s="48" t="n">
        <f aca="false">$D$24*U43</f>
        <v>0</v>
      </c>
      <c r="V46" s="48" t="n">
        <f aca="false">$D$24*V43</f>
        <v>0</v>
      </c>
      <c r="W46" s="48" t="n">
        <f aca="false">$D$24*W43</f>
        <v>0</v>
      </c>
      <c r="X46" s="48" t="n">
        <f aca="false">$D$24*X43</f>
        <v>0</v>
      </c>
      <c r="Y46" s="48" t="n">
        <f aca="false">$D$24*Y43</f>
        <v>0</v>
      </c>
      <c r="Z46" s="48" t="n">
        <f aca="false">$D$24*Z43</f>
        <v>0</v>
      </c>
      <c r="AA46" s="48" t="n">
        <f aca="false">$D$24*AA43</f>
        <v>0</v>
      </c>
      <c r="AB46" s="48" t="n">
        <f aca="false">$D$24*AB43</f>
        <v>0</v>
      </c>
      <c r="AC46" s="48" t="n">
        <f aca="false">$D$24*AC43</f>
        <v>0</v>
      </c>
      <c r="AD46" s="48" t="n">
        <f aca="false">$D$24*AD43</f>
        <v>0</v>
      </c>
      <c r="AE46" s="48" t="n">
        <f aca="false">$D$24*AE43</f>
        <v>0</v>
      </c>
      <c r="AF46" s="48" t="n">
        <f aca="false">$D$24*AF43</f>
        <v>0</v>
      </c>
      <c r="AG46" s="48" t="n">
        <f aca="false">$D$24*AG43</f>
        <v>0</v>
      </c>
      <c r="AH46" s="48" t="n">
        <f aca="false">$D$24*AH43</f>
        <v>0</v>
      </c>
      <c r="AI46" s="48" t="n">
        <f aca="false">$D$24*AI43</f>
        <v>0</v>
      </c>
      <c r="AJ46" s="48" t="n">
        <f aca="false">$D$24*AJ43</f>
        <v>0</v>
      </c>
      <c r="AK46" s="48" t="n">
        <f aca="false">$D$24*AK43</f>
        <v>0</v>
      </c>
      <c r="AL46" s="48" t="n">
        <f aca="false">$D$24*AL43</f>
        <v>0</v>
      </c>
      <c r="AM46" s="48" t="n">
        <f aca="false">$D$24*AM43</f>
        <v>0</v>
      </c>
      <c r="AN46" s="48" t="n">
        <f aca="false">$D$24*AN43</f>
        <v>0</v>
      </c>
      <c r="AO46" s="48" t="n">
        <f aca="false">$D$24*AO43</f>
        <v>0</v>
      </c>
      <c r="AP46" s="48" t="n">
        <f aca="false">$D$24*AP43</f>
        <v>0</v>
      </c>
      <c r="AQ46" s="48" t="n">
        <f aca="false">$D$24*AQ43</f>
        <v>0</v>
      </c>
      <c r="AR46" s="48" t="n">
        <f aca="false">$D$24*AR43</f>
        <v>0</v>
      </c>
      <c r="AS46" s="48" t="n">
        <f aca="false">$D$24*AS43</f>
        <v>0</v>
      </c>
      <c r="AT46" s="48" t="n">
        <f aca="false">$D$24*AT43</f>
        <v>0</v>
      </c>
      <c r="AU46" s="48" t="n">
        <f aca="false">$D$24*AU43</f>
        <v>0</v>
      </c>
      <c r="AV46" s="48" t="n">
        <f aca="false">$D$24*AV43</f>
        <v>0</v>
      </c>
      <c r="AW46" s="48" t="n">
        <f aca="false">$D$24*AW43</f>
        <v>0</v>
      </c>
      <c r="AX46" s="48" t="n">
        <f aca="false">$D$24*AX43</f>
        <v>0</v>
      </c>
      <c r="AY46" s="48" t="n">
        <f aca="false">$D$24*AY43</f>
        <v>0</v>
      </c>
      <c r="AZ46" s="48" t="n">
        <f aca="false">$D$24*AZ43</f>
        <v>0</v>
      </c>
      <c r="BA46" s="48" t="n">
        <f aca="false">$D$24*BA43</f>
        <v>0</v>
      </c>
      <c r="BB46" s="48" t="n">
        <f aca="false">$D$24*BB43</f>
        <v>0</v>
      </c>
      <c r="BC46" s="48" t="n">
        <f aca="false">$D$24*BC43</f>
        <v>0</v>
      </c>
      <c r="BD46" s="48" t="n">
        <f aca="false">$D$24*BD43</f>
        <v>0</v>
      </c>
      <c r="BE46" s="48" t="n">
        <f aca="false">$D$24*BE43</f>
        <v>0</v>
      </c>
      <c r="BF46" s="48" t="n">
        <f aca="false">$D$24*BF43</f>
        <v>0</v>
      </c>
      <c r="BG46" s="48" t="n">
        <f aca="false">$D$24*BG43</f>
        <v>0</v>
      </c>
      <c r="BH46" s="48" t="n">
        <f aca="false">$D$24*BH43</f>
        <v>0</v>
      </c>
      <c r="BI46" s="48" t="n">
        <f aca="false">$D$24*BI43</f>
        <v>0</v>
      </c>
      <c r="BJ46" s="48" t="n">
        <f aca="false">$D$24*BJ43</f>
        <v>0</v>
      </c>
      <c r="BK46" s="48" t="n">
        <f aca="false">$D$24*BK43</f>
        <v>0</v>
      </c>
      <c r="BL46" s="48" t="n">
        <f aca="false">$D$24*BL43</f>
        <v>0</v>
      </c>
      <c r="BM46" s="48" t="n">
        <f aca="false">$D$24*BM43</f>
        <v>0</v>
      </c>
      <c r="BN46" s="48" t="n">
        <f aca="false">$D$24*BN43</f>
        <v>0</v>
      </c>
      <c r="BO46" s="48" t="n">
        <f aca="false">$D$24*BO43</f>
        <v>0</v>
      </c>
      <c r="BP46" s="48" t="n">
        <f aca="false">$D$24*BP43</f>
        <v>0</v>
      </c>
      <c r="BQ46" s="48" t="n">
        <f aca="false">$D$24*BQ43</f>
        <v>0</v>
      </c>
      <c r="BR46" s="48" t="n">
        <f aca="false">$D$24*BR43</f>
        <v>0</v>
      </c>
      <c r="BS46" s="48" t="n">
        <f aca="false">$D$24*BS43</f>
        <v>0</v>
      </c>
      <c r="BT46" s="48" t="n">
        <f aca="false">$D$24*BT43</f>
        <v>0</v>
      </c>
      <c r="BU46" s="48" t="n">
        <f aca="false">$D$24*BU43</f>
        <v>0</v>
      </c>
      <c r="BV46" s="48" t="n">
        <f aca="false">$D$24*BV43</f>
        <v>0</v>
      </c>
      <c r="BW46" s="48" t="n">
        <f aca="false">$D$24*BW43</f>
        <v>0</v>
      </c>
      <c r="BX46" s="48" t="n">
        <f aca="false">$D$24*BX43</f>
        <v>0</v>
      </c>
    </row>
    <row r="47" customFormat="false" ht="15" hidden="false" customHeight="false" outlineLevel="0" collapsed="false">
      <c r="A47" s="1"/>
      <c r="B47" s="8" t="s">
        <v>416</v>
      </c>
      <c r="C47" s="8" t="s">
        <v>126</v>
      </c>
      <c r="D47" s="44" t="n">
        <f aca="false">SUM(G47:BX47)</f>
        <v>105</v>
      </c>
      <c r="E47" s="1"/>
      <c r="F47" s="1"/>
      <c r="G47" s="48" t="n">
        <f aca="false">$D$28*$D$7/1000*G43</f>
        <v>31.5</v>
      </c>
      <c r="H47" s="48" t="n">
        <f aca="false">$D$28*$D$7/1000*H43</f>
        <v>47.25</v>
      </c>
      <c r="I47" s="48" t="n">
        <f aca="false">$D$28*$D$7/1000*I43</f>
        <v>13.125</v>
      </c>
      <c r="J47" s="48" t="n">
        <f aca="false">$D$28*$D$7/1000*J43</f>
        <v>13.125</v>
      </c>
      <c r="K47" s="48" t="n">
        <f aca="false">$D$28*$D$7/1000*K43</f>
        <v>0</v>
      </c>
      <c r="L47" s="48" t="n">
        <f aca="false">$D$28*$D$7/1000*L43</f>
        <v>0</v>
      </c>
      <c r="M47" s="48" t="n">
        <f aca="false">$D$28*$D$7/1000*M43</f>
        <v>0</v>
      </c>
      <c r="N47" s="48" t="n">
        <f aca="false">$D$28*$D$7/1000*N43</f>
        <v>0</v>
      </c>
      <c r="O47" s="48" t="n">
        <f aca="false">$D$28*$D$7/1000*O43</f>
        <v>0</v>
      </c>
      <c r="P47" s="48" t="n">
        <f aca="false">$D$28*$D$7/1000*P43</f>
        <v>0</v>
      </c>
      <c r="Q47" s="48" t="n">
        <f aca="false">$D$28*$D$7/1000*Q43</f>
        <v>0</v>
      </c>
      <c r="R47" s="48" t="n">
        <f aca="false">$D$28*$D$7/1000*R43</f>
        <v>0</v>
      </c>
      <c r="S47" s="48" t="n">
        <f aca="false">$D$28*$D$7/1000*S43</f>
        <v>0</v>
      </c>
      <c r="T47" s="48" t="n">
        <f aca="false">$D$28*$D$7/1000*T43</f>
        <v>0</v>
      </c>
      <c r="U47" s="48" t="n">
        <f aca="false">$D$28*$D$7/1000*U43</f>
        <v>0</v>
      </c>
      <c r="V47" s="48" t="n">
        <f aca="false">$D$28*$D$7/1000*V43</f>
        <v>0</v>
      </c>
      <c r="W47" s="48" t="n">
        <f aca="false">$D$28*$D$7/1000*W43</f>
        <v>0</v>
      </c>
      <c r="X47" s="48" t="n">
        <f aca="false">$D$28*$D$7/1000*X43</f>
        <v>0</v>
      </c>
      <c r="Y47" s="48" t="n">
        <f aca="false">$D$28*$D$7/1000*Y43</f>
        <v>0</v>
      </c>
      <c r="Z47" s="48" t="n">
        <f aca="false">$D$28*$D$7/1000*Z43</f>
        <v>0</v>
      </c>
      <c r="AA47" s="48" t="n">
        <f aca="false">$D$28*$D$7/1000*AA43</f>
        <v>0</v>
      </c>
      <c r="AB47" s="48" t="n">
        <f aca="false">$D$28*$D$7/1000*AB43</f>
        <v>0</v>
      </c>
      <c r="AC47" s="48" t="n">
        <f aca="false">$D$28*$D$7/1000*AC43</f>
        <v>0</v>
      </c>
      <c r="AD47" s="48" t="n">
        <f aca="false">$D$28*$D$7/1000*AD43</f>
        <v>0</v>
      </c>
      <c r="AE47" s="48" t="n">
        <f aca="false">$D$28*$D$7/1000*AE43</f>
        <v>0</v>
      </c>
      <c r="AF47" s="48" t="n">
        <f aca="false">$D$28*$D$7/1000*AF43</f>
        <v>0</v>
      </c>
      <c r="AG47" s="48" t="n">
        <f aca="false">$D$28*$D$7/1000*AG43</f>
        <v>0</v>
      </c>
      <c r="AH47" s="48" t="n">
        <f aca="false">$D$28*$D$7/1000*AH43</f>
        <v>0</v>
      </c>
      <c r="AI47" s="48" t="n">
        <f aca="false">$D$28*$D$7/1000*AI43</f>
        <v>0</v>
      </c>
      <c r="AJ47" s="48" t="n">
        <f aca="false">$D$28*$D$7/1000*AJ43</f>
        <v>0</v>
      </c>
      <c r="AK47" s="48" t="n">
        <f aca="false">$D$28*$D$7/1000*AK43</f>
        <v>0</v>
      </c>
      <c r="AL47" s="48" t="n">
        <f aca="false">$D$28*$D$7/1000*AL43</f>
        <v>0</v>
      </c>
      <c r="AM47" s="48" t="n">
        <f aca="false">$D$28*$D$7/1000*AM43</f>
        <v>0</v>
      </c>
      <c r="AN47" s="48" t="n">
        <f aca="false">$D$28*$D$7/1000*AN43</f>
        <v>0</v>
      </c>
      <c r="AO47" s="48" t="n">
        <f aca="false">$D$28*$D$7/1000*AO43</f>
        <v>0</v>
      </c>
      <c r="AP47" s="48" t="n">
        <f aca="false">$D$28*$D$7/1000*AP43</f>
        <v>0</v>
      </c>
      <c r="AQ47" s="48" t="n">
        <f aca="false">$D$28*$D$7/1000*AQ43</f>
        <v>0</v>
      </c>
      <c r="AR47" s="48" t="n">
        <f aca="false">$D$28*$D$7/1000*AR43</f>
        <v>0</v>
      </c>
      <c r="AS47" s="48" t="n">
        <f aca="false">$D$28*$D$7/1000*AS43</f>
        <v>0</v>
      </c>
      <c r="AT47" s="48" t="n">
        <f aca="false">$D$28*$D$7/1000*AT43</f>
        <v>0</v>
      </c>
      <c r="AU47" s="48" t="n">
        <f aca="false">$D$28*$D$7/1000*AU43</f>
        <v>0</v>
      </c>
      <c r="AV47" s="48" t="n">
        <f aca="false">$D$28*$D$7/1000*AV43</f>
        <v>0</v>
      </c>
      <c r="AW47" s="48" t="n">
        <f aca="false">$D$28*$D$7/1000*AW43</f>
        <v>0</v>
      </c>
      <c r="AX47" s="48" t="n">
        <f aca="false">$D$28*$D$7/1000*AX43</f>
        <v>0</v>
      </c>
      <c r="AY47" s="48" t="n">
        <f aca="false">$D$28*$D$7/1000*AY43</f>
        <v>0</v>
      </c>
      <c r="AZ47" s="48" t="n">
        <f aca="false">$D$28*$D$7/1000*AZ43</f>
        <v>0</v>
      </c>
      <c r="BA47" s="48" t="n">
        <f aca="false">$D$28*$D$7/1000*BA43</f>
        <v>0</v>
      </c>
      <c r="BB47" s="48" t="n">
        <f aca="false">$D$28*$D$7/1000*BB43</f>
        <v>0</v>
      </c>
      <c r="BC47" s="48" t="n">
        <f aca="false">$D$28*$D$7/1000*BC43</f>
        <v>0</v>
      </c>
      <c r="BD47" s="48" t="n">
        <f aca="false">$D$28*$D$7/1000*BD43</f>
        <v>0</v>
      </c>
      <c r="BE47" s="48" t="n">
        <f aca="false">$D$28*$D$7/1000*BE43</f>
        <v>0</v>
      </c>
      <c r="BF47" s="48" t="n">
        <f aca="false">$D$28*$D$7/1000*BF43</f>
        <v>0</v>
      </c>
      <c r="BG47" s="48" t="n">
        <f aca="false">$D$28*$D$7/1000*BG43</f>
        <v>0</v>
      </c>
      <c r="BH47" s="48" t="n">
        <f aca="false">$D$28*$D$7/1000*BH43</f>
        <v>0</v>
      </c>
      <c r="BI47" s="48" t="n">
        <f aca="false">$D$28*$D$7/1000*BI43</f>
        <v>0</v>
      </c>
      <c r="BJ47" s="48" t="n">
        <f aca="false">$D$28*$D$7/1000*BJ43</f>
        <v>0</v>
      </c>
      <c r="BK47" s="48" t="n">
        <f aca="false">$D$28*$D$7/1000*BK43</f>
        <v>0</v>
      </c>
      <c r="BL47" s="48" t="n">
        <f aca="false">$D$28*$D$7/1000*BL43</f>
        <v>0</v>
      </c>
      <c r="BM47" s="48" t="n">
        <f aca="false">$D$28*$D$7/1000*BM43</f>
        <v>0</v>
      </c>
      <c r="BN47" s="48" t="n">
        <f aca="false">$D$28*$D$7/1000*BN43</f>
        <v>0</v>
      </c>
      <c r="BO47" s="48" t="n">
        <f aca="false">$D$28*$D$7/1000*BO43</f>
        <v>0</v>
      </c>
      <c r="BP47" s="48" t="n">
        <f aca="false">$D$28*$D$7/1000*BP43</f>
        <v>0</v>
      </c>
      <c r="BQ47" s="48" t="n">
        <f aca="false">$D$28*$D$7/1000*BQ43</f>
        <v>0</v>
      </c>
      <c r="BR47" s="48" t="n">
        <f aca="false">$D$28*$D$7/1000*BR43</f>
        <v>0</v>
      </c>
      <c r="BS47" s="48" t="n">
        <f aca="false">$D$28*$D$7/1000*BS43</f>
        <v>0</v>
      </c>
      <c r="BT47" s="48" t="n">
        <f aca="false">$D$28*$D$7/1000*BT43</f>
        <v>0</v>
      </c>
      <c r="BU47" s="48" t="n">
        <f aca="false">$D$28*$D$7/1000*BU43</f>
        <v>0</v>
      </c>
      <c r="BV47" s="48" t="n">
        <f aca="false">$D$28*$D$7/1000*BV43</f>
        <v>0</v>
      </c>
      <c r="BW47" s="48" t="n">
        <f aca="false">$D$28*$D$7/1000*BW43</f>
        <v>0</v>
      </c>
      <c r="BX47" s="48" t="n">
        <f aca="false">$D$28*$D$7/1000*BX43</f>
        <v>0</v>
      </c>
    </row>
    <row r="48" customFormat="false" ht="15" hidden="false" customHeight="false" outlineLevel="0" collapsed="false">
      <c r="A48" s="1"/>
      <c r="B48" s="4" t="s">
        <v>318</v>
      </c>
      <c r="C48" s="8" t="s">
        <v>126</v>
      </c>
      <c r="D48" s="44" t="n">
        <f aca="false">SUM(G48:BX48)</f>
        <v>1965</v>
      </c>
      <c r="E48" s="1"/>
      <c r="F48" s="1"/>
      <c r="G48" s="44" t="n">
        <f aca="false">G46+G47</f>
        <v>589.5</v>
      </c>
      <c r="H48" s="44" t="n">
        <f aca="false">H46+H47</f>
        <v>884.25</v>
      </c>
      <c r="I48" s="44" t="n">
        <f aca="false">I46+I47</f>
        <v>245.625</v>
      </c>
      <c r="J48" s="44" t="n">
        <f aca="false">J46+J47</f>
        <v>245.625</v>
      </c>
      <c r="K48" s="44" t="n">
        <f aca="false">K46+K47</f>
        <v>0</v>
      </c>
      <c r="L48" s="44" t="n">
        <f aca="false">L46+L47</f>
        <v>0</v>
      </c>
      <c r="M48" s="44" t="n">
        <f aca="false">M46+M47</f>
        <v>0</v>
      </c>
      <c r="N48" s="44" t="n">
        <f aca="false">N46+N47</f>
        <v>0</v>
      </c>
      <c r="O48" s="44" t="n">
        <f aca="false">O46+O47</f>
        <v>0</v>
      </c>
      <c r="P48" s="44" t="n">
        <f aca="false">P46+P47</f>
        <v>0</v>
      </c>
      <c r="Q48" s="44" t="n">
        <f aca="false">Q46+Q47</f>
        <v>0</v>
      </c>
      <c r="R48" s="44" t="n">
        <f aca="false">R46+R47</f>
        <v>0</v>
      </c>
      <c r="S48" s="44" t="n">
        <f aca="false">S46+S47</f>
        <v>0</v>
      </c>
      <c r="T48" s="44" t="n">
        <f aca="false">T46+T47</f>
        <v>0</v>
      </c>
      <c r="U48" s="44" t="n">
        <f aca="false">U46+U47</f>
        <v>0</v>
      </c>
      <c r="V48" s="44" t="n">
        <f aca="false">V46+V47</f>
        <v>0</v>
      </c>
      <c r="W48" s="44" t="n">
        <f aca="false">W46+W47</f>
        <v>0</v>
      </c>
      <c r="X48" s="44" t="n">
        <f aca="false">X46+X47</f>
        <v>0</v>
      </c>
      <c r="Y48" s="44" t="n">
        <f aca="false">Y46+Y47</f>
        <v>0</v>
      </c>
      <c r="Z48" s="44" t="n">
        <f aca="false">Z46+Z47</f>
        <v>0</v>
      </c>
      <c r="AA48" s="44" t="n">
        <f aca="false">AA46+AA47</f>
        <v>0</v>
      </c>
      <c r="AB48" s="44" t="n">
        <f aca="false">AB46+AB47</f>
        <v>0</v>
      </c>
      <c r="AC48" s="44" t="n">
        <f aca="false">AC46+AC47</f>
        <v>0</v>
      </c>
      <c r="AD48" s="44" t="n">
        <f aca="false">AD46+AD47</f>
        <v>0</v>
      </c>
      <c r="AE48" s="44" t="n">
        <f aca="false">AE46+AE47</f>
        <v>0</v>
      </c>
      <c r="AF48" s="44" t="n">
        <f aca="false">AF46+AF47</f>
        <v>0</v>
      </c>
      <c r="AG48" s="44" t="n">
        <f aca="false">AG46+AG47</f>
        <v>0</v>
      </c>
      <c r="AH48" s="44" t="n">
        <f aca="false">AH46+AH47</f>
        <v>0</v>
      </c>
      <c r="AI48" s="44" t="n">
        <f aca="false">AI46+AI47</f>
        <v>0</v>
      </c>
      <c r="AJ48" s="44" t="n">
        <f aca="false">AJ46+AJ47</f>
        <v>0</v>
      </c>
      <c r="AK48" s="44" t="n">
        <f aca="false">AK46+AK47</f>
        <v>0</v>
      </c>
      <c r="AL48" s="44" t="n">
        <f aca="false">AL46+AL47</f>
        <v>0</v>
      </c>
      <c r="AM48" s="44" t="n">
        <f aca="false">AM46+AM47</f>
        <v>0</v>
      </c>
      <c r="AN48" s="44" t="n">
        <f aca="false">AN46+AN47</f>
        <v>0</v>
      </c>
      <c r="AO48" s="44" t="n">
        <f aca="false">AO46+AO47</f>
        <v>0</v>
      </c>
      <c r="AP48" s="44" t="n">
        <f aca="false">AP46+AP47</f>
        <v>0</v>
      </c>
      <c r="AQ48" s="44" t="n">
        <f aca="false">AQ46+AQ47</f>
        <v>0</v>
      </c>
      <c r="AR48" s="44" t="n">
        <f aca="false">AR46+AR47</f>
        <v>0</v>
      </c>
      <c r="AS48" s="44" t="n">
        <f aca="false">AS46+AS47</f>
        <v>0</v>
      </c>
      <c r="AT48" s="44" t="n">
        <f aca="false">AT46+AT47</f>
        <v>0</v>
      </c>
      <c r="AU48" s="44" t="n">
        <f aca="false">AU46+AU47</f>
        <v>0</v>
      </c>
      <c r="AV48" s="44" t="n">
        <f aca="false">AV46+AV47</f>
        <v>0</v>
      </c>
      <c r="AW48" s="44" t="n">
        <f aca="false">AW46+AW47</f>
        <v>0</v>
      </c>
      <c r="AX48" s="44" t="n">
        <f aca="false">AX46+AX47</f>
        <v>0</v>
      </c>
      <c r="AY48" s="44" t="n">
        <f aca="false">AY46+AY47</f>
        <v>0</v>
      </c>
      <c r="AZ48" s="44" t="n">
        <f aca="false">AZ46+AZ47</f>
        <v>0</v>
      </c>
      <c r="BA48" s="44" t="n">
        <f aca="false">BA46+BA47</f>
        <v>0</v>
      </c>
      <c r="BB48" s="44" t="n">
        <f aca="false">BB46+BB47</f>
        <v>0</v>
      </c>
      <c r="BC48" s="44" t="n">
        <f aca="false">BC46+BC47</f>
        <v>0</v>
      </c>
      <c r="BD48" s="44" t="n">
        <f aca="false">BD46+BD47</f>
        <v>0</v>
      </c>
      <c r="BE48" s="44" t="n">
        <f aca="false">BE46+BE47</f>
        <v>0</v>
      </c>
      <c r="BF48" s="44" t="n">
        <f aca="false">BF46+BF47</f>
        <v>0</v>
      </c>
      <c r="BG48" s="44" t="n">
        <f aca="false">BG46+BG47</f>
        <v>0</v>
      </c>
      <c r="BH48" s="44" t="n">
        <f aca="false">BH46+BH47</f>
        <v>0</v>
      </c>
      <c r="BI48" s="44" t="n">
        <f aca="false">BI46+BI47</f>
        <v>0</v>
      </c>
      <c r="BJ48" s="44" t="n">
        <f aca="false">BJ46+BJ47</f>
        <v>0</v>
      </c>
      <c r="BK48" s="44" t="n">
        <f aca="false">BK46+BK47</f>
        <v>0</v>
      </c>
      <c r="BL48" s="44" t="n">
        <f aca="false">BL46+BL47</f>
        <v>0</v>
      </c>
      <c r="BM48" s="44" t="n">
        <f aca="false">BM46+BM47</f>
        <v>0</v>
      </c>
      <c r="BN48" s="44" t="n">
        <f aca="false">BN46+BN47</f>
        <v>0</v>
      </c>
      <c r="BO48" s="44" t="n">
        <f aca="false">BO46+BO47</f>
        <v>0</v>
      </c>
      <c r="BP48" s="44" t="n">
        <f aca="false">BP46+BP47</f>
        <v>0</v>
      </c>
      <c r="BQ48" s="44" t="n">
        <f aca="false">BQ46+BQ47</f>
        <v>0</v>
      </c>
      <c r="BR48" s="44" t="n">
        <f aca="false">BR46+BR47</f>
        <v>0</v>
      </c>
      <c r="BS48" s="44" t="n">
        <f aca="false">BS46+BS47</f>
        <v>0</v>
      </c>
      <c r="BT48" s="44" t="n">
        <f aca="false">BT46+BT47</f>
        <v>0</v>
      </c>
      <c r="BU48" s="44" t="n">
        <f aca="false">BU46+BU47</f>
        <v>0</v>
      </c>
      <c r="BV48" s="44" t="n">
        <f aca="false">BV46+BV47</f>
        <v>0</v>
      </c>
      <c r="BW48" s="44" t="n">
        <f aca="false">BW46+BW47</f>
        <v>0</v>
      </c>
      <c r="BX48" s="44" t="n">
        <f aca="false">BX46+BX47</f>
        <v>0</v>
      </c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</row>
    <row r="50" customFormat="false" ht="15" hidden="false" customHeight="false" outlineLevel="0" collapsed="false">
      <c r="A50" s="1"/>
      <c r="B50" s="13" t="s">
        <v>319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</row>
    <row r="51" customFormat="false" ht="15" hidden="false" customHeight="false" outlineLevel="0" collapsed="false">
      <c r="A51" s="1"/>
      <c r="B51" s="8" t="s">
        <v>320</v>
      </c>
      <c r="C51" s="8" t="s">
        <v>76</v>
      </c>
      <c r="D51" s="1"/>
      <c r="E51" s="1"/>
      <c r="F51" s="1"/>
      <c r="G51" s="49" t="n">
        <f aca="false">Input!J36</f>
        <v>496</v>
      </c>
      <c r="H51" s="49" t="n">
        <f aca="false">Input!K36</f>
        <v>445</v>
      </c>
      <c r="I51" s="49" t="n">
        <f aca="false">Input!L36</f>
        <v>420</v>
      </c>
      <c r="J51" s="49" t="n">
        <f aca="false">Input!M36</f>
        <v>410</v>
      </c>
      <c r="K51" s="49" t="n">
        <f aca="false">Input!N36</f>
        <v>408</v>
      </c>
      <c r="L51" s="49" t="n">
        <f aca="false">Input!O36</f>
        <v>406</v>
      </c>
      <c r="M51" s="49" t="n">
        <f aca="false">Input!P36</f>
        <v>404</v>
      </c>
      <c r="N51" s="49" t="n">
        <f aca="false">Input!Q36</f>
        <v>402</v>
      </c>
      <c r="O51" s="49" t="n">
        <f aca="false">Input!R36</f>
        <v>400</v>
      </c>
      <c r="P51" s="49" t="n">
        <f aca="false">Input!S36</f>
        <v>398</v>
      </c>
      <c r="Q51" s="49" t="n">
        <f aca="false">Input!T36</f>
        <v>396</v>
      </c>
      <c r="R51" s="49" t="n">
        <f aca="false">Input!U36</f>
        <v>394</v>
      </c>
      <c r="S51" s="49" t="n">
        <f aca="false">Input!V36</f>
        <v>392</v>
      </c>
      <c r="T51" s="49" t="n">
        <f aca="false">Input!W36</f>
        <v>390</v>
      </c>
      <c r="U51" s="49" t="n">
        <f aca="false">Input!X36</f>
        <v>389</v>
      </c>
      <c r="V51" s="49" t="n">
        <f aca="false">Input!Y36</f>
        <v>388</v>
      </c>
      <c r="W51" s="49" t="n">
        <f aca="false">Input!Z36</f>
        <v>387</v>
      </c>
      <c r="X51" s="49" t="n">
        <f aca="false">Input!AA36</f>
        <v>386</v>
      </c>
      <c r="Y51" s="49" t="n">
        <f aca="false">Input!AB36</f>
        <v>385</v>
      </c>
      <c r="Z51" s="49" t="n">
        <f aca="false">Input!AC36</f>
        <v>384</v>
      </c>
      <c r="AA51" s="49" t="n">
        <f aca="false">Input!AD36</f>
        <v>383</v>
      </c>
      <c r="AB51" s="49" t="n">
        <f aca="false">Input!AE36</f>
        <v>382</v>
      </c>
      <c r="AC51" s="49" t="n">
        <f aca="false">Input!AF36</f>
        <v>381</v>
      </c>
      <c r="AD51" s="49" t="n">
        <f aca="false">Input!AG36</f>
        <v>380</v>
      </c>
      <c r="AE51" s="49" t="n">
        <f aca="false">Input!AH36</f>
        <v>380</v>
      </c>
      <c r="AF51" s="49" t="n">
        <f aca="false">Input!AI36</f>
        <v>380</v>
      </c>
      <c r="AG51" s="49" t="n">
        <f aca="false">Input!AJ36</f>
        <v>380</v>
      </c>
      <c r="AH51" s="49" t="n">
        <f aca="false">Input!AK36</f>
        <v>380</v>
      </c>
      <c r="AI51" s="49" t="n">
        <f aca="false">Input!AL36</f>
        <v>380</v>
      </c>
      <c r="AJ51" s="49" t="n">
        <f aca="false">Input!AM36</f>
        <v>380</v>
      </c>
      <c r="AK51" s="49" t="n">
        <f aca="false">Input!AN36</f>
        <v>380</v>
      </c>
      <c r="AL51" s="49" t="n">
        <f aca="false">Input!AO36</f>
        <v>380</v>
      </c>
      <c r="AM51" s="49" t="n">
        <f aca="false">Input!AP36</f>
        <v>380</v>
      </c>
      <c r="AN51" s="49" t="n">
        <f aca="false">Input!AQ36</f>
        <v>380</v>
      </c>
      <c r="AO51" s="49" t="n">
        <f aca="false">Input!AR36</f>
        <v>380</v>
      </c>
      <c r="AP51" s="49" t="n">
        <f aca="false">Input!AS36</f>
        <v>380</v>
      </c>
      <c r="AQ51" s="49" t="n">
        <f aca="false">Input!AT36</f>
        <v>380</v>
      </c>
      <c r="AR51" s="49" t="n">
        <f aca="false">Input!AU36</f>
        <v>380</v>
      </c>
      <c r="AS51" s="49" t="n">
        <f aca="false">Input!AV36</f>
        <v>380</v>
      </c>
      <c r="AT51" s="49" t="n">
        <f aca="false">Input!AW36</f>
        <v>380</v>
      </c>
      <c r="AU51" s="49" t="n">
        <f aca="false">Input!AX36</f>
        <v>380</v>
      </c>
      <c r="AV51" s="49" t="n">
        <f aca="false">Input!AY36</f>
        <v>380</v>
      </c>
      <c r="AW51" s="49" t="n">
        <f aca="false">Input!AZ36</f>
        <v>380</v>
      </c>
      <c r="AX51" s="49" t="n">
        <f aca="false">Input!BA36</f>
        <v>380</v>
      </c>
      <c r="AY51" s="49" t="n">
        <f aca="false">Input!BB36</f>
        <v>380</v>
      </c>
      <c r="AZ51" s="49" t="n">
        <f aca="false">Input!BC36</f>
        <v>380</v>
      </c>
      <c r="BA51" s="49" t="n">
        <f aca="false">Input!BD36</f>
        <v>380</v>
      </c>
      <c r="BB51" s="49" t="n">
        <f aca="false">Input!BE36</f>
        <v>380</v>
      </c>
      <c r="BC51" s="49" t="n">
        <f aca="false">Input!BF36</f>
        <v>380</v>
      </c>
      <c r="BD51" s="49" t="n">
        <f aca="false">Input!BG36</f>
        <v>380</v>
      </c>
      <c r="BE51" s="49" t="n">
        <f aca="false">Input!BH36</f>
        <v>380</v>
      </c>
      <c r="BF51" s="49" t="n">
        <f aca="false">Input!BI36</f>
        <v>380</v>
      </c>
      <c r="BG51" s="49" t="n">
        <f aca="false">Input!BJ36</f>
        <v>380</v>
      </c>
      <c r="BH51" s="49" t="n">
        <f aca="false">Input!BK36</f>
        <v>380</v>
      </c>
      <c r="BI51" s="49" t="n">
        <f aca="false">Input!BL36</f>
        <v>380</v>
      </c>
      <c r="BJ51" s="49" t="n">
        <f aca="false">Input!BM36</f>
        <v>380</v>
      </c>
      <c r="BK51" s="49" t="n">
        <f aca="false">Input!BN36</f>
        <v>380</v>
      </c>
      <c r="BL51" s="49" t="n">
        <f aca="false">Input!BO36</f>
        <v>380</v>
      </c>
      <c r="BM51" s="49" t="n">
        <f aca="false">Input!BP36</f>
        <v>380</v>
      </c>
      <c r="BN51" s="49" t="n">
        <f aca="false">Input!BQ36</f>
        <v>380</v>
      </c>
      <c r="BO51" s="49" t="n">
        <f aca="false">Input!BR36</f>
        <v>380</v>
      </c>
      <c r="BP51" s="49" t="n">
        <f aca="false">Input!BS36</f>
        <v>380</v>
      </c>
      <c r="BQ51" s="49" t="n">
        <f aca="false">Input!BT36</f>
        <v>380</v>
      </c>
      <c r="BR51" s="49" t="n">
        <f aca="false">Input!BU36</f>
        <v>380</v>
      </c>
      <c r="BS51" s="49" t="n">
        <f aca="false">Input!BV36</f>
        <v>380</v>
      </c>
      <c r="BT51" s="49" t="n">
        <f aca="false">Input!BW36</f>
        <v>380</v>
      </c>
      <c r="BU51" s="49" t="n">
        <f aca="false">Input!BX36</f>
        <v>380</v>
      </c>
      <c r="BV51" s="49" t="n">
        <f aca="false">Input!BY36</f>
        <v>380</v>
      </c>
      <c r="BW51" s="49" t="n">
        <f aca="false">Input!BZ36</f>
        <v>380</v>
      </c>
      <c r="BX51" s="49" t="n">
        <f aca="false">Input!CA36</f>
        <v>380</v>
      </c>
    </row>
    <row r="52" customFormat="false" ht="15" hidden="false" customHeight="false" outlineLevel="0" collapsed="false">
      <c r="A52" s="1"/>
      <c r="B52" s="8" t="s">
        <v>417</v>
      </c>
      <c r="C52" s="8" t="s">
        <v>107</v>
      </c>
      <c r="D52" s="1"/>
      <c r="E52" s="1"/>
      <c r="F52" s="1"/>
      <c r="G52" s="49" t="n">
        <f aca="false">Input!J42</f>
        <v>214</v>
      </c>
      <c r="H52" s="49" t="n">
        <f aca="false">Input!K42</f>
        <v>165</v>
      </c>
      <c r="I52" s="49" t="n">
        <f aca="false">Input!L42</f>
        <v>145</v>
      </c>
      <c r="J52" s="49" t="n">
        <f aca="false">Input!M42</f>
        <v>135</v>
      </c>
      <c r="K52" s="49" t="n">
        <f aca="false">Input!N42</f>
        <v>135</v>
      </c>
      <c r="L52" s="49" t="n">
        <f aca="false">Input!O42</f>
        <v>135</v>
      </c>
      <c r="M52" s="49" t="n">
        <f aca="false">Input!P42</f>
        <v>135</v>
      </c>
      <c r="N52" s="49" t="n">
        <f aca="false">Input!Q42</f>
        <v>135</v>
      </c>
      <c r="O52" s="49" t="n">
        <f aca="false">Input!R42</f>
        <v>135</v>
      </c>
      <c r="P52" s="49" t="n">
        <f aca="false">Input!S42</f>
        <v>135</v>
      </c>
      <c r="Q52" s="49" t="n">
        <f aca="false">Input!T42</f>
        <v>135</v>
      </c>
      <c r="R52" s="49" t="n">
        <f aca="false">Input!U42</f>
        <v>135</v>
      </c>
      <c r="S52" s="49" t="n">
        <f aca="false">Input!V42</f>
        <v>135</v>
      </c>
      <c r="T52" s="49" t="n">
        <f aca="false">Input!W42</f>
        <v>135</v>
      </c>
      <c r="U52" s="49" t="n">
        <f aca="false">Input!X42</f>
        <v>135</v>
      </c>
      <c r="V52" s="49" t="n">
        <f aca="false">Input!Y42</f>
        <v>135</v>
      </c>
      <c r="W52" s="49" t="n">
        <f aca="false">Input!Z42</f>
        <v>135</v>
      </c>
      <c r="X52" s="49" t="n">
        <f aca="false">Input!AA42</f>
        <v>135</v>
      </c>
      <c r="Y52" s="49" t="n">
        <f aca="false">Input!AB42</f>
        <v>135</v>
      </c>
      <c r="Z52" s="49" t="n">
        <f aca="false">Input!AC42</f>
        <v>135</v>
      </c>
      <c r="AA52" s="49" t="n">
        <f aca="false">Input!AD42</f>
        <v>135</v>
      </c>
      <c r="AB52" s="49" t="n">
        <f aca="false">Input!AE42</f>
        <v>135</v>
      </c>
      <c r="AC52" s="49" t="n">
        <f aca="false">Input!AF42</f>
        <v>135</v>
      </c>
      <c r="AD52" s="49" t="n">
        <f aca="false">Input!AG42</f>
        <v>135</v>
      </c>
      <c r="AE52" s="49" t="n">
        <f aca="false">Input!AH42</f>
        <v>135</v>
      </c>
      <c r="AF52" s="49" t="n">
        <f aca="false">Input!AI42</f>
        <v>135</v>
      </c>
      <c r="AG52" s="49" t="n">
        <f aca="false">Input!AJ42</f>
        <v>135</v>
      </c>
      <c r="AH52" s="49" t="n">
        <f aca="false">Input!AK42</f>
        <v>135</v>
      </c>
      <c r="AI52" s="49" t="n">
        <f aca="false">Input!AL42</f>
        <v>135</v>
      </c>
      <c r="AJ52" s="49" t="n">
        <f aca="false">Input!AM42</f>
        <v>135</v>
      </c>
      <c r="AK52" s="49" t="n">
        <f aca="false">Input!AN42</f>
        <v>135</v>
      </c>
      <c r="AL52" s="49" t="n">
        <f aca="false">Input!AO42</f>
        <v>135</v>
      </c>
      <c r="AM52" s="49" t="n">
        <f aca="false">Input!AP42</f>
        <v>135</v>
      </c>
      <c r="AN52" s="49" t="n">
        <f aca="false">Input!AQ42</f>
        <v>135</v>
      </c>
      <c r="AO52" s="49" t="n">
        <f aca="false">Input!AR42</f>
        <v>135</v>
      </c>
      <c r="AP52" s="49" t="n">
        <f aca="false">Input!AS42</f>
        <v>135</v>
      </c>
      <c r="AQ52" s="49" t="n">
        <f aca="false">Input!AT42</f>
        <v>135</v>
      </c>
      <c r="AR52" s="49" t="n">
        <f aca="false">Input!AU42</f>
        <v>135</v>
      </c>
      <c r="AS52" s="49" t="n">
        <f aca="false">Input!AV42</f>
        <v>135</v>
      </c>
      <c r="AT52" s="49" t="n">
        <f aca="false">Input!AW42</f>
        <v>135</v>
      </c>
      <c r="AU52" s="49" t="n">
        <f aca="false">Input!AX42</f>
        <v>135</v>
      </c>
      <c r="AV52" s="49" t="n">
        <f aca="false">Input!AY42</f>
        <v>135</v>
      </c>
      <c r="AW52" s="49" t="n">
        <f aca="false">Input!AZ42</f>
        <v>135</v>
      </c>
      <c r="AX52" s="49" t="n">
        <f aca="false">Input!BA42</f>
        <v>135</v>
      </c>
      <c r="AY52" s="49" t="n">
        <f aca="false">Input!BB42</f>
        <v>135</v>
      </c>
      <c r="AZ52" s="49" t="n">
        <f aca="false">Input!BC42</f>
        <v>135</v>
      </c>
      <c r="BA52" s="49" t="n">
        <f aca="false">Input!BD42</f>
        <v>135</v>
      </c>
      <c r="BB52" s="49" t="n">
        <f aca="false">Input!BE42</f>
        <v>135</v>
      </c>
      <c r="BC52" s="49" t="n">
        <f aca="false">Input!BF42</f>
        <v>135</v>
      </c>
      <c r="BD52" s="49" t="n">
        <f aca="false">Input!BG42</f>
        <v>135</v>
      </c>
      <c r="BE52" s="49" t="n">
        <f aca="false">Input!BH42</f>
        <v>135</v>
      </c>
      <c r="BF52" s="49" t="n">
        <f aca="false">Input!BI42</f>
        <v>135</v>
      </c>
      <c r="BG52" s="49" t="n">
        <f aca="false">Input!BJ42</f>
        <v>135</v>
      </c>
      <c r="BH52" s="49" t="n">
        <f aca="false">Input!BK42</f>
        <v>135</v>
      </c>
      <c r="BI52" s="49" t="n">
        <f aca="false">Input!BL42</f>
        <v>135</v>
      </c>
      <c r="BJ52" s="49" t="n">
        <f aca="false">Input!BM42</f>
        <v>135</v>
      </c>
      <c r="BK52" s="49" t="n">
        <f aca="false">Input!BN42</f>
        <v>135</v>
      </c>
      <c r="BL52" s="49" t="n">
        <f aca="false">Input!BO42</f>
        <v>135</v>
      </c>
      <c r="BM52" s="49" t="n">
        <f aca="false">Input!BP42</f>
        <v>135</v>
      </c>
      <c r="BN52" s="49" t="n">
        <f aca="false">Input!BQ42</f>
        <v>135</v>
      </c>
      <c r="BO52" s="49" t="n">
        <f aca="false">Input!BR42</f>
        <v>135</v>
      </c>
      <c r="BP52" s="49" t="n">
        <f aca="false">Input!BS42</f>
        <v>135</v>
      </c>
      <c r="BQ52" s="49" t="n">
        <f aca="false">Input!BT42</f>
        <v>135</v>
      </c>
      <c r="BR52" s="49" t="n">
        <f aca="false">Input!BU42</f>
        <v>135</v>
      </c>
      <c r="BS52" s="49" t="n">
        <f aca="false">Input!BV42</f>
        <v>135</v>
      </c>
      <c r="BT52" s="49" t="n">
        <f aca="false">Input!BW42</f>
        <v>135</v>
      </c>
      <c r="BU52" s="49" t="n">
        <f aca="false">Input!BX42</f>
        <v>135</v>
      </c>
      <c r="BV52" s="49" t="n">
        <f aca="false">Input!BY42</f>
        <v>135</v>
      </c>
      <c r="BW52" s="49" t="n">
        <f aca="false">Input!BZ42</f>
        <v>135</v>
      </c>
      <c r="BX52" s="49" t="n">
        <f aca="false">Input!CA42</f>
        <v>135</v>
      </c>
    </row>
    <row r="53" customFormat="false" ht="15" hidden="false" customHeight="false" outlineLevel="0" collapsed="false">
      <c r="A53" s="1"/>
      <c r="B53" s="8" t="s">
        <v>418</v>
      </c>
      <c r="C53" s="8" t="s">
        <v>419</v>
      </c>
      <c r="D53" s="1"/>
      <c r="E53" s="1"/>
      <c r="F53" s="1"/>
      <c r="G53" s="49" t="n">
        <f aca="false">Input!J48*$D$16</f>
        <v>392.697</v>
      </c>
      <c r="H53" s="49" t="n">
        <f aca="false">Input!K48*$D$16</f>
        <v>429.057833333333</v>
      </c>
      <c r="I53" s="49" t="n">
        <f aca="false">Input!L48*$D$16</f>
        <v>465.418666666667</v>
      </c>
      <c r="J53" s="49" t="n">
        <f aca="false">Input!M48*$D$16</f>
        <v>501.7795</v>
      </c>
      <c r="K53" s="49" t="n">
        <f aca="false">Input!N48*$D$16</f>
        <v>523.596</v>
      </c>
      <c r="L53" s="49" t="n">
        <f aca="false">Input!O48*$D$16</f>
        <v>545.4125</v>
      </c>
      <c r="M53" s="49" t="n">
        <f aca="false">Input!P48*$D$16</f>
        <v>567.229</v>
      </c>
      <c r="N53" s="49" t="n">
        <f aca="false">Input!Q48*$D$16</f>
        <v>589.0455</v>
      </c>
      <c r="O53" s="49" t="n">
        <f aca="false">Input!R48*$D$16</f>
        <v>610.862</v>
      </c>
      <c r="P53" s="49" t="n">
        <f aca="false">Input!S48*$D$16</f>
        <v>619.5886</v>
      </c>
      <c r="Q53" s="49" t="n">
        <f aca="false">Input!T48*$D$16</f>
        <v>628.3152</v>
      </c>
      <c r="R53" s="49" t="n">
        <f aca="false">Input!U48*$D$16</f>
        <v>637.0418</v>
      </c>
      <c r="S53" s="49" t="n">
        <f aca="false">Input!V48*$D$16</f>
        <v>645.7684</v>
      </c>
      <c r="T53" s="49" t="n">
        <f aca="false">Input!W48*$D$16</f>
        <v>654.495</v>
      </c>
      <c r="U53" s="49" t="n">
        <f aca="false">Input!X48*$D$16</f>
        <v>654.495</v>
      </c>
      <c r="V53" s="49" t="n">
        <f aca="false">Input!Y48*$D$16</f>
        <v>654.495</v>
      </c>
      <c r="W53" s="49" t="n">
        <f aca="false">Input!Z48*$D$16</f>
        <v>654.495</v>
      </c>
      <c r="X53" s="49" t="n">
        <f aca="false">Input!AA48*$D$16</f>
        <v>654.495</v>
      </c>
      <c r="Y53" s="49" t="n">
        <f aca="false">Input!AB48*$D$16</f>
        <v>654.495</v>
      </c>
      <c r="Z53" s="49" t="n">
        <f aca="false">Input!AC48*$D$16</f>
        <v>654.495</v>
      </c>
      <c r="AA53" s="49" t="n">
        <f aca="false">Input!AD48*$D$16</f>
        <v>654.495</v>
      </c>
      <c r="AB53" s="49" t="n">
        <f aca="false">Input!AE48*$D$16</f>
        <v>654.495</v>
      </c>
      <c r="AC53" s="49" t="n">
        <f aca="false">Input!AF48*$D$16</f>
        <v>654.495</v>
      </c>
      <c r="AD53" s="49" t="n">
        <f aca="false">Input!AG48*$D$16</f>
        <v>654.495</v>
      </c>
      <c r="AE53" s="49" t="n">
        <f aca="false">Input!AH48*$D$16</f>
        <v>654.495</v>
      </c>
      <c r="AF53" s="49" t="n">
        <f aca="false">Input!AI48*$D$16</f>
        <v>654.495</v>
      </c>
      <c r="AG53" s="49" t="n">
        <f aca="false">Input!AJ48*$D$16</f>
        <v>654.495</v>
      </c>
      <c r="AH53" s="49" t="n">
        <f aca="false">Input!AK48*$D$16</f>
        <v>654.495</v>
      </c>
      <c r="AI53" s="49" t="n">
        <f aca="false">Input!AL48*$D$16</f>
        <v>654.495</v>
      </c>
      <c r="AJ53" s="49" t="n">
        <f aca="false">Input!AM48*$D$16</f>
        <v>654.495</v>
      </c>
      <c r="AK53" s="49" t="n">
        <f aca="false">Input!AN48*$D$16</f>
        <v>654.495</v>
      </c>
      <c r="AL53" s="49" t="n">
        <f aca="false">Input!AO48*$D$16</f>
        <v>654.495</v>
      </c>
      <c r="AM53" s="49" t="n">
        <f aca="false">Input!AP48*$D$16</f>
        <v>654.495</v>
      </c>
      <c r="AN53" s="49" t="n">
        <f aca="false">Input!AQ48*$D$16</f>
        <v>654.495</v>
      </c>
      <c r="AO53" s="49" t="n">
        <f aca="false">Input!AR48*$D$16</f>
        <v>654.495</v>
      </c>
      <c r="AP53" s="49" t="n">
        <f aca="false">Input!AS48*$D$16</f>
        <v>654.495</v>
      </c>
      <c r="AQ53" s="49" t="n">
        <f aca="false">Input!AT48*$D$16</f>
        <v>654.495</v>
      </c>
      <c r="AR53" s="49" t="n">
        <f aca="false">Input!AU48*$D$16</f>
        <v>654.495</v>
      </c>
      <c r="AS53" s="49" t="n">
        <f aca="false">Input!AV48*$D$16</f>
        <v>654.495</v>
      </c>
      <c r="AT53" s="49" t="n">
        <f aca="false">Input!AW48*$D$16</f>
        <v>654.495</v>
      </c>
      <c r="AU53" s="49" t="n">
        <f aca="false">Input!AX48*$D$16</f>
        <v>654.495</v>
      </c>
      <c r="AV53" s="49" t="n">
        <f aca="false">Input!AY48*$D$16</f>
        <v>654.495</v>
      </c>
      <c r="AW53" s="49" t="n">
        <f aca="false">Input!AZ48*$D$16</f>
        <v>654.495</v>
      </c>
      <c r="AX53" s="49" t="n">
        <f aca="false">Input!BA48*$D$16</f>
        <v>654.495</v>
      </c>
      <c r="AY53" s="49" t="n">
        <f aca="false">Input!BB48*$D$16</f>
        <v>654.495</v>
      </c>
      <c r="AZ53" s="49" t="n">
        <f aca="false">Input!BC48*$D$16</f>
        <v>654.495</v>
      </c>
      <c r="BA53" s="49" t="n">
        <f aca="false">Input!BD48*$D$16</f>
        <v>654.495</v>
      </c>
      <c r="BB53" s="49" t="n">
        <f aca="false">Input!BE48*$D$16</f>
        <v>654.495</v>
      </c>
      <c r="BC53" s="49" t="n">
        <f aca="false">Input!BF48*$D$16</f>
        <v>654.495</v>
      </c>
      <c r="BD53" s="49" t="n">
        <f aca="false">Input!BG48*$D$16</f>
        <v>654.495</v>
      </c>
      <c r="BE53" s="49" t="n">
        <f aca="false">Input!BH48*$D$16</f>
        <v>654.495</v>
      </c>
      <c r="BF53" s="49" t="n">
        <f aca="false">Input!BI48*$D$16</f>
        <v>654.495</v>
      </c>
      <c r="BG53" s="49" t="n">
        <f aca="false">Input!BJ48*$D$16</f>
        <v>654.495</v>
      </c>
      <c r="BH53" s="49" t="n">
        <f aca="false">Input!BK48*$D$16</f>
        <v>654.495</v>
      </c>
      <c r="BI53" s="49" t="n">
        <f aca="false">Input!BL48*$D$16</f>
        <v>654.495</v>
      </c>
      <c r="BJ53" s="49" t="n">
        <f aca="false">Input!BM48*$D$16</f>
        <v>654.495</v>
      </c>
      <c r="BK53" s="49" t="n">
        <f aca="false">Input!BN48*$D$16</f>
        <v>654.495</v>
      </c>
      <c r="BL53" s="49" t="n">
        <f aca="false">Input!BO48*$D$16</f>
        <v>654.495</v>
      </c>
      <c r="BM53" s="49" t="n">
        <f aca="false">Input!BP48*$D$16</f>
        <v>654.495</v>
      </c>
      <c r="BN53" s="49" t="n">
        <f aca="false">Input!BQ48*$D$16</f>
        <v>654.495</v>
      </c>
      <c r="BO53" s="49" t="n">
        <f aca="false">Input!BR48*$D$16</f>
        <v>654.495</v>
      </c>
      <c r="BP53" s="49" t="n">
        <f aca="false">Input!BS48*$D$16</f>
        <v>654.495</v>
      </c>
      <c r="BQ53" s="49" t="n">
        <f aca="false">Input!BT48*$D$16</f>
        <v>654.495</v>
      </c>
      <c r="BR53" s="49" t="n">
        <f aca="false">Input!BU48*$D$16</f>
        <v>654.495</v>
      </c>
      <c r="BS53" s="49" t="n">
        <f aca="false">Input!BV48*$D$16</f>
        <v>654.495</v>
      </c>
      <c r="BT53" s="49" t="n">
        <f aca="false">Input!BW48*$D$16</f>
        <v>654.495</v>
      </c>
      <c r="BU53" s="49" t="n">
        <f aca="false">Input!BX48*$D$16</f>
        <v>654.495</v>
      </c>
      <c r="BV53" s="49" t="n">
        <f aca="false">Input!BY48*$D$16</f>
        <v>654.495</v>
      </c>
      <c r="BW53" s="49" t="n">
        <f aca="false">Input!BZ48*$D$16</f>
        <v>654.495</v>
      </c>
      <c r="BX53" s="49" t="n">
        <f aca="false">Input!CA48*$D$16</f>
        <v>654.495</v>
      </c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</row>
    <row r="55" customFormat="false" ht="15" hidden="false" customHeight="false" outlineLevel="0" collapsed="false">
      <c r="A55" s="1"/>
      <c r="B55" s="13" t="s">
        <v>321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</row>
    <row r="56" customFormat="false" ht="15" hidden="false" customHeight="false" outlineLevel="0" collapsed="false">
      <c r="A56" s="1"/>
      <c r="B56" s="8" t="s">
        <v>322</v>
      </c>
      <c r="C56" s="8" t="s">
        <v>66</v>
      </c>
      <c r="D56" s="1"/>
      <c r="E56" s="1"/>
      <c r="F56" s="1"/>
      <c r="G56" s="43" t="n">
        <f aca="false">IF(G38=1,IFERROR(INDEX(Twin!$G$51:$BN$51,1,G39),0),0)</f>
        <v>0</v>
      </c>
      <c r="H56" s="43" t="n">
        <f aca="false">IF(H38=1,IFERROR(INDEX(Twin!$G$51:$BN$51,1,H39),0),0)</f>
        <v>0</v>
      </c>
      <c r="I56" s="43" t="n">
        <f aca="false">IF(I38=1,IFERROR(INDEX(Twin!$G$51:$BN$51,1,I39),0),0)</f>
        <v>0</v>
      </c>
      <c r="J56" s="43" t="n">
        <f aca="false">IF(J38=1,IFERROR(INDEX(Twin!$G$51:$BN$51,1,J39),0),0)</f>
        <v>0</v>
      </c>
      <c r="K56" s="43" t="n">
        <f aca="false">IF(K38=1,IFERROR(INDEX(Twin!$G$51:$BN$51,1,K39),0),0)</f>
        <v>0.32748801369863</v>
      </c>
      <c r="L56" s="43" t="n">
        <f aca="false">IF(L38=1,IFERROR(INDEX(Twin!$G$51:$BN$51,1,L39),0),0)</f>
        <v>0.309220319634703</v>
      </c>
      <c r="M56" s="43" t="n">
        <f aca="false">IF(M38=1,IFERROR(INDEX(Twin!$G$51:$BN$51,1,M39),0),0)</f>
        <v>0.281385844748859</v>
      </c>
      <c r="N56" s="43" t="n">
        <f aca="false">IF(N38=1,IFERROR(INDEX(Twin!$G$51:$BN$51,1,N39),0),0)</f>
        <v>0.251545091324201</v>
      </c>
      <c r="O56" s="43" t="n">
        <f aca="false">IF(O38=1,IFERROR(INDEX(Twin!$G$51:$BN$51,1,O39),0),0)</f>
        <v>0.217058219178082</v>
      </c>
      <c r="P56" s="43" t="n">
        <f aca="false">IF(P38=1,IFERROR(INDEX(Twin!$G$51:$BN$51,1,P39),0),0)</f>
        <v>0.202465182648402</v>
      </c>
      <c r="Q56" s="43" t="n">
        <f aca="false">IF(Q38=1,IFERROR(INDEX(Twin!$G$51:$BN$51,1,Q39),0),0)</f>
        <v>0.19158904109589</v>
      </c>
      <c r="R56" s="43" t="n">
        <f aca="false">IF(R38=1,IFERROR(INDEX(Twin!$G$51:$BN$51,1,R39),0),0)</f>
        <v>0.178073059360731</v>
      </c>
      <c r="S56" s="43" t="n">
        <f aca="false">IF(S38=1,IFERROR(INDEX(Twin!$G$51:$BN$51,1,S39),0),0)</f>
        <v>0.167408105022831</v>
      </c>
      <c r="T56" s="43" t="n">
        <f aca="false">IF(T38=1,IFERROR(INDEX(Twin!$G$51:$BN$51,1,T39),0),0)</f>
        <v>0.154884703196347</v>
      </c>
      <c r="U56" s="43" t="n">
        <f aca="false">IF(U38=1,IFERROR(INDEX(Twin!$G$51:$BN$51,1,U39),0),0)</f>
        <v>0.152392694063927</v>
      </c>
      <c r="V56" s="43" t="n">
        <f aca="false">IF(V38=1,IFERROR(INDEX(Twin!$G$51:$BN$51,1,V39),0),0)</f>
        <v>0.15154794520548</v>
      </c>
      <c r="W56" s="43" t="n">
        <f aca="false">IF(W38=1,IFERROR(INDEX(Twin!$G$51:$BN$51,1,W39),0),0)</f>
        <v>0.14996404109589</v>
      </c>
      <c r="X56" s="43" t="n">
        <f aca="false">IF(X38=1,IFERROR(INDEX(Twin!$G$51:$BN$51,1,X39),0),0)</f>
        <v>0.148</v>
      </c>
      <c r="Y56" s="43" t="n">
        <f aca="false">IF(Y38=1,IFERROR(INDEX(Twin!$G$51:$BN$51,1,Y39),0),0)</f>
        <v>0.144114155251142</v>
      </c>
      <c r="Z56" s="43" t="n">
        <f aca="false">IF(Z38=1,IFERROR(INDEX(Twin!$G$51:$BN$51,1,Z39),0),0)</f>
        <v>0.143586187214612</v>
      </c>
      <c r="AA56" s="43" t="n">
        <f aca="false">IF(AA38=1,IFERROR(INDEX(Twin!$G$51:$BN$51,1,AA39),0),0)</f>
        <v>0.142910388127854</v>
      </c>
      <c r="AB56" s="43" t="n">
        <f aca="false">IF(AB38=1,IFERROR(INDEX(Twin!$G$51:$BN$51,1,AB39),0),0)</f>
        <v>0.141263127853881</v>
      </c>
      <c r="AC56" s="43" t="n">
        <f aca="false">IF(AC38=1,IFERROR(INDEX(Twin!$G$51:$BN$51,1,AC39),0),0)</f>
        <v>0.140671803652968</v>
      </c>
      <c r="AD56" s="43" t="n">
        <f aca="false">IF(AD38=1,IFERROR(INDEX(Twin!$G$51:$BN$51,1,AD39),0),0)</f>
        <v>0.139573630136986</v>
      </c>
      <c r="AE56" s="43" t="n">
        <f aca="false">IF(AE38=1,IFERROR(INDEX(Twin!$G$51:$BN$51,1,AE39),0),0)</f>
        <v>0.13946803652968</v>
      </c>
      <c r="AF56" s="43" t="n">
        <f aca="false">IF(AF38=1,IFERROR(INDEX(Twin!$G$51:$BN$51,1,AF39),0),0)</f>
        <v>0.139615867579909</v>
      </c>
      <c r="AG56" s="43" t="n">
        <f aca="false">IF(AG38=1,IFERROR(INDEX(Twin!$G$51:$BN$51,1,AG39),0),0)</f>
        <v>0.139658105022831</v>
      </c>
      <c r="AH56" s="43" t="n">
        <f aca="false">IF(AH38=1,IFERROR(INDEX(Twin!$G$51:$BN$51,1,AH39),0),0)</f>
        <v>0.140650684931507</v>
      </c>
      <c r="AI56" s="43" t="n">
        <f aca="false">IF(AI38=1,IFERROR(INDEX(Twin!$G$51:$BN$51,1,AI39),0),0)</f>
        <v>0.140967465753425</v>
      </c>
      <c r="AJ56" s="43" t="n">
        <f aca="false">IF(AJ38=1,IFERROR(INDEX(Twin!$G$51:$BN$51,1,AJ39),0),0)</f>
        <v>0.141073059360731</v>
      </c>
      <c r="AK56" s="43" t="n">
        <f aca="false">IF(AK38=1,IFERROR(INDEX(Twin!$G$51:$BN$51,1,AK39),0),0)</f>
        <v>0.142973744292237</v>
      </c>
      <c r="AL56" s="43" t="n">
        <f aca="false">IF(AL38=1,IFERROR(INDEX(Twin!$G$51:$BN$51,1,AL39),0),0)</f>
        <v>0.145719178082192</v>
      </c>
      <c r="AM56" s="43" t="n">
        <f aca="false">IF(AM38=1,IFERROR(INDEX(Twin!$G$51:$BN$51,1,AM39),0),0)</f>
        <v>0.145930365296804</v>
      </c>
      <c r="AN56" s="43" t="n">
        <f aca="false">IF(AN38=1,IFERROR(INDEX(Twin!$G$51:$BN$51,1,AN39),0),0)</f>
        <v>0.14639497716895</v>
      </c>
      <c r="AO56" s="43" t="n">
        <f aca="false">IF(AO38=1,IFERROR(INDEX(Twin!$G$51:$BN$51,1,AO39),0),0)</f>
        <v>0</v>
      </c>
      <c r="AP56" s="43" t="n">
        <f aca="false">IF(AP38=1,IFERROR(INDEX(Twin!$G$51:$BN$51,1,AP39),0),0)</f>
        <v>0</v>
      </c>
      <c r="AQ56" s="43" t="n">
        <f aca="false">IF(AQ38=1,IFERROR(INDEX(Twin!$G$51:$BN$51,1,AQ39),0),0)</f>
        <v>0</v>
      </c>
      <c r="AR56" s="43" t="n">
        <f aca="false">IF(AR38=1,IFERROR(INDEX(Twin!$G$51:$BN$51,1,AR39),0),0)</f>
        <v>0</v>
      </c>
      <c r="AS56" s="43" t="n">
        <f aca="false">IF(AS38=1,IFERROR(INDEX(Twin!$G$51:$BN$51,1,AS39),0),0)</f>
        <v>0</v>
      </c>
      <c r="AT56" s="43" t="n">
        <f aca="false">IF(AT38=1,IFERROR(INDEX(Twin!$G$51:$BN$51,1,AT39),0),0)</f>
        <v>0</v>
      </c>
      <c r="AU56" s="43" t="n">
        <f aca="false">IF(AU38=1,IFERROR(INDEX(Twin!$G$51:$BN$51,1,AU39),0),0)</f>
        <v>0</v>
      </c>
      <c r="AV56" s="43" t="n">
        <f aca="false">IF(AV38=1,IFERROR(INDEX(Twin!$G$51:$BN$51,1,AV39),0),0)</f>
        <v>0</v>
      </c>
      <c r="AW56" s="43" t="n">
        <f aca="false">IF(AW38=1,IFERROR(INDEX(Twin!$G$51:$BN$51,1,AW39),0),0)</f>
        <v>0</v>
      </c>
      <c r="AX56" s="43" t="n">
        <f aca="false">IF(AX38=1,IFERROR(INDEX(Twin!$G$51:$BN$51,1,AX39),0),0)</f>
        <v>0</v>
      </c>
      <c r="AY56" s="43" t="n">
        <f aca="false">IF(AY38=1,IFERROR(INDEX(Twin!$G$51:$BN$51,1,AY39),0),0)</f>
        <v>0</v>
      </c>
      <c r="AZ56" s="43" t="n">
        <f aca="false">IF(AZ38=1,IFERROR(INDEX(Twin!$G$51:$BN$51,1,AZ39),0),0)</f>
        <v>0</v>
      </c>
      <c r="BA56" s="43" t="n">
        <f aca="false">IF(BA38=1,IFERROR(INDEX(Twin!$G$51:$BN$51,1,BA39),0),0)</f>
        <v>0</v>
      </c>
      <c r="BB56" s="43" t="n">
        <f aca="false">IF(BB38=1,IFERROR(INDEX(Twin!$G$51:$BN$51,1,BB39),0),0)</f>
        <v>0</v>
      </c>
      <c r="BC56" s="43" t="n">
        <f aca="false">IF(BC38=1,IFERROR(INDEX(Twin!$G$51:$BN$51,1,BC39),0),0)</f>
        <v>0</v>
      </c>
      <c r="BD56" s="43" t="n">
        <f aca="false">IF(BD38=1,IFERROR(INDEX(Twin!$G$51:$BN$51,1,BD39),0),0)</f>
        <v>0</v>
      </c>
      <c r="BE56" s="43" t="n">
        <f aca="false">IF(BE38=1,IFERROR(INDEX(Twin!$G$51:$BN$51,1,BE39),0),0)</f>
        <v>0</v>
      </c>
      <c r="BF56" s="43" t="n">
        <f aca="false">IF(BF38=1,IFERROR(INDEX(Twin!$G$51:$BN$51,1,BF39),0),0)</f>
        <v>0</v>
      </c>
      <c r="BG56" s="43" t="n">
        <f aca="false">IF(BG38=1,IFERROR(INDEX(Twin!$G$51:$BN$51,1,BG39),0),0)</f>
        <v>0</v>
      </c>
      <c r="BH56" s="43" t="n">
        <f aca="false">IF(BH38=1,IFERROR(INDEX(Twin!$G$51:$BN$51,1,BH39),0),0)</f>
        <v>0</v>
      </c>
      <c r="BI56" s="43" t="n">
        <f aca="false">IF(BI38=1,IFERROR(INDEX(Twin!$G$51:$BN$51,1,BI39),0),0)</f>
        <v>0</v>
      </c>
      <c r="BJ56" s="43" t="n">
        <f aca="false">IF(BJ38=1,IFERROR(INDEX(Twin!$G$51:$BN$51,1,BJ39),0),0)</f>
        <v>0</v>
      </c>
      <c r="BK56" s="43" t="n">
        <f aca="false">IF(BK38=1,IFERROR(INDEX(Twin!$G$51:$BN$51,1,BK39),0),0)</f>
        <v>0</v>
      </c>
      <c r="BL56" s="43" t="n">
        <f aca="false">IF(BL38=1,IFERROR(INDEX(Twin!$G$51:$BN$51,1,BL39),0),0)</f>
        <v>0</v>
      </c>
      <c r="BM56" s="43" t="n">
        <f aca="false">IF(BM38=1,IFERROR(INDEX(Twin!$G$51:$BN$51,1,BM39),0),0)</f>
        <v>0</v>
      </c>
      <c r="BN56" s="43" t="n">
        <f aca="false">IF(BN38=1,IFERROR(INDEX(Twin!$G$51:$BN$51,1,BN39),0),0)</f>
        <v>0</v>
      </c>
      <c r="BO56" s="43" t="n">
        <f aca="false">IF(BO38=1,IFERROR(INDEX(Twin!$G$51:$BN$51,1,BO39),0),0)</f>
        <v>0</v>
      </c>
      <c r="BP56" s="43" t="n">
        <f aca="false">IF(BP38=1,IFERROR(INDEX(Twin!$G$51:$BN$51,1,BP39),0),0)</f>
        <v>0</v>
      </c>
      <c r="BQ56" s="43" t="n">
        <f aca="false">IF(BQ38=1,IFERROR(INDEX(Twin!$G$51:$BN$51,1,BQ39),0),0)</f>
        <v>0</v>
      </c>
      <c r="BR56" s="43" t="n">
        <f aca="false">IF(BR38=1,IFERROR(INDEX(Twin!$G$51:$BN$51,1,BR39),0),0)</f>
        <v>0</v>
      </c>
      <c r="BS56" s="43" t="n">
        <f aca="false">IF(BS38=1,IFERROR(INDEX(Twin!$G$51:$BN$51,1,BS39),0),0)</f>
        <v>0</v>
      </c>
      <c r="BT56" s="43" t="n">
        <f aca="false">IF(BT38=1,IFERROR(INDEX(Twin!$G$51:$BN$51,1,BT39),0),0)</f>
        <v>0</v>
      </c>
      <c r="BU56" s="43" t="n">
        <f aca="false">IF(BU38=1,IFERROR(INDEX(Twin!$G$51:$BN$51,1,BU39),0),0)</f>
        <v>0</v>
      </c>
      <c r="BV56" s="43" t="n">
        <f aca="false">IF(BV38=1,IFERROR(INDEX(Twin!$G$51:$BN$51,1,BV39),0),0)</f>
        <v>0</v>
      </c>
      <c r="BW56" s="43" t="n">
        <f aca="false">IF(BW38=1,IFERROR(INDEX(Twin!$G$51:$BN$51,1,BW39),0),0)</f>
        <v>0</v>
      </c>
      <c r="BX56" s="43" t="n">
        <f aca="false">IF(BX38=1,IFERROR(INDEX(Twin!$G$51:$BN$51,1,BX39),0),0)</f>
        <v>0</v>
      </c>
    </row>
    <row r="57" customFormat="false" ht="15" hidden="false" customHeight="false" outlineLevel="0" collapsed="false">
      <c r="A57" s="1"/>
      <c r="B57" s="8" t="s">
        <v>406</v>
      </c>
      <c r="C57" s="8" t="s">
        <v>324</v>
      </c>
      <c r="D57" s="44" t="n">
        <f aca="false">SUM(G57:BX57)</f>
        <v>13554154.5</v>
      </c>
      <c r="E57" s="1"/>
      <c r="F57" s="1"/>
      <c r="G57" s="48" t="n">
        <f aca="false">G56*$D$7*8760</f>
        <v>0</v>
      </c>
      <c r="H57" s="48" t="n">
        <f aca="false">H56*$D$7*8760</f>
        <v>0</v>
      </c>
      <c r="I57" s="48" t="n">
        <f aca="false">I56*$D$7*8760</f>
        <v>0</v>
      </c>
      <c r="J57" s="48" t="n">
        <f aca="false">J56*$D$7*8760</f>
        <v>0</v>
      </c>
      <c r="K57" s="48" t="n">
        <f aca="false">K56*$D$7*8760</f>
        <v>860638.5</v>
      </c>
      <c r="L57" s="48" t="n">
        <f aca="false">L56*$D$7*8760</f>
        <v>812631</v>
      </c>
      <c r="M57" s="48" t="n">
        <f aca="false">M56*$D$7*8760</f>
        <v>739482</v>
      </c>
      <c r="N57" s="48" t="n">
        <f aca="false">N56*$D$7*8760</f>
        <v>661060.5</v>
      </c>
      <c r="O57" s="48" t="n">
        <f aca="false">O56*$D$7*8760</f>
        <v>570429</v>
      </c>
      <c r="P57" s="48" t="n">
        <f aca="false">P56*$D$7*8760</f>
        <v>532078.5</v>
      </c>
      <c r="Q57" s="48" t="n">
        <f aca="false">Q56*$D$7*8760</f>
        <v>503496</v>
      </c>
      <c r="R57" s="48" t="n">
        <f aca="false">R56*$D$7*8760</f>
        <v>467976</v>
      </c>
      <c r="S57" s="48" t="n">
        <f aca="false">S56*$D$7*8760</f>
        <v>439948.5</v>
      </c>
      <c r="T57" s="48" t="n">
        <f aca="false">T56*$D$7*8760</f>
        <v>407037</v>
      </c>
      <c r="U57" s="48" t="n">
        <f aca="false">U56*$D$7*8760</f>
        <v>400488</v>
      </c>
      <c r="V57" s="48" t="n">
        <f aca="false">V56*$D$7*8760</f>
        <v>398268</v>
      </c>
      <c r="W57" s="48" t="n">
        <f aca="false">W56*$D$7*8760</f>
        <v>394105.5</v>
      </c>
      <c r="X57" s="48" t="n">
        <f aca="false">X56*$D$7*8760</f>
        <v>388944</v>
      </c>
      <c r="Y57" s="48" t="n">
        <f aca="false">Y56*$D$7*8760</f>
        <v>378732</v>
      </c>
      <c r="Z57" s="48" t="n">
        <f aca="false">Z56*$D$7*8760</f>
        <v>377344.5</v>
      </c>
      <c r="AA57" s="48" t="n">
        <f aca="false">AA56*$D$7*8760</f>
        <v>375568.5</v>
      </c>
      <c r="AB57" s="48" t="n">
        <f aca="false">AB56*$D$7*8760</f>
        <v>371239.5</v>
      </c>
      <c r="AC57" s="48" t="n">
        <f aca="false">AC56*$D$7*8760</f>
        <v>369685.5</v>
      </c>
      <c r="AD57" s="48" t="n">
        <f aca="false">AD56*$D$7*8760</f>
        <v>366799.5</v>
      </c>
      <c r="AE57" s="48" t="n">
        <f aca="false">AE56*$D$7*8760</f>
        <v>366522</v>
      </c>
      <c r="AF57" s="48" t="n">
        <f aca="false">AF56*$D$7*8760</f>
        <v>366910.5</v>
      </c>
      <c r="AG57" s="48" t="n">
        <f aca="false">AG56*$D$7*8760</f>
        <v>367021.5</v>
      </c>
      <c r="AH57" s="48" t="n">
        <f aca="false">AH56*$D$7*8760</f>
        <v>369630</v>
      </c>
      <c r="AI57" s="48" t="n">
        <f aca="false">AI56*$D$7*8760</f>
        <v>370462.5</v>
      </c>
      <c r="AJ57" s="48" t="n">
        <f aca="false">AJ56*$D$7*8760</f>
        <v>370740</v>
      </c>
      <c r="AK57" s="48" t="n">
        <f aca="false">AK56*$D$7*8760</f>
        <v>375735</v>
      </c>
      <c r="AL57" s="48" t="n">
        <f aca="false">AL56*$D$7*8760</f>
        <v>382950</v>
      </c>
      <c r="AM57" s="48" t="n">
        <f aca="false">AM56*$D$7*8760</f>
        <v>383505</v>
      </c>
      <c r="AN57" s="48" t="n">
        <f aca="false">AN56*$D$7*8760</f>
        <v>384726</v>
      </c>
      <c r="AO57" s="48" t="n">
        <f aca="false">AO56*$D$7*8760</f>
        <v>0</v>
      </c>
      <c r="AP57" s="48" t="n">
        <f aca="false">AP56*$D$7*8760</f>
        <v>0</v>
      </c>
      <c r="AQ57" s="48" t="n">
        <f aca="false">AQ56*$D$7*8760</f>
        <v>0</v>
      </c>
      <c r="AR57" s="48" t="n">
        <f aca="false">AR56*$D$7*8760</f>
        <v>0</v>
      </c>
      <c r="AS57" s="48" t="n">
        <f aca="false">AS56*$D$7*8760</f>
        <v>0</v>
      </c>
      <c r="AT57" s="48" t="n">
        <f aca="false">AT56*$D$7*8760</f>
        <v>0</v>
      </c>
      <c r="AU57" s="48" t="n">
        <f aca="false">AU56*$D$7*8760</f>
        <v>0</v>
      </c>
      <c r="AV57" s="48" t="n">
        <f aca="false">AV56*$D$7*8760</f>
        <v>0</v>
      </c>
      <c r="AW57" s="48" t="n">
        <f aca="false">AW56*$D$7*8760</f>
        <v>0</v>
      </c>
      <c r="AX57" s="48" t="n">
        <f aca="false">AX56*$D$7*8760</f>
        <v>0</v>
      </c>
      <c r="AY57" s="48" t="n">
        <f aca="false">AY56*$D$7*8760</f>
        <v>0</v>
      </c>
      <c r="AZ57" s="48" t="n">
        <f aca="false">AZ56*$D$7*8760</f>
        <v>0</v>
      </c>
      <c r="BA57" s="48" t="n">
        <f aca="false">BA56*$D$7*8760</f>
        <v>0</v>
      </c>
      <c r="BB57" s="48" t="n">
        <f aca="false">BB56*$D$7*8760</f>
        <v>0</v>
      </c>
      <c r="BC57" s="48" t="n">
        <f aca="false">BC56*$D$7*8760</f>
        <v>0</v>
      </c>
      <c r="BD57" s="48" t="n">
        <f aca="false">BD56*$D$7*8760</f>
        <v>0</v>
      </c>
      <c r="BE57" s="48" t="n">
        <f aca="false">BE56*$D$7*8760</f>
        <v>0</v>
      </c>
      <c r="BF57" s="48" t="n">
        <f aca="false">BF56*$D$7*8760</f>
        <v>0</v>
      </c>
      <c r="BG57" s="48" t="n">
        <f aca="false">BG56*$D$7*8760</f>
        <v>0</v>
      </c>
      <c r="BH57" s="48" t="n">
        <f aca="false">BH56*$D$7*8760</f>
        <v>0</v>
      </c>
      <c r="BI57" s="48" t="n">
        <f aca="false">BI56*$D$7*8760</f>
        <v>0</v>
      </c>
      <c r="BJ57" s="48" t="n">
        <f aca="false">BJ56*$D$7*8760</f>
        <v>0</v>
      </c>
      <c r="BK57" s="48" t="n">
        <f aca="false">BK56*$D$7*8760</f>
        <v>0</v>
      </c>
      <c r="BL57" s="48" t="n">
        <f aca="false">BL56*$D$7*8760</f>
        <v>0</v>
      </c>
      <c r="BM57" s="48" t="n">
        <f aca="false">BM56*$D$7*8760</f>
        <v>0</v>
      </c>
      <c r="BN57" s="48" t="n">
        <f aca="false">BN56*$D$7*8760</f>
        <v>0</v>
      </c>
      <c r="BO57" s="48" t="n">
        <f aca="false">BO56*$D$7*8760</f>
        <v>0</v>
      </c>
      <c r="BP57" s="48" t="n">
        <f aca="false">BP56*$D$7*8760</f>
        <v>0</v>
      </c>
      <c r="BQ57" s="48" t="n">
        <f aca="false">BQ56*$D$7*8760</f>
        <v>0</v>
      </c>
      <c r="BR57" s="48" t="n">
        <f aca="false">BR56*$D$7*8760</f>
        <v>0</v>
      </c>
      <c r="BS57" s="48" t="n">
        <f aca="false">BS56*$D$7*8760</f>
        <v>0</v>
      </c>
      <c r="BT57" s="48" t="n">
        <f aca="false">BT56*$D$7*8760</f>
        <v>0</v>
      </c>
      <c r="BU57" s="48" t="n">
        <f aca="false">BU56*$D$7*8760</f>
        <v>0</v>
      </c>
      <c r="BV57" s="48" t="n">
        <f aca="false">BV56*$D$7*8760</f>
        <v>0</v>
      </c>
      <c r="BW57" s="48" t="n">
        <f aca="false">BW56*$D$7*8760</f>
        <v>0</v>
      </c>
      <c r="BX57" s="48" t="n">
        <f aca="false">BX56*$D$7*8760</f>
        <v>0</v>
      </c>
    </row>
    <row r="58" customFormat="false" ht="15" hidden="false" customHeight="false" outlineLevel="0" collapsed="false">
      <c r="A58" s="1"/>
      <c r="B58" s="8" t="s">
        <v>325</v>
      </c>
      <c r="C58" s="8" t="s">
        <v>76</v>
      </c>
      <c r="D58" s="1"/>
      <c r="E58" s="1"/>
      <c r="F58" s="1"/>
      <c r="G58" s="49" t="n">
        <f aca="false">IF(G38=1,G51*IFERROR(INDEX(Twin!$G$55:$BN$55,1,G39),0),0)</f>
        <v>0</v>
      </c>
      <c r="H58" s="49" t="n">
        <f aca="false">IF(H38=1,H51*IFERROR(INDEX(Twin!$G$55:$BN$55,1,H39),0),0)</f>
        <v>0</v>
      </c>
      <c r="I58" s="49" t="n">
        <f aca="false">IF(I38=1,I51*IFERROR(INDEX(Twin!$G$55:$BN$55,1,I39),0),0)</f>
        <v>0</v>
      </c>
      <c r="J58" s="49" t="n">
        <f aca="false">IF(J38=1,J51*IFERROR(INDEX(Twin!$G$55:$BN$55,1,J39),0),0)</f>
        <v>0</v>
      </c>
      <c r="K58" s="49" t="n">
        <f aca="false">IF(K38=1,K51*IFERROR(INDEX(Twin!$G$55:$BN$55,1,K39),0),0)</f>
        <v>576.813173744327</v>
      </c>
      <c r="L58" s="49" t="n">
        <f aca="false">IF(L38=1,L51*IFERROR(INDEX(Twin!$G$55:$BN$55,1,L39),0),0)</f>
        <v>581.83230698914</v>
      </c>
      <c r="M58" s="49" t="n">
        <f aca="false">IF(M38=1,M51*IFERROR(INDEX(Twin!$G$55:$BN$55,1,M39),0),0)</f>
        <v>592.652779829533</v>
      </c>
      <c r="N58" s="49" t="n">
        <f aca="false">IF(N38=1,N51*IFERROR(INDEX(Twin!$G$55:$BN$55,1,N39),0),0)</f>
        <v>605.99402966773</v>
      </c>
      <c r="O58" s="49" t="n">
        <f aca="false">IF(O38=1,O51*IFERROR(INDEX(Twin!$G$55:$BN$55,1,O39),0),0)</f>
        <v>622.646564420899</v>
      </c>
      <c r="P58" s="49" t="n">
        <f aca="false">IF(P38=1,P51*IFERROR(INDEX(Twin!$G$55:$BN$55,1,P39),0),0)</f>
        <v>629.80666639837</v>
      </c>
      <c r="Q58" s="49" t="n">
        <f aca="false">IF(Q38=1,Q51*IFERROR(INDEX(Twin!$G$55:$BN$55,1,Q39),0),0)</f>
        <v>635.104537911724</v>
      </c>
      <c r="R58" s="49" t="n">
        <f aca="false">IF(R38=1,R51*IFERROR(INDEX(Twin!$G$55:$BN$55,1,R39),0),0)</f>
        <v>643.636416558069</v>
      </c>
      <c r="S58" s="49" t="n">
        <f aca="false">IF(S38=1,S51*IFERROR(INDEX(Twin!$G$55:$BN$55,1,S39),0),0)</f>
        <v>651.361295128048</v>
      </c>
      <c r="T58" s="49" t="n">
        <f aca="false">IF(T38=1,T51*IFERROR(INDEX(Twin!$G$55:$BN$55,1,T39),0),0)</f>
        <v>660.214111621599</v>
      </c>
      <c r="U58" s="49" t="n">
        <f aca="false">IF(U38=1,U51*IFERROR(INDEX(Twin!$G$55:$BN$55,1,U39),0),0)</f>
        <v>660.594982380909</v>
      </c>
      <c r="V58" s="49" t="n">
        <f aca="false">IF(V38=1,V51*IFERROR(INDEX(Twin!$G$55:$BN$55,1,V39),0),0)</f>
        <v>660.080340867581</v>
      </c>
      <c r="W58" s="49" t="n">
        <f aca="false">IF(W38=1,W51*IFERROR(INDEX(Twin!$G$55:$BN$55,1,W39),0),0)</f>
        <v>660.380936068908</v>
      </c>
      <c r="X58" s="49" t="n">
        <f aca="false">IF(X38=1,X51*IFERROR(INDEX(Twin!$G$55:$BN$55,1,X39),0),0)</f>
        <v>660.996980858503</v>
      </c>
      <c r="Y58" s="49" t="n">
        <f aca="false">IF(Y38=1,Y51*IFERROR(INDEX(Twin!$G$55:$BN$55,1,Y39),0),0)</f>
        <v>663.502530490603</v>
      </c>
      <c r="Z58" s="49" t="n">
        <f aca="false">IF(Z38=1,Z51*IFERROR(INDEX(Twin!$G$55:$BN$55,1,Z39),0),0)</f>
        <v>662.629737090001</v>
      </c>
      <c r="AA58" s="49" t="n">
        <f aca="false">IF(AA38=1,AA51*IFERROR(INDEX(Twin!$G$55:$BN$55,1,AA39),0),0)</f>
        <v>661.520973028157</v>
      </c>
      <c r="AB58" s="49" t="n">
        <f aca="false">IF(AB38=1,AB51*IFERROR(INDEX(Twin!$G$55:$BN$55,1,AB39),0),0)</f>
        <v>661.375029655795</v>
      </c>
      <c r="AC58" s="49" t="n">
        <f aca="false">IF(AC38=1,AC51*IFERROR(INDEX(Twin!$G$55:$BN$55,1,AC39),0),0)</f>
        <v>660.605159775956</v>
      </c>
      <c r="AD58" s="49" t="n">
        <f aca="false">IF(AD38=1,AD51*IFERROR(INDEX(Twin!$G$55:$BN$55,1,AD39),0),0)</f>
        <v>660.550139585095</v>
      </c>
      <c r="AE58" s="49" t="n">
        <f aca="false">IF(AE38=1,AE51*IFERROR(INDEX(Twin!$G$55:$BN$55,1,AE39),0),0)</f>
        <v>660.928579629689</v>
      </c>
      <c r="AF58" s="49" t="n">
        <f aca="false">IF(AF38=1,AF51*IFERROR(INDEX(Twin!$G$55:$BN$55,1,AF39),0),0)</f>
        <v>661.028791362897</v>
      </c>
      <c r="AG58" s="49" t="n">
        <f aca="false">IF(AG38=1,AG51*IFERROR(INDEX(Twin!$G$55:$BN$55,1,AG39),0),0)</f>
        <v>661.253988247595</v>
      </c>
      <c r="AH58" s="49" t="n">
        <f aca="false">IF(AH38=1,AH51*IFERROR(INDEX(Twin!$G$55:$BN$55,1,AH39),0),0)</f>
        <v>660.756332184641</v>
      </c>
      <c r="AI58" s="49" t="n">
        <f aca="false">IF(AI38=1,AI51*IFERROR(INDEX(Twin!$G$55:$BN$55,1,AI39),0),0)</f>
        <v>660.604597166956</v>
      </c>
      <c r="AJ58" s="49" t="n">
        <f aca="false">IF(AJ38=1,AJ51*IFERROR(INDEX(Twin!$G$55:$BN$55,1,AJ39),0),0)</f>
        <v>660.697052410271</v>
      </c>
      <c r="AK58" s="49" t="n">
        <f aca="false">IF(AK38=1,AK51*IFERROR(INDEX(Twin!$G$55:$BN$55,1,AK39),0),0)</f>
        <v>658.4484707846</v>
      </c>
      <c r="AL58" s="49" t="n">
        <f aca="false">IF(AL38=1,AL51*IFERROR(INDEX(Twin!$G$55:$BN$55,1,AL39),0),0)</f>
        <v>655.609988580261</v>
      </c>
      <c r="AM58" s="49" t="n">
        <f aca="false">IF(AM38=1,AM51*IFERROR(INDEX(Twin!$G$55:$BN$55,1,AM39),0),0)</f>
        <v>655.644151410047</v>
      </c>
      <c r="AN58" s="49" t="n">
        <f aca="false">IF(AN38=1,AN51*IFERROR(INDEX(Twin!$G$55:$BN$55,1,AN39),0),0)</f>
        <v>655.64386932832</v>
      </c>
      <c r="AO58" s="49" t="n">
        <f aca="false">IF(AO38=1,AO51*IFERROR(INDEX(Twin!$G$55:$BN$55,1,AO39),0),0)</f>
        <v>0</v>
      </c>
      <c r="AP58" s="49" t="n">
        <f aca="false">IF(AP38=1,AP51*IFERROR(INDEX(Twin!$G$55:$BN$55,1,AP39),0),0)</f>
        <v>0</v>
      </c>
      <c r="AQ58" s="49" t="n">
        <f aca="false">IF(AQ38=1,AQ51*IFERROR(INDEX(Twin!$G$55:$BN$55,1,AQ39),0),0)</f>
        <v>0</v>
      </c>
      <c r="AR58" s="49" t="n">
        <f aca="false">IF(AR38=1,AR51*IFERROR(INDEX(Twin!$G$55:$BN$55,1,AR39),0),0)</f>
        <v>0</v>
      </c>
      <c r="AS58" s="49" t="n">
        <f aca="false">IF(AS38=1,AS51*IFERROR(INDEX(Twin!$G$55:$BN$55,1,AS39),0),0)</f>
        <v>0</v>
      </c>
      <c r="AT58" s="49" t="n">
        <f aca="false">IF(AT38=1,AT51*IFERROR(INDEX(Twin!$G$55:$BN$55,1,AT39),0),0)</f>
        <v>0</v>
      </c>
      <c r="AU58" s="49" t="n">
        <f aca="false">IF(AU38=1,AU51*IFERROR(INDEX(Twin!$G$55:$BN$55,1,AU39),0),0)</f>
        <v>0</v>
      </c>
      <c r="AV58" s="49" t="n">
        <f aca="false">IF(AV38=1,AV51*IFERROR(INDEX(Twin!$G$55:$BN$55,1,AV39),0),0)</f>
        <v>0</v>
      </c>
      <c r="AW58" s="49" t="n">
        <f aca="false">IF(AW38=1,AW51*IFERROR(INDEX(Twin!$G$55:$BN$55,1,AW39),0),0)</f>
        <v>0</v>
      </c>
      <c r="AX58" s="49" t="n">
        <f aca="false">IF(AX38=1,AX51*IFERROR(INDEX(Twin!$G$55:$BN$55,1,AX39),0),0)</f>
        <v>0</v>
      </c>
      <c r="AY58" s="49" t="n">
        <f aca="false">IF(AY38=1,AY51*IFERROR(INDEX(Twin!$G$55:$BN$55,1,AY39),0),0)</f>
        <v>0</v>
      </c>
      <c r="AZ58" s="49" t="n">
        <f aca="false">IF(AZ38=1,AZ51*IFERROR(INDEX(Twin!$G$55:$BN$55,1,AZ39),0),0)</f>
        <v>0</v>
      </c>
      <c r="BA58" s="49" t="n">
        <f aca="false">IF(BA38=1,BA51*IFERROR(INDEX(Twin!$G$55:$BN$55,1,BA39),0),0)</f>
        <v>0</v>
      </c>
      <c r="BB58" s="49" t="n">
        <f aca="false">IF(BB38=1,BB51*IFERROR(INDEX(Twin!$G$55:$BN$55,1,BB39),0),0)</f>
        <v>0</v>
      </c>
      <c r="BC58" s="49" t="n">
        <f aca="false">IF(BC38=1,BC51*IFERROR(INDEX(Twin!$G$55:$BN$55,1,BC39),0),0)</f>
        <v>0</v>
      </c>
      <c r="BD58" s="49" t="n">
        <f aca="false">IF(BD38=1,BD51*IFERROR(INDEX(Twin!$G$55:$BN$55,1,BD39),0),0)</f>
        <v>0</v>
      </c>
      <c r="BE58" s="49" t="n">
        <f aca="false">IF(BE38=1,BE51*IFERROR(INDEX(Twin!$G$55:$BN$55,1,BE39),0),0)</f>
        <v>0</v>
      </c>
      <c r="BF58" s="49" t="n">
        <f aca="false">IF(BF38=1,BF51*IFERROR(INDEX(Twin!$G$55:$BN$55,1,BF39),0),0)</f>
        <v>0</v>
      </c>
      <c r="BG58" s="49" t="n">
        <f aca="false">IF(BG38=1,BG51*IFERROR(INDEX(Twin!$G$55:$BN$55,1,BG39),0),0)</f>
        <v>0</v>
      </c>
      <c r="BH58" s="49" t="n">
        <f aca="false">IF(BH38=1,BH51*IFERROR(INDEX(Twin!$G$55:$BN$55,1,BH39),0),0)</f>
        <v>0</v>
      </c>
      <c r="BI58" s="49" t="n">
        <f aca="false">IF(BI38=1,BI51*IFERROR(INDEX(Twin!$G$55:$BN$55,1,BI39),0),0)</f>
        <v>0</v>
      </c>
      <c r="BJ58" s="49" t="n">
        <f aca="false">IF(BJ38=1,BJ51*IFERROR(INDEX(Twin!$G$55:$BN$55,1,BJ39),0),0)</f>
        <v>0</v>
      </c>
      <c r="BK58" s="49" t="n">
        <f aca="false">IF(BK38=1,BK51*IFERROR(INDEX(Twin!$G$55:$BN$55,1,BK39),0),0)</f>
        <v>0</v>
      </c>
      <c r="BL58" s="49" t="n">
        <f aca="false">IF(BL38=1,BL51*IFERROR(INDEX(Twin!$G$55:$BN$55,1,BL39),0),0)</f>
        <v>0</v>
      </c>
      <c r="BM58" s="49" t="n">
        <f aca="false">IF(BM38=1,BM51*IFERROR(INDEX(Twin!$G$55:$BN$55,1,BM39),0),0)</f>
        <v>0</v>
      </c>
      <c r="BN58" s="49" t="n">
        <f aca="false">IF(BN38=1,BN51*IFERROR(INDEX(Twin!$G$55:$BN$55,1,BN39),0),0)</f>
        <v>0</v>
      </c>
      <c r="BO58" s="49" t="n">
        <f aca="false">IF(BO38=1,BO51*IFERROR(INDEX(Twin!$G$55:$BN$55,1,BO39),0),0)</f>
        <v>0</v>
      </c>
      <c r="BP58" s="49" t="n">
        <f aca="false">IF(BP38=1,BP51*IFERROR(INDEX(Twin!$G$55:$BN$55,1,BP39),0),0)</f>
        <v>0</v>
      </c>
      <c r="BQ58" s="49" t="n">
        <f aca="false">IF(BQ38=1,BQ51*IFERROR(INDEX(Twin!$G$55:$BN$55,1,BQ39),0),0)</f>
        <v>0</v>
      </c>
      <c r="BR58" s="49" t="n">
        <f aca="false">IF(BR38=1,BR51*IFERROR(INDEX(Twin!$G$55:$BN$55,1,BR39),0),0)</f>
        <v>0</v>
      </c>
      <c r="BS58" s="49" t="n">
        <f aca="false">IF(BS38=1,BS51*IFERROR(INDEX(Twin!$G$55:$BN$55,1,BS39),0),0)</f>
        <v>0</v>
      </c>
      <c r="BT58" s="49" t="n">
        <f aca="false">IF(BT38=1,BT51*IFERROR(INDEX(Twin!$G$55:$BN$55,1,BT39),0),0)</f>
        <v>0</v>
      </c>
      <c r="BU58" s="49" t="n">
        <f aca="false">IF(BU38=1,BU51*IFERROR(INDEX(Twin!$G$55:$BN$55,1,BU39),0),0)</f>
        <v>0</v>
      </c>
      <c r="BV58" s="49" t="n">
        <f aca="false">IF(BV38=1,BV51*IFERROR(INDEX(Twin!$G$55:$BN$55,1,BV39),0),0)</f>
        <v>0</v>
      </c>
      <c r="BW58" s="49" t="n">
        <f aca="false">IF(BW38=1,BW51*IFERROR(INDEX(Twin!$G$55:$BN$55,1,BW39),0),0)</f>
        <v>0</v>
      </c>
      <c r="BX58" s="49" t="n">
        <f aca="false">IF(BX38=1,BX51*IFERROR(INDEX(Twin!$G$55:$BN$55,1,BX39),0),0)</f>
        <v>0</v>
      </c>
    </row>
    <row r="59" customFormat="false" ht="15" hidden="false" customHeight="false" outlineLevel="0" collapsed="false">
      <c r="A59" s="1"/>
      <c r="B59" s="8" t="s">
        <v>326</v>
      </c>
      <c r="C59" s="8" t="s">
        <v>126</v>
      </c>
      <c r="D59" s="44" t="n">
        <f aca="false">SUM(G59:BX59)</f>
        <v>8664.80847751709</v>
      </c>
      <c r="E59" s="1"/>
      <c r="F59" s="1"/>
      <c r="G59" s="48" t="n">
        <f aca="false">G57*G58/1000000</f>
        <v>0</v>
      </c>
      <c r="H59" s="48" t="n">
        <f aca="false">H57*H58/1000000</f>
        <v>0</v>
      </c>
      <c r="I59" s="48" t="n">
        <f aca="false">I57*I58/1000000</f>
        <v>0</v>
      </c>
      <c r="J59" s="48" t="n">
        <f aca="false">J57*J58/1000000</f>
        <v>0</v>
      </c>
      <c r="K59" s="48" t="n">
        <f aca="false">K57*K58/1000000</f>
        <v>496.427624631557</v>
      </c>
      <c r="L59" s="48" t="n">
        <f aca="false">L57*L58/1000000</f>
        <v>472.814969460891</v>
      </c>
      <c r="M59" s="48" t="n">
        <f aca="false">M57*M58/1000000</f>
        <v>438.256062933902</v>
      </c>
      <c r="N59" s="48" t="n">
        <f aca="false">N57*N58/1000000</f>
        <v>400.598716249164</v>
      </c>
      <c r="O59" s="48" t="n">
        <f aca="false">O57*O58/1000000</f>
        <v>355.175657096049</v>
      </c>
      <c r="P59" s="48" t="n">
        <f aca="false">P57*P58/1000000</f>
        <v>335.106586347245</v>
      </c>
      <c r="Q59" s="48" t="n">
        <f aca="false">Q57*Q58/1000000</f>
        <v>319.772594420401</v>
      </c>
      <c r="R59" s="48" t="n">
        <f aca="false">R57*R58/1000000</f>
        <v>301.206395675179</v>
      </c>
      <c r="S59" s="48" t="n">
        <f aca="false">S57*S58/1000000</f>
        <v>286.565424749642</v>
      </c>
      <c r="T59" s="48" t="n">
        <f aca="false">T57*T58/1000000</f>
        <v>268.731571352121</v>
      </c>
      <c r="U59" s="48" t="n">
        <f aca="false">U57*U58/1000000</f>
        <v>264.560363303766</v>
      </c>
      <c r="V59" s="48" t="n">
        <f aca="false">V57*V58/1000000</f>
        <v>262.88887719665</v>
      </c>
      <c r="W59" s="48" t="n">
        <f aca="false">W57*W58/1000000</f>
        <v>260.259758999905</v>
      </c>
      <c r="X59" s="48" t="n">
        <f aca="false">X57*X58/1000000</f>
        <v>257.09080972303</v>
      </c>
      <c r="Y59" s="48" t="n">
        <f aca="false">Y57*Y58/1000000</f>
        <v>251.289640377767</v>
      </c>
      <c r="Z59" s="48" t="n">
        <f aca="false">Z57*Z58/1000000</f>
        <v>250.039686827358</v>
      </c>
      <c r="AA59" s="48" t="n">
        <f aca="false">AA57*AA58/1000000</f>
        <v>248.446439558725</v>
      </c>
      <c r="AB59" s="48" t="n">
        <f aca="false">AB57*AB58/1000000</f>
        <v>245.528535321903</v>
      </c>
      <c r="AC59" s="48" t="n">
        <f aca="false">AC57*AC58/1000000</f>
        <v>244.216148794354</v>
      </c>
      <c r="AD59" s="48" t="n">
        <f aca="false">AD57*AD58/1000000</f>
        <v>242.289460924743</v>
      </c>
      <c r="AE59" s="48" t="n">
        <f aca="false">AE57*AE58/1000000</f>
        <v>242.244864863033</v>
      </c>
      <c r="AF59" s="48" t="n">
        <f aca="false">AF57*AF58/1000000</f>
        <v>242.538404353356</v>
      </c>
      <c r="AG59" s="48" t="n">
        <f aca="false">AG57*AG58/1000000</f>
        <v>242.694430647614</v>
      </c>
      <c r="AH59" s="48" t="n">
        <f aca="false">AH57*AH58/1000000</f>
        <v>244.235363065409</v>
      </c>
      <c r="AI59" s="48" t="n">
        <f aca="false">AI57*AI58/1000000</f>
        <v>244.729230577963</v>
      </c>
      <c r="AJ59" s="48" t="n">
        <f aca="false">AJ57*AJ58/1000000</f>
        <v>244.946825210584</v>
      </c>
      <c r="AK59" s="48" t="n">
        <f aca="false">AK57*AK58/1000000</f>
        <v>247.402136170252</v>
      </c>
      <c r="AL59" s="48" t="n">
        <f aca="false">AL57*AL58/1000000</f>
        <v>251.065845126811</v>
      </c>
      <c r="AM59" s="48" t="n">
        <f aca="false">AM57*AM58/1000000</f>
        <v>251.44281028651</v>
      </c>
      <c r="AN59" s="48" t="n">
        <f aca="false">AN57*AN58/1000000</f>
        <v>252.243243271207</v>
      </c>
      <c r="AO59" s="48" t="n">
        <f aca="false">AO57*AO58/1000000</f>
        <v>0</v>
      </c>
      <c r="AP59" s="48" t="n">
        <f aca="false">AP57*AP58/1000000</f>
        <v>0</v>
      </c>
      <c r="AQ59" s="48" t="n">
        <f aca="false">AQ57*AQ58/1000000</f>
        <v>0</v>
      </c>
      <c r="AR59" s="48" t="n">
        <f aca="false">AR57*AR58/1000000</f>
        <v>0</v>
      </c>
      <c r="AS59" s="48" t="n">
        <f aca="false">AS57*AS58/1000000</f>
        <v>0</v>
      </c>
      <c r="AT59" s="48" t="n">
        <f aca="false">AT57*AT58/1000000</f>
        <v>0</v>
      </c>
      <c r="AU59" s="48" t="n">
        <f aca="false">AU57*AU58/1000000</f>
        <v>0</v>
      </c>
      <c r="AV59" s="48" t="n">
        <f aca="false">AV57*AV58/1000000</f>
        <v>0</v>
      </c>
      <c r="AW59" s="48" t="n">
        <f aca="false">AW57*AW58/1000000</f>
        <v>0</v>
      </c>
      <c r="AX59" s="48" t="n">
        <f aca="false">AX57*AX58/1000000</f>
        <v>0</v>
      </c>
      <c r="AY59" s="48" t="n">
        <f aca="false">AY57*AY58/1000000</f>
        <v>0</v>
      </c>
      <c r="AZ59" s="48" t="n">
        <f aca="false">AZ57*AZ58/1000000</f>
        <v>0</v>
      </c>
      <c r="BA59" s="48" t="n">
        <f aca="false">BA57*BA58/1000000</f>
        <v>0</v>
      </c>
      <c r="BB59" s="48" t="n">
        <f aca="false">BB57*BB58/1000000</f>
        <v>0</v>
      </c>
      <c r="BC59" s="48" t="n">
        <f aca="false">BC57*BC58/1000000</f>
        <v>0</v>
      </c>
      <c r="BD59" s="48" t="n">
        <f aca="false">BD57*BD58/1000000</f>
        <v>0</v>
      </c>
      <c r="BE59" s="48" t="n">
        <f aca="false">BE57*BE58/1000000</f>
        <v>0</v>
      </c>
      <c r="BF59" s="48" t="n">
        <f aca="false">BF57*BF58/1000000</f>
        <v>0</v>
      </c>
      <c r="BG59" s="48" t="n">
        <f aca="false">BG57*BG58/1000000</f>
        <v>0</v>
      </c>
      <c r="BH59" s="48" t="n">
        <f aca="false">BH57*BH58/1000000</f>
        <v>0</v>
      </c>
      <c r="BI59" s="48" t="n">
        <f aca="false">BI57*BI58/1000000</f>
        <v>0</v>
      </c>
      <c r="BJ59" s="48" t="n">
        <f aca="false">BJ57*BJ58/1000000</f>
        <v>0</v>
      </c>
      <c r="BK59" s="48" t="n">
        <f aca="false">BK57*BK58/1000000</f>
        <v>0</v>
      </c>
      <c r="BL59" s="48" t="n">
        <f aca="false">BL57*BL58/1000000</f>
        <v>0</v>
      </c>
      <c r="BM59" s="48" t="n">
        <f aca="false">BM57*BM58/1000000</f>
        <v>0</v>
      </c>
      <c r="BN59" s="48" t="n">
        <f aca="false">BN57*BN58/1000000</f>
        <v>0</v>
      </c>
      <c r="BO59" s="48" t="n">
        <f aca="false">BO57*BO58/1000000</f>
        <v>0</v>
      </c>
      <c r="BP59" s="48" t="n">
        <f aca="false">BP57*BP58/1000000</f>
        <v>0</v>
      </c>
      <c r="BQ59" s="48" t="n">
        <f aca="false">BQ57*BQ58/1000000</f>
        <v>0</v>
      </c>
      <c r="BR59" s="48" t="n">
        <f aca="false">BR57*BR58/1000000</f>
        <v>0</v>
      </c>
      <c r="BS59" s="48" t="n">
        <f aca="false">BS57*BS58/1000000</f>
        <v>0</v>
      </c>
      <c r="BT59" s="48" t="n">
        <f aca="false">BT57*BT58/1000000</f>
        <v>0</v>
      </c>
      <c r="BU59" s="48" t="n">
        <f aca="false">BU57*BU58/1000000</f>
        <v>0</v>
      </c>
      <c r="BV59" s="48" t="n">
        <f aca="false">BV57*BV58/1000000</f>
        <v>0</v>
      </c>
      <c r="BW59" s="48" t="n">
        <f aca="false">BW57*BW58/1000000</f>
        <v>0</v>
      </c>
      <c r="BX59" s="48" t="n">
        <f aca="false">BX57*BX58/1000000</f>
        <v>0</v>
      </c>
    </row>
    <row r="60" customFormat="false" ht="15" hidden="false" customHeight="false" outlineLevel="0" collapsed="false">
      <c r="A60" s="1"/>
      <c r="B60" s="8" t="s">
        <v>408</v>
      </c>
      <c r="C60" s="8" t="s">
        <v>126</v>
      </c>
      <c r="D60" s="44" t="n">
        <f aca="false">SUM(G60:BX60)</f>
        <v>0</v>
      </c>
      <c r="E60" s="1"/>
      <c r="F60" s="1"/>
      <c r="G60" s="48" t="n">
        <f aca="false">0</f>
        <v>0</v>
      </c>
      <c r="H60" s="48" t="n">
        <f aca="false">0</f>
        <v>0</v>
      </c>
      <c r="I60" s="48" t="n">
        <f aca="false">0</f>
        <v>0</v>
      </c>
      <c r="J60" s="48" t="n">
        <f aca="false">0</f>
        <v>0</v>
      </c>
      <c r="K60" s="48" t="n">
        <f aca="false">0</f>
        <v>0</v>
      </c>
      <c r="L60" s="48" t="n">
        <f aca="false">0</f>
        <v>0</v>
      </c>
      <c r="M60" s="48" t="n">
        <f aca="false">0</f>
        <v>0</v>
      </c>
      <c r="N60" s="48" t="n">
        <f aca="false">0</f>
        <v>0</v>
      </c>
      <c r="O60" s="48" t="n">
        <f aca="false">0</f>
        <v>0</v>
      </c>
      <c r="P60" s="48" t="n">
        <f aca="false">0</f>
        <v>0</v>
      </c>
      <c r="Q60" s="48" t="n">
        <f aca="false">0</f>
        <v>0</v>
      </c>
      <c r="R60" s="48" t="n">
        <f aca="false">0</f>
        <v>0</v>
      </c>
      <c r="S60" s="48" t="n">
        <f aca="false">0</f>
        <v>0</v>
      </c>
      <c r="T60" s="48" t="n">
        <f aca="false">0</f>
        <v>0</v>
      </c>
      <c r="U60" s="48" t="n">
        <f aca="false">0</f>
        <v>0</v>
      </c>
      <c r="V60" s="48" t="n">
        <f aca="false">0</f>
        <v>0</v>
      </c>
      <c r="W60" s="48" t="n">
        <f aca="false">0</f>
        <v>0</v>
      </c>
      <c r="X60" s="48" t="n">
        <f aca="false">0</f>
        <v>0</v>
      </c>
      <c r="Y60" s="48" t="n">
        <f aca="false">0</f>
        <v>0</v>
      </c>
      <c r="Z60" s="48" t="n">
        <f aca="false">0</f>
        <v>0</v>
      </c>
      <c r="AA60" s="48" t="n">
        <f aca="false">0</f>
        <v>0</v>
      </c>
      <c r="AB60" s="48" t="n">
        <f aca="false">0</f>
        <v>0</v>
      </c>
      <c r="AC60" s="48" t="n">
        <f aca="false">0</f>
        <v>0</v>
      </c>
      <c r="AD60" s="48" t="n">
        <f aca="false">0</f>
        <v>0</v>
      </c>
      <c r="AE60" s="48" t="n">
        <f aca="false">0</f>
        <v>0</v>
      </c>
      <c r="AF60" s="48" t="n">
        <f aca="false">0</f>
        <v>0</v>
      </c>
      <c r="AG60" s="48" t="n">
        <f aca="false">0</f>
        <v>0</v>
      </c>
      <c r="AH60" s="48" t="n">
        <f aca="false">0</f>
        <v>0</v>
      </c>
      <c r="AI60" s="48" t="n">
        <f aca="false">0</f>
        <v>0</v>
      </c>
      <c r="AJ60" s="48" t="n">
        <f aca="false">0</f>
        <v>0</v>
      </c>
      <c r="AK60" s="48" t="n">
        <f aca="false">0</f>
        <v>0</v>
      </c>
      <c r="AL60" s="48" t="n">
        <f aca="false">0</f>
        <v>0</v>
      </c>
      <c r="AM60" s="48" t="n">
        <f aca="false">0</f>
        <v>0</v>
      </c>
      <c r="AN60" s="48" t="n">
        <f aca="false">0</f>
        <v>0</v>
      </c>
      <c r="AO60" s="48" t="n">
        <f aca="false">0</f>
        <v>0</v>
      </c>
      <c r="AP60" s="48" t="n">
        <f aca="false">0</f>
        <v>0</v>
      </c>
      <c r="AQ60" s="48" t="n">
        <f aca="false">0</f>
        <v>0</v>
      </c>
      <c r="AR60" s="48" t="n">
        <f aca="false">0</f>
        <v>0</v>
      </c>
      <c r="AS60" s="48" t="n">
        <f aca="false">0</f>
        <v>0</v>
      </c>
      <c r="AT60" s="48" t="n">
        <f aca="false">0</f>
        <v>0</v>
      </c>
      <c r="AU60" s="48" t="n">
        <f aca="false">0</f>
        <v>0</v>
      </c>
      <c r="AV60" s="48" t="n">
        <f aca="false">0</f>
        <v>0</v>
      </c>
      <c r="AW60" s="48" t="n">
        <f aca="false">0</f>
        <v>0</v>
      </c>
      <c r="AX60" s="48" t="n">
        <f aca="false">0</f>
        <v>0</v>
      </c>
      <c r="AY60" s="48" t="n">
        <f aca="false">0</f>
        <v>0</v>
      </c>
      <c r="AZ60" s="48" t="n">
        <f aca="false">0</f>
        <v>0</v>
      </c>
      <c r="BA60" s="48" t="n">
        <f aca="false">0</f>
        <v>0</v>
      </c>
      <c r="BB60" s="48" t="n">
        <f aca="false">0</f>
        <v>0</v>
      </c>
      <c r="BC60" s="48" t="n">
        <f aca="false">0</f>
        <v>0</v>
      </c>
      <c r="BD60" s="48" t="n">
        <f aca="false">0</f>
        <v>0</v>
      </c>
      <c r="BE60" s="48" t="n">
        <f aca="false">0</f>
        <v>0</v>
      </c>
      <c r="BF60" s="48" t="n">
        <f aca="false">0</f>
        <v>0</v>
      </c>
      <c r="BG60" s="48" t="n">
        <f aca="false">0</f>
        <v>0</v>
      </c>
      <c r="BH60" s="48" t="n">
        <f aca="false">0</f>
        <v>0</v>
      </c>
      <c r="BI60" s="48" t="n">
        <f aca="false">0</f>
        <v>0</v>
      </c>
      <c r="BJ60" s="48" t="n">
        <f aca="false">0</f>
        <v>0</v>
      </c>
      <c r="BK60" s="48" t="n">
        <f aca="false">0</f>
        <v>0</v>
      </c>
      <c r="BL60" s="48" t="n">
        <f aca="false">0</f>
        <v>0</v>
      </c>
      <c r="BM60" s="48" t="n">
        <f aca="false">0</f>
        <v>0</v>
      </c>
      <c r="BN60" s="48" t="n">
        <f aca="false">0</f>
        <v>0</v>
      </c>
      <c r="BO60" s="48" t="n">
        <f aca="false">0</f>
        <v>0</v>
      </c>
      <c r="BP60" s="48" t="n">
        <f aca="false">0</f>
        <v>0</v>
      </c>
      <c r="BQ60" s="48" t="n">
        <f aca="false">0</f>
        <v>0</v>
      </c>
      <c r="BR60" s="48" t="n">
        <f aca="false">0</f>
        <v>0</v>
      </c>
      <c r="BS60" s="48" t="n">
        <f aca="false">0</f>
        <v>0</v>
      </c>
      <c r="BT60" s="48" t="n">
        <f aca="false">0</f>
        <v>0</v>
      </c>
      <c r="BU60" s="48" t="n">
        <f aca="false">0</f>
        <v>0</v>
      </c>
      <c r="BV60" s="48" t="n">
        <f aca="false">0</f>
        <v>0</v>
      </c>
      <c r="BW60" s="48" t="n">
        <f aca="false">0</f>
        <v>0</v>
      </c>
      <c r="BX60" s="48" t="n">
        <f aca="false">0</f>
        <v>0</v>
      </c>
    </row>
    <row r="61" customFormat="false" ht="15" hidden="false" customHeight="false" outlineLevel="0" collapsed="false">
      <c r="A61" s="1"/>
      <c r="B61" s="8" t="s">
        <v>329</v>
      </c>
      <c r="C61" s="8" t="s">
        <v>126</v>
      </c>
      <c r="D61" s="44" t="n">
        <f aca="false">SUM(G61:BX61)</f>
        <v>0</v>
      </c>
      <c r="E61" s="1"/>
      <c r="F61" s="1"/>
      <c r="G61" s="48" t="n">
        <f aca="false">IF(AND(G38=1,G39&lt;=$D$34),$D$33*$D$30*$D$7*1000/1000000,0)</f>
        <v>0</v>
      </c>
      <c r="H61" s="48" t="n">
        <f aca="false">IF(AND(H38=1,H39&lt;=$D$34),$D$33*$D$30*$D$7*1000/1000000,0)</f>
        <v>0</v>
      </c>
      <c r="I61" s="48" t="n">
        <f aca="false">IF(AND(I38=1,I39&lt;=$D$34),$D$33*$D$30*$D$7*1000/1000000,0)</f>
        <v>0</v>
      </c>
      <c r="J61" s="48" t="n">
        <f aca="false">IF(AND(J38=1,J39&lt;=$D$34),$D$33*$D$30*$D$7*1000/1000000,0)</f>
        <v>0</v>
      </c>
      <c r="K61" s="48" t="n">
        <f aca="false">IF(AND(K38=1,K39&lt;=$D$34),$D$33*$D$30*$D$7*1000/1000000,0)</f>
        <v>0</v>
      </c>
      <c r="L61" s="48" t="n">
        <f aca="false">IF(AND(L38=1,L39&lt;=$D$34),$D$33*$D$30*$D$7*1000/1000000,0)</f>
        <v>0</v>
      </c>
      <c r="M61" s="48" t="n">
        <f aca="false">IF(AND(M38=1,M39&lt;=$D$34),$D$33*$D$30*$D$7*1000/1000000,0)</f>
        <v>0</v>
      </c>
      <c r="N61" s="48" t="n">
        <f aca="false">IF(AND(N38=1,N39&lt;=$D$34),$D$33*$D$30*$D$7*1000/1000000,0)</f>
        <v>0</v>
      </c>
      <c r="O61" s="48" t="n">
        <f aca="false">IF(AND(O38=1,O39&lt;=$D$34),$D$33*$D$30*$D$7*1000/1000000,0)</f>
        <v>0</v>
      </c>
      <c r="P61" s="48" t="n">
        <f aca="false">IF(AND(P38=1,P39&lt;=$D$34),$D$33*$D$30*$D$7*1000/1000000,0)</f>
        <v>0</v>
      </c>
      <c r="Q61" s="48" t="n">
        <f aca="false">IF(AND(Q38=1,Q39&lt;=$D$34),$D$33*$D$30*$D$7*1000/1000000,0)</f>
        <v>0</v>
      </c>
      <c r="R61" s="48" t="n">
        <f aca="false">IF(AND(R38=1,R39&lt;=$D$34),$D$33*$D$30*$D$7*1000/1000000,0)</f>
        <v>0</v>
      </c>
      <c r="S61" s="48" t="n">
        <f aca="false">IF(AND(S38=1,S39&lt;=$D$34),$D$33*$D$30*$D$7*1000/1000000,0)</f>
        <v>0</v>
      </c>
      <c r="T61" s="48" t="n">
        <f aca="false">IF(AND(T38=1,T39&lt;=$D$34),$D$33*$D$30*$D$7*1000/1000000,0)</f>
        <v>0</v>
      </c>
      <c r="U61" s="48" t="n">
        <f aca="false">IF(AND(U38=1,U39&lt;=$D$34),$D$33*$D$30*$D$7*1000/1000000,0)</f>
        <v>0</v>
      </c>
      <c r="V61" s="48" t="n">
        <f aca="false">IF(AND(V38=1,V39&lt;=$D$34),$D$33*$D$30*$D$7*1000/1000000,0)</f>
        <v>0</v>
      </c>
      <c r="W61" s="48" t="n">
        <f aca="false">IF(AND(W38=1,W39&lt;=$D$34),$D$33*$D$30*$D$7*1000/1000000,0)</f>
        <v>0</v>
      </c>
      <c r="X61" s="48" t="n">
        <f aca="false">IF(AND(X38=1,X39&lt;=$D$34),$D$33*$D$30*$D$7*1000/1000000,0)</f>
        <v>0</v>
      </c>
      <c r="Y61" s="48" t="n">
        <f aca="false">IF(AND(Y38=1,Y39&lt;=$D$34),$D$33*$D$30*$D$7*1000/1000000,0)</f>
        <v>0</v>
      </c>
      <c r="Z61" s="48" t="n">
        <f aca="false">IF(AND(Z38=1,Z39&lt;=$D$34),$D$33*$D$30*$D$7*1000/1000000,0)</f>
        <v>0</v>
      </c>
      <c r="AA61" s="48" t="n">
        <f aca="false">IF(AND(AA38=1,AA39&lt;=$D$34),$D$33*$D$30*$D$7*1000/1000000,0)</f>
        <v>0</v>
      </c>
      <c r="AB61" s="48" t="n">
        <f aca="false">IF(AND(AB38=1,AB39&lt;=$D$34),$D$33*$D$30*$D$7*1000/1000000,0)</f>
        <v>0</v>
      </c>
      <c r="AC61" s="48" t="n">
        <f aca="false">IF(AND(AC38=1,AC39&lt;=$D$34),$D$33*$D$30*$D$7*1000/1000000,0)</f>
        <v>0</v>
      </c>
      <c r="AD61" s="48" t="n">
        <f aca="false">IF(AND(AD38=1,AD39&lt;=$D$34),$D$33*$D$30*$D$7*1000/1000000,0)</f>
        <v>0</v>
      </c>
      <c r="AE61" s="48" t="n">
        <f aca="false">IF(AND(AE38=1,AE39&lt;=$D$34),$D$33*$D$30*$D$7*1000/1000000,0)</f>
        <v>0</v>
      </c>
      <c r="AF61" s="48" t="n">
        <f aca="false">IF(AND(AF38=1,AF39&lt;=$D$34),$D$33*$D$30*$D$7*1000/1000000,0)</f>
        <v>0</v>
      </c>
      <c r="AG61" s="48" t="n">
        <f aca="false">IF(AND(AG38=1,AG39&lt;=$D$34),$D$33*$D$30*$D$7*1000/1000000,0)</f>
        <v>0</v>
      </c>
      <c r="AH61" s="48" t="n">
        <f aca="false">IF(AND(AH38=1,AH39&lt;=$D$34),$D$33*$D$30*$D$7*1000/1000000,0)</f>
        <v>0</v>
      </c>
      <c r="AI61" s="48" t="n">
        <f aca="false">IF(AND(AI38=1,AI39&lt;=$D$34),$D$33*$D$30*$D$7*1000/1000000,0)</f>
        <v>0</v>
      </c>
      <c r="AJ61" s="48" t="n">
        <f aca="false">IF(AND(AJ38=1,AJ39&lt;=$D$34),$D$33*$D$30*$D$7*1000/1000000,0)</f>
        <v>0</v>
      </c>
      <c r="AK61" s="48" t="n">
        <f aca="false">IF(AND(AK38=1,AK39&lt;=$D$34),$D$33*$D$30*$D$7*1000/1000000,0)</f>
        <v>0</v>
      </c>
      <c r="AL61" s="48" t="n">
        <f aca="false">IF(AND(AL38=1,AL39&lt;=$D$34),$D$33*$D$30*$D$7*1000/1000000,0)</f>
        <v>0</v>
      </c>
      <c r="AM61" s="48" t="n">
        <f aca="false">IF(AND(AM38=1,AM39&lt;=$D$34),$D$33*$D$30*$D$7*1000/1000000,0)</f>
        <v>0</v>
      </c>
      <c r="AN61" s="48" t="n">
        <f aca="false">IF(AND(AN38=1,AN39&lt;=$D$34),$D$33*$D$30*$D$7*1000/1000000,0)</f>
        <v>0</v>
      </c>
      <c r="AO61" s="48" t="n">
        <f aca="false">IF(AND(AO38=1,AO39&lt;=$D$34),$D$33*$D$30*$D$7*1000/1000000,0)</f>
        <v>0</v>
      </c>
      <c r="AP61" s="48" t="n">
        <f aca="false">IF(AND(AP38=1,AP39&lt;=$D$34),$D$33*$D$30*$D$7*1000/1000000,0)</f>
        <v>0</v>
      </c>
      <c r="AQ61" s="48" t="n">
        <f aca="false">IF(AND(AQ38=1,AQ39&lt;=$D$34),$D$33*$D$30*$D$7*1000/1000000,0)</f>
        <v>0</v>
      </c>
      <c r="AR61" s="48" t="n">
        <f aca="false">IF(AND(AR38=1,AR39&lt;=$D$34),$D$33*$D$30*$D$7*1000/1000000,0)</f>
        <v>0</v>
      </c>
      <c r="AS61" s="48" t="n">
        <f aca="false">IF(AND(AS38=1,AS39&lt;=$D$34),$D$33*$D$30*$D$7*1000/1000000,0)</f>
        <v>0</v>
      </c>
      <c r="AT61" s="48" t="n">
        <f aca="false">IF(AND(AT38=1,AT39&lt;=$D$34),$D$33*$D$30*$D$7*1000/1000000,0)</f>
        <v>0</v>
      </c>
      <c r="AU61" s="48" t="n">
        <f aca="false">IF(AND(AU38=1,AU39&lt;=$D$34),$D$33*$D$30*$D$7*1000/1000000,0)</f>
        <v>0</v>
      </c>
      <c r="AV61" s="48" t="n">
        <f aca="false">IF(AND(AV38=1,AV39&lt;=$D$34),$D$33*$D$30*$D$7*1000/1000000,0)</f>
        <v>0</v>
      </c>
      <c r="AW61" s="48" t="n">
        <f aca="false">IF(AND(AW38=1,AW39&lt;=$D$34),$D$33*$D$30*$D$7*1000/1000000,0)</f>
        <v>0</v>
      </c>
      <c r="AX61" s="48" t="n">
        <f aca="false">IF(AND(AX38=1,AX39&lt;=$D$34),$D$33*$D$30*$D$7*1000/1000000,0)</f>
        <v>0</v>
      </c>
      <c r="AY61" s="48" t="n">
        <f aca="false">IF(AND(AY38=1,AY39&lt;=$D$34),$D$33*$D$30*$D$7*1000/1000000,0)</f>
        <v>0</v>
      </c>
      <c r="AZ61" s="48" t="n">
        <f aca="false">IF(AND(AZ38=1,AZ39&lt;=$D$34),$D$33*$D$30*$D$7*1000/1000000,0)</f>
        <v>0</v>
      </c>
      <c r="BA61" s="48" t="n">
        <f aca="false">IF(AND(BA38=1,BA39&lt;=$D$34),$D$33*$D$30*$D$7*1000/1000000,0)</f>
        <v>0</v>
      </c>
      <c r="BB61" s="48" t="n">
        <f aca="false">IF(AND(BB38=1,BB39&lt;=$D$34),$D$33*$D$30*$D$7*1000/1000000,0)</f>
        <v>0</v>
      </c>
      <c r="BC61" s="48" t="n">
        <f aca="false">IF(AND(BC38=1,BC39&lt;=$D$34),$D$33*$D$30*$D$7*1000/1000000,0)</f>
        <v>0</v>
      </c>
      <c r="BD61" s="48" t="n">
        <f aca="false">IF(AND(BD38=1,BD39&lt;=$D$34),$D$33*$D$30*$D$7*1000/1000000,0)</f>
        <v>0</v>
      </c>
      <c r="BE61" s="48" t="n">
        <f aca="false">IF(AND(BE38=1,BE39&lt;=$D$34),$D$33*$D$30*$D$7*1000/1000000,0)</f>
        <v>0</v>
      </c>
      <c r="BF61" s="48" t="n">
        <f aca="false">IF(AND(BF38=1,BF39&lt;=$D$34),$D$33*$D$30*$D$7*1000/1000000,0)</f>
        <v>0</v>
      </c>
      <c r="BG61" s="48" t="n">
        <f aca="false">IF(AND(BG38=1,BG39&lt;=$D$34),$D$33*$D$30*$D$7*1000/1000000,0)</f>
        <v>0</v>
      </c>
      <c r="BH61" s="48" t="n">
        <f aca="false">IF(AND(BH38=1,BH39&lt;=$D$34),$D$33*$D$30*$D$7*1000/1000000,0)</f>
        <v>0</v>
      </c>
      <c r="BI61" s="48" t="n">
        <f aca="false">IF(AND(BI38=1,BI39&lt;=$D$34),$D$33*$D$30*$D$7*1000/1000000,0)</f>
        <v>0</v>
      </c>
      <c r="BJ61" s="48" t="n">
        <f aca="false">IF(AND(BJ38=1,BJ39&lt;=$D$34),$D$33*$D$30*$D$7*1000/1000000,0)</f>
        <v>0</v>
      </c>
      <c r="BK61" s="48" t="n">
        <f aca="false">IF(AND(BK38=1,BK39&lt;=$D$34),$D$33*$D$30*$D$7*1000/1000000,0)</f>
        <v>0</v>
      </c>
      <c r="BL61" s="48" t="n">
        <f aca="false">IF(AND(BL38=1,BL39&lt;=$D$34),$D$33*$D$30*$D$7*1000/1000000,0)</f>
        <v>0</v>
      </c>
      <c r="BM61" s="48" t="n">
        <f aca="false">IF(AND(BM38=1,BM39&lt;=$D$34),$D$33*$D$30*$D$7*1000/1000000,0)</f>
        <v>0</v>
      </c>
      <c r="BN61" s="48" t="n">
        <f aca="false">IF(AND(BN38=1,BN39&lt;=$D$34),$D$33*$D$30*$D$7*1000/1000000,0)</f>
        <v>0</v>
      </c>
      <c r="BO61" s="48" t="n">
        <f aca="false">IF(AND(BO38=1,BO39&lt;=$D$34),$D$33*$D$30*$D$7*1000/1000000,0)</f>
        <v>0</v>
      </c>
      <c r="BP61" s="48" t="n">
        <f aca="false">IF(AND(BP38=1,BP39&lt;=$D$34),$D$33*$D$30*$D$7*1000/1000000,0)</f>
        <v>0</v>
      </c>
      <c r="BQ61" s="48" t="n">
        <f aca="false">IF(AND(BQ38=1,BQ39&lt;=$D$34),$D$33*$D$30*$D$7*1000/1000000,0)</f>
        <v>0</v>
      </c>
      <c r="BR61" s="48" t="n">
        <f aca="false">IF(AND(BR38=1,BR39&lt;=$D$34),$D$33*$D$30*$D$7*1000/1000000,0)</f>
        <v>0</v>
      </c>
      <c r="BS61" s="48" t="n">
        <f aca="false">IF(AND(BS38=1,BS39&lt;=$D$34),$D$33*$D$30*$D$7*1000/1000000,0)</f>
        <v>0</v>
      </c>
      <c r="BT61" s="48" t="n">
        <f aca="false">IF(AND(BT38=1,BT39&lt;=$D$34),$D$33*$D$30*$D$7*1000/1000000,0)</f>
        <v>0</v>
      </c>
      <c r="BU61" s="48" t="n">
        <f aca="false">IF(AND(BU38=1,BU39&lt;=$D$34),$D$33*$D$30*$D$7*1000/1000000,0)</f>
        <v>0</v>
      </c>
      <c r="BV61" s="48" t="n">
        <f aca="false">IF(AND(BV38=1,BV39&lt;=$D$34),$D$33*$D$30*$D$7*1000/1000000,0)</f>
        <v>0</v>
      </c>
      <c r="BW61" s="48" t="n">
        <f aca="false">IF(AND(BW38=1,BW39&lt;=$D$34),$D$33*$D$30*$D$7*1000/1000000,0)</f>
        <v>0</v>
      </c>
      <c r="BX61" s="48" t="n">
        <f aca="false">IF(AND(BX38=1,BX39&lt;=$D$34),$D$33*$D$30*$D$7*1000/1000000,0)</f>
        <v>0</v>
      </c>
    </row>
    <row r="62" customFormat="false" ht="15" hidden="false" customHeight="false" outlineLevel="0" collapsed="false">
      <c r="A62" s="1"/>
      <c r="B62" s="8" t="s">
        <v>330</v>
      </c>
      <c r="C62" s="8" t="s">
        <v>126</v>
      </c>
      <c r="D62" s="44" t="n">
        <f aca="false">SUM(G62:BX62)</f>
        <v>135</v>
      </c>
      <c r="E62" s="1"/>
      <c r="F62" s="1"/>
      <c r="G62" s="48" t="n">
        <f aca="false">IF(G38=1,$D$31*$D$7*1000/1000000,0)</f>
        <v>0</v>
      </c>
      <c r="H62" s="48" t="n">
        <f aca="false">IF(H38=1,$D$31*$D$7*1000/1000000,0)</f>
        <v>0</v>
      </c>
      <c r="I62" s="48" t="n">
        <f aca="false">IF(I38=1,$D$31*$D$7*1000/1000000,0)</f>
        <v>0</v>
      </c>
      <c r="J62" s="48" t="n">
        <f aca="false">IF(J38=1,$D$31*$D$7*1000/1000000,0)</f>
        <v>0</v>
      </c>
      <c r="K62" s="48" t="n">
        <f aca="false">IF(K38=1,$D$31*$D$7*1000/1000000,0)</f>
        <v>4.5</v>
      </c>
      <c r="L62" s="48" t="n">
        <f aca="false">IF(L38=1,$D$31*$D$7*1000/1000000,0)</f>
        <v>4.5</v>
      </c>
      <c r="M62" s="48" t="n">
        <f aca="false">IF(M38=1,$D$31*$D$7*1000/1000000,0)</f>
        <v>4.5</v>
      </c>
      <c r="N62" s="48" t="n">
        <f aca="false">IF(N38=1,$D$31*$D$7*1000/1000000,0)</f>
        <v>4.5</v>
      </c>
      <c r="O62" s="48" t="n">
        <f aca="false">IF(O38=1,$D$31*$D$7*1000/1000000,0)</f>
        <v>4.5</v>
      </c>
      <c r="P62" s="48" t="n">
        <f aca="false">IF(P38=1,$D$31*$D$7*1000/1000000,0)</f>
        <v>4.5</v>
      </c>
      <c r="Q62" s="48" t="n">
        <f aca="false">IF(Q38=1,$D$31*$D$7*1000/1000000,0)</f>
        <v>4.5</v>
      </c>
      <c r="R62" s="48" t="n">
        <f aca="false">IF(R38=1,$D$31*$D$7*1000/1000000,0)</f>
        <v>4.5</v>
      </c>
      <c r="S62" s="48" t="n">
        <f aca="false">IF(S38=1,$D$31*$D$7*1000/1000000,0)</f>
        <v>4.5</v>
      </c>
      <c r="T62" s="48" t="n">
        <f aca="false">IF(T38=1,$D$31*$D$7*1000/1000000,0)</f>
        <v>4.5</v>
      </c>
      <c r="U62" s="48" t="n">
        <f aca="false">IF(U38=1,$D$31*$D$7*1000/1000000,0)</f>
        <v>4.5</v>
      </c>
      <c r="V62" s="48" t="n">
        <f aca="false">IF(V38=1,$D$31*$D$7*1000/1000000,0)</f>
        <v>4.5</v>
      </c>
      <c r="W62" s="48" t="n">
        <f aca="false">IF(W38=1,$D$31*$D$7*1000/1000000,0)</f>
        <v>4.5</v>
      </c>
      <c r="X62" s="48" t="n">
        <f aca="false">IF(X38=1,$D$31*$D$7*1000/1000000,0)</f>
        <v>4.5</v>
      </c>
      <c r="Y62" s="48" t="n">
        <f aca="false">IF(Y38=1,$D$31*$D$7*1000/1000000,0)</f>
        <v>4.5</v>
      </c>
      <c r="Z62" s="48" t="n">
        <f aca="false">IF(Z38=1,$D$31*$D$7*1000/1000000,0)</f>
        <v>4.5</v>
      </c>
      <c r="AA62" s="48" t="n">
        <f aca="false">IF(AA38=1,$D$31*$D$7*1000/1000000,0)</f>
        <v>4.5</v>
      </c>
      <c r="AB62" s="48" t="n">
        <f aca="false">IF(AB38=1,$D$31*$D$7*1000/1000000,0)</f>
        <v>4.5</v>
      </c>
      <c r="AC62" s="48" t="n">
        <f aca="false">IF(AC38=1,$D$31*$D$7*1000/1000000,0)</f>
        <v>4.5</v>
      </c>
      <c r="AD62" s="48" t="n">
        <f aca="false">IF(AD38=1,$D$31*$D$7*1000/1000000,0)</f>
        <v>4.5</v>
      </c>
      <c r="AE62" s="48" t="n">
        <f aca="false">IF(AE38=1,$D$31*$D$7*1000/1000000,0)</f>
        <v>4.5</v>
      </c>
      <c r="AF62" s="48" t="n">
        <f aca="false">IF(AF38=1,$D$31*$D$7*1000/1000000,0)</f>
        <v>4.5</v>
      </c>
      <c r="AG62" s="48" t="n">
        <f aca="false">IF(AG38=1,$D$31*$D$7*1000/1000000,0)</f>
        <v>4.5</v>
      </c>
      <c r="AH62" s="48" t="n">
        <f aca="false">IF(AH38=1,$D$31*$D$7*1000/1000000,0)</f>
        <v>4.5</v>
      </c>
      <c r="AI62" s="48" t="n">
        <f aca="false">IF(AI38=1,$D$31*$D$7*1000/1000000,0)</f>
        <v>4.5</v>
      </c>
      <c r="AJ62" s="48" t="n">
        <f aca="false">IF(AJ38=1,$D$31*$D$7*1000/1000000,0)</f>
        <v>4.5</v>
      </c>
      <c r="AK62" s="48" t="n">
        <f aca="false">IF(AK38=1,$D$31*$D$7*1000/1000000,0)</f>
        <v>4.5</v>
      </c>
      <c r="AL62" s="48" t="n">
        <f aca="false">IF(AL38=1,$D$31*$D$7*1000/1000000,0)</f>
        <v>4.5</v>
      </c>
      <c r="AM62" s="48" t="n">
        <f aca="false">IF(AM38=1,$D$31*$D$7*1000/1000000,0)</f>
        <v>4.5</v>
      </c>
      <c r="AN62" s="48" t="n">
        <f aca="false">IF(AN38=1,$D$31*$D$7*1000/1000000,0)</f>
        <v>4.5</v>
      </c>
      <c r="AO62" s="48" t="n">
        <f aca="false">IF(AO38=1,$D$31*$D$7*1000/1000000,0)</f>
        <v>0</v>
      </c>
      <c r="AP62" s="48" t="n">
        <f aca="false">IF(AP38=1,$D$31*$D$7*1000/1000000,0)</f>
        <v>0</v>
      </c>
      <c r="AQ62" s="48" t="n">
        <f aca="false">IF(AQ38=1,$D$31*$D$7*1000/1000000,0)</f>
        <v>0</v>
      </c>
      <c r="AR62" s="48" t="n">
        <f aca="false">IF(AR38=1,$D$31*$D$7*1000/1000000,0)</f>
        <v>0</v>
      </c>
      <c r="AS62" s="48" t="n">
        <f aca="false">IF(AS38=1,$D$31*$D$7*1000/1000000,0)</f>
        <v>0</v>
      </c>
      <c r="AT62" s="48" t="n">
        <f aca="false">IF(AT38=1,$D$31*$D$7*1000/1000000,0)</f>
        <v>0</v>
      </c>
      <c r="AU62" s="48" t="n">
        <f aca="false">IF(AU38=1,$D$31*$D$7*1000/1000000,0)</f>
        <v>0</v>
      </c>
      <c r="AV62" s="48" t="n">
        <f aca="false">IF(AV38=1,$D$31*$D$7*1000/1000000,0)</f>
        <v>0</v>
      </c>
      <c r="AW62" s="48" t="n">
        <f aca="false">IF(AW38=1,$D$31*$D$7*1000/1000000,0)</f>
        <v>0</v>
      </c>
      <c r="AX62" s="48" t="n">
        <f aca="false">IF(AX38=1,$D$31*$D$7*1000/1000000,0)</f>
        <v>0</v>
      </c>
      <c r="AY62" s="48" t="n">
        <f aca="false">IF(AY38=1,$D$31*$D$7*1000/1000000,0)</f>
        <v>0</v>
      </c>
      <c r="AZ62" s="48" t="n">
        <f aca="false">IF(AZ38=1,$D$31*$D$7*1000/1000000,0)</f>
        <v>0</v>
      </c>
      <c r="BA62" s="48" t="n">
        <f aca="false">IF(BA38=1,$D$31*$D$7*1000/1000000,0)</f>
        <v>0</v>
      </c>
      <c r="BB62" s="48" t="n">
        <f aca="false">IF(BB38=1,$D$31*$D$7*1000/1000000,0)</f>
        <v>0</v>
      </c>
      <c r="BC62" s="48" t="n">
        <f aca="false">IF(BC38=1,$D$31*$D$7*1000/1000000,0)</f>
        <v>0</v>
      </c>
      <c r="BD62" s="48" t="n">
        <f aca="false">IF(BD38=1,$D$31*$D$7*1000/1000000,0)</f>
        <v>0</v>
      </c>
      <c r="BE62" s="48" t="n">
        <f aca="false">IF(BE38=1,$D$31*$D$7*1000/1000000,0)</f>
        <v>0</v>
      </c>
      <c r="BF62" s="48" t="n">
        <f aca="false">IF(BF38=1,$D$31*$D$7*1000/1000000,0)</f>
        <v>0</v>
      </c>
      <c r="BG62" s="48" t="n">
        <f aca="false">IF(BG38=1,$D$31*$D$7*1000/1000000,0)</f>
        <v>0</v>
      </c>
      <c r="BH62" s="48" t="n">
        <f aca="false">IF(BH38=1,$D$31*$D$7*1000/1000000,0)</f>
        <v>0</v>
      </c>
      <c r="BI62" s="48" t="n">
        <f aca="false">IF(BI38=1,$D$31*$D$7*1000/1000000,0)</f>
        <v>0</v>
      </c>
      <c r="BJ62" s="48" t="n">
        <f aca="false">IF(BJ38=1,$D$31*$D$7*1000/1000000,0)</f>
        <v>0</v>
      </c>
      <c r="BK62" s="48" t="n">
        <f aca="false">IF(BK38=1,$D$31*$D$7*1000/1000000,0)</f>
        <v>0</v>
      </c>
      <c r="BL62" s="48" t="n">
        <f aca="false">IF(BL38=1,$D$31*$D$7*1000/1000000,0)</f>
        <v>0</v>
      </c>
      <c r="BM62" s="48" t="n">
        <f aca="false">IF(BM38=1,$D$31*$D$7*1000/1000000,0)</f>
        <v>0</v>
      </c>
      <c r="BN62" s="48" t="n">
        <f aca="false">IF(BN38=1,$D$31*$D$7*1000/1000000,0)</f>
        <v>0</v>
      </c>
      <c r="BO62" s="48" t="n">
        <f aca="false">IF(BO38=1,$D$31*$D$7*1000/1000000,0)</f>
        <v>0</v>
      </c>
      <c r="BP62" s="48" t="n">
        <f aca="false">IF(BP38=1,$D$31*$D$7*1000/1000000,0)</f>
        <v>0</v>
      </c>
      <c r="BQ62" s="48" t="n">
        <f aca="false">IF(BQ38=1,$D$31*$D$7*1000/1000000,0)</f>
        <v>0</v>
      </c>
      <c r="BR62" s="48" t="n">
        <f aca="false">IF(BR38=1,$D$31*$D$7*1000/1000000,0)</f>
        <v>0</v>
      </c>
      <c r="BS62" s="48" t="n">
        <f aca="false">IF(BS38=1,$D$31*$D$7*1000/1000000,0)</f>
        <v>0</v>
      </c>
      <c r="BT62" s="48" t="n">
        <f aca="false">IF(BT38=1,$D$31*$D$7*1000/1000000,0)</f>
        <v>0</v>
      </c>
      <c r="BU62" s="48" t="n">
        <f aca="false">IF(BU38=1,$D$31*$D$7*1000/1000000,0)</f>
        <v>0</v>
      </c>
      <c r="BV62" s="48" t="n">
        <f aca="false">IF(BV38=1,$D$31*$D$7*1000/1000000,0)</f>
        <v>0</v>
      </c>
      <c r="BW62" s="48" t="n">
        <f aca="false">IF(BW38=1,$D$31*$D$7*1000/1000000,0)</f>
        <v>0</v>
      </c>
      <c r="BX62" s="48" t="n">
        <f aca="false">IF(BX38=1,$D$31*$D$7*1000/1000000,0)</f>
        <v>0</v>
      </c>
    </row>
    <row r="63" customFormat="false" ht="15" hidden="false" customHeight="false" outlineLevel="0" collapsed="false">
      <c r="A63" s="1"/>
      <c r="B63" s="4" t="s">
        <v>331</v>
      </c>
      <c r="C63" s="8" t="s">
        <v>126</v>
      </c>
      <c r="D63" s="44" t="n">
        <f aca="false">SUM(G63:BX63)</f>
        <v>8799.80847751709</v>
      </c>
      <c r="E63" s="1"/>
      <c r="F63" s="1"/>
      <c r="G63" s="44" t="n">
        <f aca="false">G59+G60+G61+G62</f>
        <v>0</v>
      </c>
      <c r="H63" s="44" t="n">
        <f aca="false">H59+H60+H61+H62</f>
        <v>0</v>
      </c>
      <c r="I63" s="44" t="n">
        <f aca="false">I59+I60+I61+I62</f>
        <v>0</v>
      </c>
      <c r="J63" s="44" t="n">
        <f aca="false">J59+J60+J61+J62</f>
        <v>0</v>
      </c>
      <c r="K63" s="44" t="n">
        <f aca="false">K59+K60+K61+K62</f>
        <v>500.927624631557</v>
      </c>
      <c r="L63" s="44" t="n">
        <f aca="false">L59+L60+L61+L62</f>
        <v>477.314969460891</v>
      </c>
      <c r="M63" s="44" t="n">
        <f aca="false">M59+M60+M61+M62</f>
        <v>442.756062933902</v>
      </c>
      <c r="N63" s="44" t="n">
        <f aca="false">N59+N60+N61+N62</f>
        <v>405.098716249164</v>
      </c>
      <c r="O63" s="44" t="n">
        <f aca="false">O59+O60+O61+O62</f>
        <v>359.675657096049</v>
      </c>
      <c r="P63" s="44" t="n">
        <f aca="false">P59+P60+P61+P62</f>
        <v>339.606586347245</v>
      </c>
      <c r="Q63" s="44" t="n">
        <f aca="false">Q59+Q60+Q61+Q62</f>
        <v>324.272594420401</v>
      </c>
      <c r="R63" s="44" t="n">
        <f aca="false">R59+R60+R61+R62</f>
        <v>305.706395675179</v>
      </c>
      <c r="S63" s="44" t="n">
        <f aca="false">S59+S60+S61+S62</f>
        <v>291.065424749642</v>
      </c>
      <c r="T63" s="44" t="n">
        <f aca="false">T59+T60+T61+T62</f>
        <v>273.231571352121</v>
      </c>
      <c r="U63" s="44" t="n">
        <f aca="false">U59+U60+U61+U62</f>
        <v>269.060363303766</v>
      </c>
      <c r="V63" s="44" t="n">
        <f aca="false">V59+V60+V61+V62</f>
        <v>267.38887719665</v>
      </c>
      <c r="W63" s="44" t="n">
        <f aca="false">W59+W60+W61+W62</f>
        <v>264.759758999905</v>
      </c>
      <c r="X63" s="44" t="n">
        <f aca="false">X59+X60+X61+X62</f>
        <v>261.59080972303</v>
      </c>
      <c r="Y63" s="44" t="n">
        <f aca="false">Y59+Y60+Y61+Y62</f>
        <v>255.789640377767</v>
      </c>
      <c r="Z63" s="44" t="n">
        <f aca="false">Z59+Z60+Z61+Z62</f>
        <v>254.539686827358</v>
      </c>
      <c r="AA63" s="44" t="n">
        <f aca="false">AA59+AA60+AA61+AA62</f>
        <v>252.946439558725</v>
      </c>
      <c r="AB63" s="44" t="n">
        <f aca="false">AB59+AB60+AB61+AB62</f>
        <v>250.028535321903</v>
      </c>
      <c r="AC63" s="44" t="n">
        <f aca="false">AC59+AC60+AC61+AC62</f>
        <v>248.716148794354</v>
      </c>
      <c r="AD63" s="44" t="n">
        <f aca="false">AD59+AD60+AD61+AD62</f>
        <v>246.789460924743</v>
      </c>
      <c r="AE63" s="44" t="n">
        <f aca="false">AE59+AE60+AE61+AE62</f>
        <v>246.744864863033</v>
      </c>
      <c r="AF63" s="44" t="n">
        <f aca="false">AF59+AF60+AF61+AF62</f>
        <v>247.038404353356</v>
      </c>
      <c r="AG63" s="44" t="n">
        <f aca="false">AG59+AG60+AG61+AG62</f>
        <v>247.194430647614</v>
      </c>
      <c r="AH63" s="44" t="n">
        <f aca="false">AH59+AH60+AH61+AH62</f>
        <v>248.735363065409</v>
      </c>
      <c r="AI63" s="44" t="n">
        <f aca="false">AI59+AI60+AI61+AI62</f>
        <v>249.229230577963</v>
      </c>
      <c r="AJ63" s="44" t="n">
        <f aca="false">AJ59+AJ60+AJ61+AJ62</f>
        <v>249.446825210584</v>
      </c>
      <c r="AK63" s="44" t="n">
        <f aca="false">AK59+AK60+AK61+AK62</f>
        <v>251.902136170252</v>
      </c>
      <c r="AL63" s="44" t="n">
        <f aca="false">AL59+AL60+AL61+AL62</f>
        <v>255.565845126811</v>
      </c>
      <c r="AM63" s="44" t="n">
        <f aca="false">AM59+AM60+AM61+AM62</f>
        <v>255.94281028651</v>
      </c>
      <c r="AN63" s="44" t="n">
        <f aca="false">AN59+AN60+AN61+AN62</f>
        <v>256.743243271207</v>
      </c>
      <c r="AO63" s="44" t="n">
        <f aca="false">AO59+AO60+AO61+AO62</f>
        <v>0</v>
      </c>
      <c r="AP63" s="44" t="n">
        <f aca="false">AP59+AP60+AP61+AP62</f>
        <v>0</v>
      </c>
      <c r="AQ63" s="44" t="n">
        <f aca="false">AQ59+AQ60+AQ61+AQ62</f>
        <v>0</v>
      </c>
      <c r="AR63" s="44" t="n">
        <f aca="false">AR59+AR60+AR61+AR62</f>
        <v>0</v>
      </c>
      <c r="AS63" s="44" t="n">
        <f aca="false">AS59+AS60+AS61+AS62</f>
        <v>0</v>
      </c>
      <c r="AT63" s="44" t="n">
        <f aca="false">AT59+AT60+AT61+AT62</f>
        <v>0</v>
      </c>
      <c r="AU63" s="44" t="n">
        <f aca="false">AU59+AU60+AU61+AU62</f>
        <v>0</v>
      </c>
      <c r="AV63" s="44" t="n">
        <f aca="false">AV59+AV60+AV61+AV62</f>
        <v>0</v>
      </c>
      <c r="AW63" s="44" t="n">
        <f aca="false">AW59+AW60+AW61+AW62</f>
        <v>0</v>
      </c>
      <c r="AX63" s="44" t="n">
        <f aca="false">AX59+AX60+AX61+AX62</f>
        <v>0</v>
      </c>
      <c r="AY63" s="44" t="n">
        <f aca="false">AY59+AY60+AY61+AY62</f>
        <v>0</v>
      </c>
      <c r="AZ63" s="44" t="n">
        <f aca="false">AZ59+AZ60+AZ61+AZ62</f>
        <v>0</v>
      </c>
      <c r="BA63" s="44" t="n">
        <f aca="false">BA59+BA60+BA61+BA62</f>
        <v>0</v>
      </c>
      <c r="BB63" s="44" t="n">
        <f aca="false">BB59+BB60+BB61+BB62</f>
        <v>0</v>
      </c>
      <c r="BC63" s="44" t="n">
        <f aca="false">BC59+BC60+BC61+BC62</f>
        <v>0</v>
      </c>
      <c r="BD63" s="44" t="n">
        <f aca="false">BD59+BD60+BD61+BD62</f>
        <v>0</v>
      </c>
      <c r="BE63" s="44" t="n">
        <f aca="false">BE59+BE60+BE61+BE62</f>
        <v>0</v>
      </c>
      <c r="BF63" s="44" t="n">
        <f aca="false">BF59+BF60+BF61+BF62</f>
        <v>0</v>
      </c>
      <c r="BG63" s="44" t="n">
        <f aca="false">BG59+BG60+BG61+BG62</f>
        <v>0</v>
      </c>
      <c r="BH63" s="44" t="n">
        <f aca="false">BH59+BH60+BH61+BH62</f>
        <v>0</v>
      </c>
      <c r="BI63" s="44" t="n">
        <f aca="false">BI59+BI60+BI61+BI62</f>
        <v>0</v>
      </c>
      <c r="BJ63" s="44" t="n">
        <f aca="false">BJ59+BJ60+BJ61+BJ62</f>
        <v>0</v>
      </c>
      <c r="BK63" s="44" t="n">
        <f aca="false">BK59+BK60+BK61+BK62</f>
        <v>0</v>
      </c>
      <c r="BL63" s="44" t="n">
        <f aca="false">BL59+BL60+BL61+BL62</f>
        <v>0</v>
      </c>
      <c r="BM63" s="44" t="n">
        <f aca="false">BM59+BM60+BM61+BM62</f>
        <v>0</v>
      </c>
      <c r="BN63" s="44" t="n">
        <f aca="false">BN59+BN60+BN61+BN62</f>
        <v>0</v>
      </c>
      <c r="BO63" s="44" t="n">
        <f aca="false">BO59+BO60+BO61+BO62</f>
        <v>0</v>
      </c>
      <c r="BP63" s="44" t="n">
        <f aca="false">BP59+BP60+BP61+BP62</f>
        <v>0</v>
      </c>
      <c r="BQ63" s="44" t="n">
        <f aca="false">BQ59+BQ60+BQ61+BQ62</f>
        <v>0</v>
      </c>
      <c r="BR63" s="44" t="n">
        <f aca="false">BR59+BR60+BR61+BR62</f>
        <v>0</v>
      </c>
      <c r="BS63" s="44" t="n">
        <f aca="false">BS59+BS60+BS61+BS62</f>
        <v>0</v>
      </c>
      <c r="BT63" s="44" t="n">
        <f aca="false">BT59+BT60+BT61+BT62</f>
        <v>0</v>
      </c>
      <c r="BU63" s="44" t="n">
        <f aca="false">BU59+BU60+BU61+BU62</f>
        <v>0</v>
      </c>
      <c r="BV63" s="44" t="n">
        <f aca="false">BV59+BV60+BV61+BV62</f>
        <v>0</v>
      </c>
      <c r="BW63" s="44" t="n">
        <f aca="false">BW59+BW60+BW61+BW62</f>
        <v>0</v>
      </c>
      <c r="BX63" s="44" t="n">
        <f aca="false">BX59+BX60+BX61+BX62</f>
        <v>0</v>
      </c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</row>
    <row r="65" customFormat="false" ht="15" hidden="false" customHeight="false" outlineLevel="0" collapsed="false">
      <c r="A65" s="1"/>
      <c r="B65" s="13" t="s">
        <v>332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</row>
    <row r="66" customFormat="false" ht="15" hidden="false" customHeight="false" outlineLevel="0" collapsed="false">
      <c r="A66" s="1"/>
      <c r="B66" s="8" t="s">
        <v>420</v>
      </c>
      <c r="C66" s="8" t="s">
        <v>421</v>
      </c>
      <c r="D66" s="44" t="n">
        <f aca="false">SUM(G66:BX66)</f>
        <v>23752276.0328565</v>
      </c>
      <c r="E66" s="1"/>
      <c r="F66" s="1"/>
      <c r="G66" s="48" t="n">
        <f aca="false">IF(G38=1,G57*IFERROR(INDEX(Twin!$G$59:$BN$59,1,G39),0),0)</f>
        <v>0</v>
      </c>
      <c r="H66" s="48" t="n">
        <f aca="false">IF(H38=1,H57*IFERROR(INDEX(Twin!$G$59:$BN$59,1,H39),0),0)</f>
        <v>0</v>
      </c>
      <c r="I66" s="48" t="n">
        <f aca="false">IF(I38=1,I57*IFERROR(INDEX(Twin!$G$59:$BN$59,1,I39),0),0)</f>
        <v>0</v>
      </c>
      <c r="J66" s="48" t="n">
        <f aca="false">IF(J38=1,J57*IFERROR(INDEX(Twin!$G$59:$BN$59,1,J39),0),0)</f>
        <v>0</v>
      </c>
      <c r="K66" s="48" t="n">
        <f aca="false">IF(K38=1,K57*IFERROR(INDEX(Twin!$G$59:$BN$59,1,K39),0),0)</f>
        <v>1495816.5697613</v>
      </c>
      <c r="L66" s="48" t="n">
        <f aca="false">IF(L38=1,L57*IFERROR(INDEX(Twin!$G$59:$BN$59,1,L39),0),0)</f>
        <v>1412044.4619566</v>
      </c>
      <c r="M66" s="48" t="n">
        <f aca="false">IF(M38=1,M57*IFERROR(INDEX(Twin!$G$59:$BN$59,1,M39),0),0)</f>
        <v>1288055.01524926</v>
      </c>
      <c r="N66" s="48" t="n">
        <f aca="false">IF(N38=1,N57*IFERROR(INDEX(Twin!$G$59:$BN$59,1,N39),0),0)</f>
        <v>1153733.59587146</v>
      </c>
      <c r="O66" s="48" t="n">
        <f aca="false">IF(O38=1,O57*IFERROR(INDEX(Twin!$G$59:$BN$59,1,O39),0),0)</f>
        <v>995978.404972202</v>
      </c>
      <c r="P66" s="48" t="n">
        <f aca="false">IF(P38=1,P57*IFERROR(INDEX(Twin!$G$59:$BN$59,1,P39),0),0)</f>
        <v>931152.572652603</v>
      </c>
      <c r="Q66" s="48" t="n">
        <f aca="false">IF(Q38=1,Q57*IFERROR(INDEX(Twin!$G$59:$BN$59,1,Q39),0),0)</f>
        <v>881895.941793359</v>
      </c>
      <c r="R66" s="48" t="n">
        <f aca="false">IF(R38=1,R57*IFERROR(INDEX(Twin!$G$59:$BN$59,1,R39),0),0)</f>
        <v>820034.262750479</v>
      </c>
      <c r="S66" s="48" t="n">
        <f aca="false">IF(S38=1,S57*IFERROR(INDEX(Twin!$G$59:$BN$59,1,S39),0),0)</f>
        <v>772132.017135483</v>
      </c>
      <c r="T66" s="48" t="n">
        <f aca="false">IF(T38=1,T57*IFERROR(INDEX(Twin!$G$59:$BN$59,1,T39),0),0)</f>
        <v>714936.718871612</v>
      </c>
      <c r="U66" s="48" t="n">
        <f aca="false">IF(U38=1,U57*IFERROR(INDEX(Twin!$G$59:$BN$59,1,U39),0),0)</f>
        <v>703119.555138531</v>
      </c>
      <c r="V66" s="48" t="n">
        <f aca="false">IF(V38=1,V57*IFERROR(INDEX(Twin!$G$59:$BN$59,1,V39),0),0)</f>
        <v>699177.861951406</v>
      </c>
      <c r="W66" s="48" t="n">
        <f aca="false">IF(W38=1,W57*IFERROR(INDEX(Twin!$G$59:$BN$59,1,W39),0),0)</f>
        <v>692511.047548491</v>
      </c>
      <c r="X66" s="48" t="n">
        <f aca="false">IF(X38=1,X57*IFERROR(INDEX(Twin!$G$59:$BN$59,1,X39),0),0)</f>
        <v>683608.660491051</v>
      </c>
      <c r="Y66" s="48" t="n">
        <f aca="false">IF(Y38=1,Y57*IFERROR(INDEX(Twin!$G$59:$BN$59,1,Y39),0),0)</f>
        <v>666268.843962656</v>
      </c>
      <c r="Z66" s="48" t="n">
        <f aca="false">IF(Z38=1,Z57*IFERROR(INDEX(Twin!$G$59:$BN$59,1,Z39),0),0)</f>
        <v>663743.240550165</v>
      </c>
      <c r="AA66" s="48" t="n">
        <f aca="false">IF(AA38=1,AA57*IFERROR(INDEX(Twin!$G$59:$BN$59,1,AA39),0),0)</f>
        <v>660355.071389038</v>
      </c>
      <c r="AB66" s="48" t="n">
        <f aca="false">IF(AB38=1,AB57*IFERROR(INDEX(Twin!$G$59:$BN$59,1,AB39),0),0)</f>
        <v>652562.327737132</v>
      </c>
      <c r="AC66" s="48" t="n">
        <f aca="false">IF(AC38=1,AC57*IFERROR(INDEX(Twin!$G$59:$BN$59,1,AC39),0),0)</f>
        <v>649757.399400023</v>
      </c>
      <c r="AD66" s="48" t="n">
        <f aca="false">IF(AD38=1,AD57*IFERROR(INDEX(Twin!$G$59:$BN$59,1,AD39),0),0)</f>
        <v>644907.656893494</v>
      </c>
      <c r="AE66" s="48" t="n">
        <f aca="false">IF(AE38=1,AE57*IFERROR(INDEX(Twin!$G$59:$BN$59,1,AE39),0),0)</f>
        <v>644455.092120157</v>
      </c>
      <c r="AF66" s="48" t="n">
        <f aca="false">IF(AF38=1,AF57*IFERROR(INDEX(Twin!$G$59:$BN$59,1,AF39),0),0)</f>
        <v>645236.74772222</v>
      </c>
      <c r="AG66" s="48" t="n">
        <f aca="false">IF(AG38=1,AG57*IFERROR(INDEX(Twin!$G$59:$BN$59,1,AG39),0),0)</f>
        <v>645502.447040759</v>
      </c>
      <c r="AH66" s="48" t="n">
        <f aca="false">IF(AH38=1,AH57*IFERROR(INDEX(Twin!$G$59:$BN$59,1,AH39),0),0)</f>
        <v>649958.020228575</v>
      </c>
      <c r="AI66" s="48" t="n">
        <f aca="false">IF(AI38=1,AI57*IFERROR(INDEX(Twin!$G$59:$BN$59,1,AI39),0),0)</f>
        <v>651432.505457834</v>
      </c>
      <c r="AJ66" s="48" t="n">
        <f aca="false">IF(AJ38=1,AJ57*IFERROR(INDEX(Twin!$G$59:$BN$59,1,AJ39),0),0)</f>
        <v>651870.471367514</v>
      </c>
      <c r="AK66" s="48" t="n">
        <f aca="false">IF(AK38=1,AK57*IFERROR(INDEX(Twin!$G$59:$BN$59,1,AK39),0),0)</f>
        <v>660221.021378756</v>
      </c>
      <c r="AL66" s="48" t="n">
        <f aca="false">IF(AL38=1,AL57*IFERROR(INDEX(Twin!$G$59:$BN$59,1,AL39),0),0)</f>
        <v>672557.061168092</v>
      </c>
      <c r="AM66" s="48" t="n">
        <f aca="false">IF(AM38=1,AM57*IFERROR(INDEX(Twin!$G$59:$BN$59,1,AM39),0),0)</f>
        <v>673608.179351325</v>
      </c>
      <c r="AN66" s="48" t="n">
        <f aca="false">IF(AN38=1,AN57*IFERROR(INDEX(Twin!$G$59:$BN$59,1,AN39),0),0)</f>
        <v>675643.260944974</v>
      </c>
      <c r="AO66" s="48" t="n">
        <f aca="false">IF(AO38=1,AO57*IFERROR(INDEX(Twin!$G$59:$BN$59,1,AO39),0),0)</f>
        <v>0</v>
      </c>
      <c r="AP66" s="48" t="n">
        <f aca="false">IF(AP38=1,AP57*IFERROR(INDEX(Twin!$G$59:$BN$59,1,AP39),0),0)</f>
        <v>0</v>
      </c>
      <c r="AQ66" s="48" t="n">
        <f aca="false">IF(AQ38=1,AQ57*IFERROR(INDEX(Twin!$G$59:$BN$59,1,AQ39),0),0)</f>
        <v>0</v>
      </c>
      <c r="AR66" s="48" t="n">
        <f aca="false">IF(AR38=1,AR57*IFERROR(INDEX(Twin!$G$59:$BN$59,1,AR39),0),0)</f>
        <v>0</v>
      </c>
      <c r="AS66" s="48" t="n">
        <f aca="false">IF(AS38=1,AS57*IFERROR(INDEX(Twin!$G$59:$BN$59,1,AS39),0),0)</f>
        <v>0</v>
      </c>
      <c r="AT66" s="48" t="n">
        <f aca="false">IF(AT38=1,AT57*IFERROR(INDEX(Twin!$G$59:$BN$59,1,AT39),0),0)</f>
        <v>0</v>
      </c>
      <c r="AU66" s="48" t="n">
        <f aca="false">IF(AU38=1,AU57*IFERROR(INDEX(Twin!$G$59:$BN$59,1,AU39),0),0)</f>
        <v>0</v>
      </c>
      <c r="AV66" s="48" t="n">
        <f aca="false">IF(AV38=1,AV57*IFERROR(INDEX(Twin!$G$59:$BN$59,1,AV39),0),0)</f>
        <v>0</v>
      </c>
      <c r="AW66" s="48" t="n">
        <f aca="false">IF(AW38=1,AW57*IFERROR(INDEX(Twin!$G$59:$BN$59,1,AW39),0),0)</f>
        <v>0</v>
      </c>
      <c r="AX66" s="48" t="n">
        <f aca="false">IF(AX38=1,AX57*IFERROR(INDEX(Twin!$G$59:$BN$59,1,AX39),0),0)</f>
        <v>0</v>
      </c>
      <c r="AY66" s="48" t="n">
        <f aca="false">IF(AY38=1,AY57*IFERROR(INDEX(Twin!$G$59:$BN$59,1,AY39),0),0)</f>
        <v>0</v>
      </c>
      <c r="AZ66" s="48" t="n">
        <f aca="false">IF(AZ38=1,AZ57*IFERROR(INDEX(Twin!$G$59:$BN$59,1,AZ39),0),0)</f>
        <v>0</v>
      </c>
      <c r="BA66" s="48" t="n">
        <f aca="false">IF(BA38=1,BA57*IFERROR(INDEX(Twin!$G$59:$BN$59,1,BA39),0),0)</f>
        <v>0</v>
      </c>
      <c r="BB66" s="48" t="n">
        <f aca="false">IF(BB38=1,BB57*IFERROR(INDEX(Twin!$G$59:$BN$59,1,BB39),0),0)</f>
        <v>0</v>
      </c>
      <c r="BC66" s="48" t="n">
        <f aca="false">IF(BC38=1,BC57*IFERROR(INDEX(Twin!$G$59:$BN$59,1,BC39),0),0)</f>
        <v>0</v>
      </c>
      <c r="BD66" s="48" t="n">
        <f aca="false">IF(BD38=1,BD57*IFERROR(INDEX(Twin!$G$59:$BN$59,1,BD39),0),0)</f>
        <v>0</v>
      </c>
      <c r="BE66" s="48" t="n">
        <f aca="false">IF(BE38=1,BE57*IFERROR(INDEX(Twin!$G$59:$BN$59,1,BE39),0),0)</f>
        <v>0</v>
      </c>
      <c r="BF66" s="48" t="n">
        <f aca="false">IF(BF38=1,BF57*IFERROR(INDEX(Twin!$G$59:$BN$59,1,BF39),0),0)</f>
        <v>0</v>
      </c>
      <c r="BG66" s="48" t="n">
        <f aca="false">IF(BG38=1,BG57*IFERROR(INDEX(Twin!$G$59:$BN$59,1,BG39),0),0)</f>
        <v>0</v>
      </c>
      <c r="BH66" s="48" t="n">
        <f aca="false">IF(BH38=1,BH57*IFERROR(INDEX(Twin!$G$59:$BN$59,1,BH39),0),0)</f>
        <v>0</v>
      </c>
      <c r="BI66" s="48" t="n">
        <f aca="false">IF(BI38=1,BI57*IFERROR(INDEX(Twin!$G$59:$BN$59,1,BI39),0),0)</f>
        <v>0</v>
      </c>
      <c r="BJ66" s="48" t="n">
        <f aca="false">IF(BJ38=1,BJ57*IFERROR(INDEX(Twin!$G$59:$BN$59,1,BJ39),0),0)</f>
        <v>0</v>
      </c>
      <c r="BK66" s="48" t="n">
        <f aca="false">IF(BK38=1,BK57*IFERROR(INDEX(Twin!$G$59:$BN$59,1,BK39),0),0)</f>
        <v>0</v>
      </c>
      <c r="BL66" s="48" t="n">
        <f aca="false">IF(BL38=1,BL57*IFERROR(INDEX(Twin!$G$59:$BN$59,1,BL39),0),0)</f>
        <v>0</v>
      </c>
      <c r="BM66" s="48" t="n">
        <f aca="false">IF(BM38=1,BM57*IFERROR(INDEX(Twin!$G$59:$BN$59,1,BM39),0),0)</f>
        <v>0</v>
      </c>
      <c r="BN66" s="48" t="n">
        <f aca="false">IF(BN38=1,BN57*IFERROR(INDEX(Twin!$G$59:$BN$59,1,BN39),0),0)</f>
        <v>0</v>
      </c>
      <c r="BO66" s="48" t="n">
        <f aca="false">IF(BO38=1,BO57*IFERROR(INDEX(Twin!$G$59:$BN$59,1,BO39),0),0)</f>
        <v>0</v>
      </c>
      <c r="BP66" s="48" t="n">
        <f aca="false">IF(BP38=1,BP57*IFERROR(INDEX(Twin!$G$59:$BN$59,1,BP39),0),0)</f>
        <v>0</v>
      </c>
      <c r="BQ66" s="48" t="n">
        <f aca="false">IF(BQ38=1,BQ57*IFERROR(INDEX(Twin!$G$59:$BN$59,1,BQ39),0),0)</f>
        <v>0</v>
      </c>
      <c r="BR66" s="48" t="n">
        <f aca="false">IF(BR38=1,BR57*IFERROR(INDEX(Twin!$G$59:$BN$59,1,BR39),0),0)</f>
        <v>0</v>
      </c>
      <c r="BS66" s="48" t="n">
        <f aca="false">IF(BS38=1,BS57*IFERROR(INDEX(Twin!$G$59:$BN$59,1,BS39),0),0)</f>
        <v>0</v>
      </c>
      <c r="BT66" s="48" t="n">
        <f aca="false">IF(BT38=1,BT57*IFERROR(INDEX(Twin!$G$59:$BN$59,1,BT39),0),0)</f>
        <v>0</v>
      </c>
      <c r="BU66" s="48" t="n">
        <f aca="false">IF(BU38=1,BU57*IFERROR(INDEX(Twin!$G$59:$BN$59,1,BU39),0),0)</f>
        <v>0</v>
      </c>
      <c r="BV66" s="48" t="n">
        <f aca="false">IF(BV38=1,BV57*IFERROR(INDEX(Twin!$G$59:$BN$59,1,BV39),0),0)</f>
        <v>0</v>
      </c>
      <c r="BW66" s="48" t="n">
        <f aca="false">IF(BW38=1,BW57*IFERROR(INDEX(Twin!$G$59:$BN$59,1,BW39),0),0)</f>
        <v>0</v>
      </c>
      <c r="BX66" s="48" t="n">
        <f aca="false">IF(BX38=1,BX57*IFERROR(INDEX(Twin!$G$59:$BN$59,1,BX39),0),0)</f>
        <v>0</v>
      </c>
    </row>
    <row r="67" customFormat="false" ht="15" hidden="false" customHeight="false" outlineLevel="0" collapsed="false">
      <c r="A67" s="1"/>
      <c r="B67" s="8" t="s">
        <v>422</v>
      </c>
      <c r="C67" s="8" t="s">
        <v>126</v>
      </c>
      <c r="D67" s="44" t="n">
        <f aca="false">SUM(G67:BX67)</f>
        <v>3206.55726443563</v>
      </c>
      <c r="E67" s="1"/>
      <c r="F67" s="1"/>
      <c r="G67" s="48" t="n">
        <f aca="false">G66*G52/1000000</f>
        <v>0</v>
      </c>
      <c r="H67" s="48" t="n">
        <f aca="false">H66*H52/1000000</f>
        <v>0</v>
      </c>
      <c r="I67" s="48" t="n">
        <f aca="false">I66*I52/1000000</f>
        <v>0</v>
      </c>
      <c r="J67" s="48" t="n">
        <f aca="false">J66*J52/1000000</f>
        <v>0</v>
      </c>
      <c r="K67" s="48" t="n">
        <f aca="false">K66*K52/1000000</f>
        <v>201.935236917775</v>
      </c>
      <c r="L67" s="48" t="n">
        <f aca="false">L66*L52/1000000</f>
        <v>190.62600236414</v>
      </c>
      <c r="M67" s="48" t="n">
        <f aca="false">M66*M52/1000000</f>
        <v>173.887427058651</v>
      </c>
      <c r="N67" s="48" t="n">
        <f aca="false">N66*N52/1000000</f>
        <v>155.754035442647</v>
      </c>
      <c r="O67" s="48" t="n">
        <f aca="false">O66*O52/1000000</f>
        <v>134.457084671247</v>
      </c>
      <c r="P67" s="48" t="n">
        <f aca="false">P66*P52/1000000</f>
        <v>125.705597308101</v>
      </c>
      <c r="Q67" s="48" t="n">
        <f aca="false">Q66*Q52/1000000</f>
        <v>119.055952142104</v>
      </c>
      <c r="R67" s="48" t="n">
        <f aca="false">R66*R52/1000000</f>
        <v>110.704625471315</v>
      </c>
      <c r="S67" s="48" t="n">
        <f aca="false">S66*S52/1000000</f>
        <v>104.23782231329</v>
      </c>
      <c r="T67" s="48" t="n">
        <f aca="false">T66*T52/1000000</f>
        <v>96.5164570476676</v>
      </c>
      <c r="U67" s="48" t="n">
        <f aca="false">U66*U52/1000000</f>
        <v>94.9211399437016</v>
      </c>
      <c r="V67" s="48" t="n">
        <f aca="false">V66*V52/1000000</f>
        <v>94.3890113634399</v>
      </c>
      <c r="W67" s="48" t="n">
        <f aca="false">W66*W52/1000000</f>
        <v>93.4889914190463</v>
      </c>
      <c r="X67" s="48" t="n">
        <f aca="false">X66*X52/1000000</f>
        <v>92.2871691662919</v>
      </c>
      <c r="Y67" s="48" t="n">
        <f aca="false">Y66*Y52/1000000</f>
        <v>89.9462939349586</v>
      </c>
      <c r="Z67" s="48" t="n">
        <f aca="false">Z66*Z52/1000000</f>
        <v>89.6053374742723</v>
      </c>
      <c r="AA67" s="48" t="n">
        <f aca="false">AA66*AA52/1000000</f>
        <v>89.1479346375201</v>
      </c>
      <c r="AB67" s="48" t="n">
        <f aca="false">AB66*AB52/1000000</f>
        <v>88.0959142445129</v>
      </c>
      <c r="AC67" s="48" t="n">
        <f aca="false">AC66*AC52/1000000</f>
        <v>87.7172489190031</v>
      </c>
      <c r="AD67" s="48" t="n">
        <f aca="false">AD66*AD52/1000000</f>
        <v>87.0625336806216</v>
      </c>
      <c r="AE67" s="48" t="n">
        <f aca="false">AE66*AE52/1000000</f>
        <v>87.0014374362212</v>
      </c>
      <c r="AF67" s="48" t="n">
        <f aca="false">AF66*AF52/1000000</f>
        <v>87.1069609424996</v>
      </c>
      <c r="AG67" s="48" t="n">
        <f aca="false">AG66*AG52/1000000</f>
        <v>87.1428303505024</v>
      </c>
      <c r="AH67" s="48" t="n">
        <f aca="false">AH66*AH52/1000000</f>
        <v>87.7443327308577</v>
      </c>
      <c r="AI67" s="48" t="n">
        <f aca="false">AI66*AI52/1000000</f>
        <v>87.9433882368075</v>
      </c>
      <c r="AJ67" s="48" t="n">
        <f aca="false">AJ66*AJ52/1000000</f>
        <v>88.0025136346144</v>
      </c>
      <c r="AK67" s="48" t="n">
        <f aca="false">AK66*AK52/1000000</f>
        <v>89.1298378861321</v>
      </c>
      <c r="AL67" s="48" t="n">
        <f aca="false">AL66*AL52/1000000</f>
        <v>90.7952032576924</v>
      </c>
      <c r="AM67" s="48" t="n">
        <f aca="false">AM66*AM52/1000000</f>
        <v>90.9371042124289</v>
      </c>
      <c r="AN67" s="48" t="n">
        <f aca="false">AN66*AN52/1000000</f>
        <v>91.2118402275715</v>
      </c>
      <c r="AO67" s="48" t="n">
        <f aca="false">AO66*AO52/1000000</f>
        <v>0</v>
      </c>
      <c r="AP67" s="48" t="n">
        <f aca="false">AP66*AP52/1000000</f>
        <v>0</v>
      </c>
      <c r="AQ67" s="48" t="n">
        <f aca="false">AQ66*AQ52/1000000</f>
        <v>0</v>
      </c>
      <c r="AR67" s="48" t="n">
        <f aca="false">AR66*AR52/1000000</f>
        <v>0</v>
      </c>
      <c r="AS67" s="48" t="n">
        <f aca="false">AS66*AS52/1000000</f>
        <v>0</v>
      </c>
      <c r="AT67" s="48" t="n">
        <f aca="false">AT66*AT52/1000000</f>
        <v>0</v>
      </c>
      <c r="AU67" s="48" t="n">
        <f aca="false">AU66*AU52/1000000</f>
        <v>0</v>
      </c>
      <c r="AV67" s="48" t="n">
        <f aca="false">AV66*AV52/1000000</f>
        <v>0</v>
      </c>
      <c r="AW67" s="48" t="n">
        <f aca="false">AW66*AW52/1000000</f>
        <v>0</v>
      </c>
      <c r="AX67" s="48" t="n">
        <f aca="false">AX66*AX52/1000000</f>
        <v>0</v>
      </c>
      <c r="AY67" s="48" t="n">
        <f aca="false">AY66*AY52/1000000</f>
        <v>0</v>
      </c>
      <c r="AZ67" s="48" t="n">
        <f aca="false">AZ66*AZ52/1000000</f>
        <v>0</v>
      </c>
      <c r="BA67" s="48" t="n">
        <f aca="false">BA66*BA52/1000000</f>
        <v>0</v>
      </c>
      <c r="BB67" s="48" t="n">
        <f aca="false">BB66*BB52/1000000</f>
        <v>0</v>
      </c>
      <c r="BC67" s="48" t="n">
        <f aca="false">BC66*BC52/1000000</f>
        <v>0</v>
      </c>
      <c r="BD67" s="48" t="n">
        <f aca="false">BD66*BD52/1000000</f>
        <v>0</v>
      </c>
      <c r="BE67" s="48" t="n">
        <f aca="false">BE66*BE52/1000000</f>
        <v>0</v>
      </c>
      <c r="BF67" s="48" t="n">
        <f aca="false">BF66*BF52/1000000</f>
        <v>0</v>
      </c>
      <c r="BG67" s="48" t="n">
        <f aca="false">BG66*BG52/1000000</f>
        <v>0</v>
      </c>
      <c r="BH67" s="48" t="n">
        <f aca="false">BH66*BH52/1000000</f>
        <v>0</v>
      </c>
      <c r="BI67" s="48" t="n">
        <f aca="false">BI66*BI52/1000000</f>
        <v>0</v>
      </c>
      <c r="BJ67" s="48" t="n">
        <f aca="false">BJ66*BJ52/1000000</f>
        <v>0</v>
      </c>
      <c r="BK67" s="48" t="n">
        <f aca="false">BK66*BK52/1000000</f>
        <v>0</v>
      </c>
      <c r="BL67" s="48" t="n">
        <f aca="false">BL66*BL52/1000000</f>
        <v>0</v>
      </c>
      <c r="BM67" s="48" t="n">
        <f aca="false">BM66*BM52/1000000</f>
        <v>0</v>
      </c>
      <c r="BN67" s="48" t="n">
        <f aca="false">BN66*BN52/1000000</f>
        <v>0</v>
      </c>
      <c r="BO67" s="48" t="n">
        <f aca="false">BO66*BO52/1000000</f>
        <v>0</v>
      </c>
      <c r="BP67" s="48" t="n">
        <f aca="false">BP66*BP52/1000000</f>
        <v>0</v>
      </c>
      <c r="BQ67" s="48" t="n">
        <f aca="false">BQ66*BQ52/1000000</f>
        <v>0</v>
      </c>
      <c r="BR67" s="48" t="n">
        <f aca="false">BR66*BR52/1000000</f>
        <v>0</v>
      </c>
      <c r="BS67" s="48" t="n">
        <f aca="false">BS66*BS52/1000000</f>
        <v>0</v>
      </c>
      <c r="BT67" s="48" t="n">
        <f aca="false">BT66*BT52/1000000</f>
        <v>0</v>
      </c>
      <c r="BU67" s="48" t="n">
        <f aca="false">BU66*BU52/1000000</f>
        <v>0</v>
      </c>
      <c r="BV67" s="48" t="n">
        <f aca="false">BV66*BV52/1000000</f>
        <v>0</v>
      </c>
      <c r="BW67" s="48" t="n">
        <f aca="false">BW66*BW52/1000000</f>
        <v>0</v>
      </c>
      <c r="BX67" s="48" t="n">
        <f aca="false">BX66*BX52/1000000</f>
        <v>0</v>
      </c>
    </row>
    <row r="68" customFormat="false" ht="15" hidden="false" customHeight="false" outlineLevel="0" collapsed="false">
      <c r="A68" s="1"/>
      <c r="B68" s="8" t="s">
        <v>423</v>
      </c>
      <c r="C68" s="8" t="s">
        <v>424</v>
      </c>
      <c r="D68" s="44" t="n">
        <f aca="false">SUM(G68:BX68)</f>
        <v>4764706.57219102</v>
      </c>
      <c r="E68" s="1"/>
      <c r="F68" s="1"/>
      <c r="G68" s="48" t="n">
        <f aca="false">G66*$D$26</f>
        <v>0</v>
      </c>
      <c r="H68" s="48" t="n">
        <f aca="false">H66*$D$26</f>
        <v>0</v>
      </c>
      <c r="I68" s="48" t="n">
        <f aca="false">I66*$D$26</f>
        <v>0</v>
      </c>
      <c r="J68" s="48" t="n">
        <f aca="false">J66*$D$26</f>
        <v>0</v>
      </c>
      <c r="K68" s="48" t="n">
        <f aca="false">K66*$D$26</f>
        <v>300060.803894116</v>
      </c>
      <c r="L68" s="48" t="n">
        <f aca="false">L66*$D$26</f>
        <v>283256.119068493</v>
      </c>
      <c r="M68" s="48" t="n">
        <f aca="false">M66*$D$26</f>
        <v>258383.836059002</v>
      </c>
      <c r="N68" s="48" t="n">
        <f aca="false">N66*$D$26</f>
        <v>231438.959331814</v>
      </c>
      <c r="O68" s="48" t="n">
        <f aca="false">O66*$D$26</f>
        <v>199793.268037424</v>
      </c>
      <c r="P68" s="48" t="n">
        <f aca="false">P66*$D$26</f>
        <v>186789.206074112</v>
      </c>
      <c r="Q68" s="48" t="n">
        <f aca="false">Q66*$D$26</f>
        <v>176908.325923748</v>
      </c>
      <c r="R68" s="48" t="n">
        <f aca="false">R66*$D$26</f>
        <v>164498.873107746</v>
      </c>
      <c r="S68" s="48" t="n">
        <f aca="false">S66*$D$26</f>
        <v>154889.682637378</v>
      </c>
      <c r="T68" s="48" t="n">
        <f aca="false">T66*$D$26</f>
        <v>143416.305805645</v>
      </c>
      <c r="U68" s="48" t="n">
        <f aca="false">U66*$D$26</f>
        <v>141045.782760789</v>
      </c>
      <c r="V68" s="48" t="n">
        <f aca="false">V66*$D$26</f>
        <v>140255.079107452</v>
      </c>
      <c r="W68" s="48" t="n">
        <f aca="false">W66*$D$26</f>
        <v>138917.716138227</v>
      </c>
      <c r="X68" s="48" t="n">
        <f aca="false">X66*$D$26</f>
        <v>137131.897294505</v>
      </c>
      <c r="Y68" s="48" t="n">
        <f aca="false">Y66*$D$26</f>
        <v>133653.530098909</v>
      </c>
      <c r="Z68" s="48" t="n">
        <f aca="false">Z66*$D$26</f>
        <v>133146.894054363</v>
      </c>
      <c r="AA68" s="48" t="n">
        <f aca="false">AA66*$D$26</f>
        <v>132467.227320641</v>
      </c>
      <c r="AB68" s="48" t="n">
        <f aca="false">AB66*$D$26</f>
        <v>130904.002944069</v>
      </c>
      <c r="AC68" s="48" t="n">
        <f aca="false">AC66*$D$26</f>
        <v>130341.334319645</v>
      </c>
      <c r="AD68" s="48" t="n">
        <f aca="false">AD66*$D$26</f>
        <v>129368.475972835</v>
      </c>
      <c r="AE68" s="48" t="n">
        <f aca="false">AE66*$D$26</f>
        <v>129277.691479304</v>
      </c>
      <c r="AF68" s="48" t="n">
        <f aca="false">AF66*$D$26</f>
        <v>129434.491593077</v>
      </c>
      <c r="AG68" s="48" t="n">
        <f aca="false">AG66*$D$26</f>
        <v>129487.790876376</v>
      </c>
      <c r="AH68" s="48" t="n">
        <f aca="false">AH66*$D$26</f>
        <v>130381.578857852</v>
      </c>
      <c r="AI68" s="48" t="n">
        <f aca="false">AI66*$D$26</f>
        <v>130677.360594841</v>
      </c>
      <c r="AJ68" s="48" t="n">
        <f aca="false">AJ66*$D$26</f>
        <v>130765.216556323</v>
      </c>
      <c r="AK68" s="48" t="n">
        <f aca="false">AK66*$D$26</f>
        <v>132440.336888579</v>
      </c>
      <c r="AL68" s="48" t="n">
        <f aca="false">AL66*$D$26</f>
        <v>134914.946470319</v>
      </c>
      <c r="AM68" s="48" t="n">
        <f aca="false">AM66*$D$26</f>
        <v>135125.800777876</v>
      </c>
      <c r="AN68" s="48" t="n">
        <f aca="false">AN66*$D$26</f>
        <v>135534.038145562</v>
      </c>
      <c r="AO68" s="48" t="n">
        <f aca="false">AO66*$D$26</f>
        <v>0</v>
      </c>
      <c r="AP68" s="48" t="n">
        <f aca="false">AP66*$D$26</f>
        <v>0</v>
      </c>
      <c r="AQ68" s="48" t="n">
        <f aca="false">AQ66*$D$26</f>
        <v>0</v>
      </c>
      <c r="AR68" s="48" t="n">
        <f aca="false">AR66*$D$26</f>
        <v>0</v>
      </c>
      <c r="AS68" s="48" t="n">
        <f aca="false">AS66*$D$26</f>
        <v>0</v>
      </c>
      <c r="AT68" s="48" t="n">
        <f aca="false">AT66*$D$26</f>
        <v>0</v>
      </c>
      <c r="AU68" s="48" t="n">
        <f aca="false">AU66*$D$26</f>
        <v>0</v>
      </c>
      <c r="AV68" s="48" t="n">
        <f aca="false">AV66*$D$26</f>
        <v>0</v>
      </c>
      <c r="AW68" s="48" t="n">
        <f aca="false">AW66*$D$26</f>
        <v>0</v>
      </c>
      <c r="AX68" s="48" t="n">
        <f aca="false">AX66*$D$26</f>
        <v>0</v>
      </c>
      <c r="AY68" s="48" t="n">
        <f aca="false">AY66*$D$26</f>
        <v>0</v>
      </c>
      <c r="AZ68" s="48" t="n">
        <f aca="false">AZ66*$D$26</f>
        <v>0</v>
      </c>
      <c r="BA68" s="48" t="n">
        <f aca="false">BA66*$D$26</f>
        <v>0</v>
      </c>
      <c r="BB68" s="48" t="n">
        <f aca="false">BB66*$D$26</f>
        <v>0</v>
      </c>
      <c r="BC68" s="48" t="n">
        <f aca="false">BC66*$D$26</f>
        <v>0</v>
      </c>
      <c r="BD68" s="48" t="n">
        <f aca="false">BD66*$D$26</f>
        <v>0</v>
      </c>
      <c r="BE68" s="48" t="n">
        <f aca="false">BE66*$D$26</f>
        <v>0</v>
      </c>
      <c r="BF68" s="48" t="n">
        <f aca="false">BF66*$D$26</f>
        <v>0</v>
      </c>
      <c r="BG68" s="48" t="n">
        <f aca="false">BG66*$D$26</f>
        <v>0</v>
      </c>
      <c r="BH68" s="48" t="n">
        <f aca="false">BH66*$D$26</f>
        <v>0</v>
      </c>
      <c r="BI68" s="48" t="n">
        <f aca="false">BI66*$D$26</f>
        <v>0</v>
      </c>
      <c r="BJ68" s="48" t="n">
        <f aca="false">BJ66*$D$26</f>
        <v>0</v>
      </c>
      <c r="BK68" s="48" t="n">
        <f aca="false">BK66*$D$26</f>
        <v>0</v>
      </c>
      <c r="BL68" s="48" t="n">
        <f aca="false">BL66*$D$26</f>
        <v>0</v>
      </c>
      <c r="BM68" s="48" t="n">
        <f aca="false">BM66*$D$26</f>
        <v>0</v>
      </c>
      <c r="BN68" s="48" t="n">
        <f aca="false">BN66*$D$26</f>
        <v>0</v>
      </c>
      <c r="BO68" s="48" t="n">
        <f aca="false">BO66*$D$26</f>
        <v>0</v>
      </c>
      <c r="BP68" s="48" t="n">
        <f aca="false">BP66*$D$26</f>
        <v>0</v>
      </c>
      <c r="BQ68" s="48" t="n">
        <f aca="false">BQ66*$D$26</f>
        <v>0</v>
      </c>
      <c r="BR68" s="48" t="n">
        <f aca="false">BR66*$D$26</f>
        <v>0</v>
      </c>
      <c r="BS68" s="48" t="n">
        <f aca="false">BS66*$D$26</f>
        <v>0</v>
      </c>
      <c r="BT68" s="48" t="n">
        <f aca="false">BT66*$D$26</f>
        <v>0</v>
      </c>
      <c r="BU68" s="48" t="n">
        <f aca="false">BU66*$D$26</f>
        <v>0</v>
      </c>
      <c r="BV68" s="48" t="n">
        <f aca="false">BV66*$D$26</f>
        <v>0</v>
      </c>
      <c r="BW68" s="48" t="n">
        <f aca="false">BW66*$D$26</f>
        <v>0</v>
      </c>
      <c r="BX68" s="48" t="n">
        <f aca="false">BX66*$D$26</f>
        <v>0</v>
      </c>
    </row>
    <row r="69" customFormat="false" ht="15" hidden="false" customHeight="false" outlineLevel="0" collapsed="false">
      <c r="A69" s="1"/>
      <c r="B69" s="8" t="s">
        <v>425</v>
      </c>
      <c r="C69" s="8" t="s">
        <v>126</v>
      </c>
      <c r="D69" s="44" t="n">
        <f aca="false">SUM(G69:BX69)</f>
        <v>2986.5131601478</v>
      </c>
      <c r="E69" s="1"/>
      <c r="F69" s="1"/>
      <c r="G69" s="48" t="n">
        <f aca="false">G68*G53/1000000</f>
        <v>0</v>
      </c>
      <c r="H69" s="48" t="n">
        <f aca="false">H68*H53/1000000</f>
        <v>0</v>
      </c>
      <c r="I69" s="48" t="n">
        <f aca="false">I68*I53/1000000</f>
        <v>0</v>
      </c>
      <c r="J69" s="48" t="n">
        <f aca="false">J68*J53/1000000</f>
        <v>0</v>
      </c>
      <c r="K69" s="48" t="n">
        <f aca="false">K68*K53/1000000</f>
        <v>157.110636675744</v>
      </c>
      <c r="L69" s="48" t="n">
        <f aca="false">L68*L53/1000000</f>
        <v>154.491428041444</v>
      </c>
      <c r="M69" s="48" t="n">
        <f aca="false">M68*M53/1000000</f>
        <v>146.562804943912</v>
      </c>
      <c r="N69" s="48" t="n">
        <f aca="false">N68*N53/1000000</f>
        <v>136.328077519088</v>
      </c>
      <c r="O69" s="48" t="n">
        <f aca="false">O68*O53/1000000</f>
        <v>122.046115299877</v>
      </c>
      <c r="P69" s="48" t="n">
        <f aca="false">P68*P53/1000000</f>
        <v>115.732462686571</v>
      </c>
      <c r="Q69" s="48" t="n">
        <f aca="false">Q68*Q53/1000000</f>
        <v>111.154190184445</v>
      </c>
      <c r="R69" s="48" t="n">
        <f aca="false">R68*R53/1000000</f>
        <v>104.79265822253</v>
      </c>
      <c r="S69" s="48" t="n">
        <f aca="false">S68*S53/1000000</f>
        <v>100.022862533247</v>
      </c>
      <c r="T69" s="48" t="n">
        <f aca="false">T68*T53/1000000</f>
        <v>93.8652550682659</v>
      </c>
      <c r="U69" s="48" t="n">
        <f aca="false">U68*U53/1000000</f>
        <v>92.3137595880228</v>
      </c>
      <c r="V69" s="48" t="n">
        <f aca="false">V68*V53/1000000</f>
        <v>91.7962480004319</v>
      </c>
      <c r="W69" s="48" t="n">
        <f aca="false">W68*W53/1000000</f>
        <v>90.9209506238891</v>
      </c>
      <c r="X69" s="48" t="n">
        <f aca="false">X68*X53/1000000</f>
        <v>89.752141119767</v>
      </c>
      <c r="Y69" s="48" t="n">
        <f aca="false">Y68*Y53/1000000</f>
        <v>87.4755671820853</v>
      </c>
      <c r="Z69" s="48" t="n">
        <f aca="false">Z68*Z53/1000000</f>
        <v>87.1439764241104</v>
      </c>
      <c r="AA69" s="48" t="n">
        <f aca="false">AA68*AA53/1000000</f>
        <v>86.6991379452229</v>
      </c>
      <c r="AB69" s="48" t="n">
        <f aca="false">AB68*AB53/1000000</f>
        <v>85.6760154068783</v>
      </c>
      <c r="AC69" s="48" t="n">
        <f aca="false">AC68*AC53/1000000</f>
        <v>85.3077516055358</v>
      </c>
      <c r="AD69" s="48" t="n">
        <f aca="false">AD68*AD53/1000000</f>
        <v>84.6710206818405</v>
      </c>
      <c r="AE69" s="48" t="n">
        <f aca="false">AE68*AE53/1000000</f>
        <v>84.6116026847468</v>
      </c>
      <c r="AF69" s="48" t="n">
        <f aca="false">AF68*AF53/1000000</f>
        <v>84.7142275752111</v>
      </c>
      <c r="AG69" s="48" t="n">
        <f aca="false">AG68*AG53/1000000</f>
        <v>84.7491116896339</v>
      </c>
      <c r="AH69" s="48" t="n">
        <f aca="false">AH68*AH53/1000000</f>
        <v>85.33409145457</v>
      </c>
      <c r="AI69" s="48" t="n">
        <f aca="false">AI68*AI53/1000000</f>
        <v>85.5276791225208</v>
      </c>
      <c r="AJ69" s="48" t="n">
        <f aca="false">AJ68*AJ53/1000000</f>
        <v>85.5851804100308</v>
      </c>
      <c r="AK69" s="48" t="n">
        <f aca="false">AK68*AK53/1000000</f>
        <v>86.6815382918902</v>
      </c>
      <c r="AL69" s="48" t="n">
        <f aca="false">AL68*AL53/1000000</f>
        <v>88.3011578900916</v>
      </c>
      <c r="AM69" s="48" t="n">
        <f aca="false">AM68*AM53/1000000</f>
        <v>88.4391609801158</v>
      </c>
      <c r="AN69" s="48" t="n">
        <f aca="false">AN68*AN53/1000000</f>
        <v>88.7063502960795</v>
      </c>
      <c r="AO69" s="48" t="n">
        <f aca="false">AO68*AO53/1000000</f>
        <v>0</v>
      </c>
      <c r="AP69" s="48" t="n">
        <f aca="false">AP68*AP53/1000000</f>
        <v>0</v>
      </c>
      <c r="AQ69" s="48" t="n">
        <f aca="false">AQ68*AQ53/1000000</f>
        <v>0</v>
      </c>
      <c r="AR69" s="48" t="n">
        <f aca="false">AR68*AR53/1000000</f>
        <v>0</v>
      </c>
      <c r="AS69" s="48" t="n">
        <f aca="false">AS68*AS53/1000000</f>
        <v>0</v>
      </c>
      <c r="AT69" s="48" t="n">
        <f aca="false">AT68*AT53/1000000</f>
        <v>0</v>
      </c>
      <c r="AU69" s="48" t="n">
        <f aca="false">AU68*AU53/1000000</f>
        <v>0</v>
      </c>
      <c r="AV69" s="48" t="n">
        <f aca="false">AV68*AV53/1000000</f>
        <v>0</v>
      </c>
      <c r="AW69" s="48" t="n">
        <f aca="false">AW68*AW53/1000000</f>
        <v>0</v>
      </c>
      <c r="AX69" s="48" t="n">
        <f aca="false">AX68*AX53/1000000</f>
        <v>0</v>
      </c>
      <c r="AY69" s="48" t="n">
        <f aca="false">AY68*AY53/1000000</f>
        <v>0</v>
      </c>
      <c r="AZ69" s="48" t="n">
        <f aca="false">AZ68*AZ53/1000000</f>
        <v>0</v>
      </c>
      <c r="BA69" s="48" t="n">
        <f aca="false">BA68*BA53/1000000</f>
        <v>0</v>
      </c>
      <c r="BB69" s="48" t="n">
        <f aca="false">BB68*BB53/1000000</f>
        <v>0</v>
      </c>
      <c r="BC69" s="48" t="n">
        <f aca="false">BC68*BC53/1000000</f>
        <v>0</v>
      </c>
      <c r="BD69" s="48" t="n">
        <f aca="false">BD68*BD53/1000000</f>
        <v>0</v>
      </c>
      <c r="BE69" s="48" t="n">
        <f aca="false">BE68*BE53/1000000</f>
        <v>0</v>
      </c>
      <c r="BF69" s="48" t="n">
        <f aca="false">BF68*BF53/1000000</f>
        <v>0</v>
      </c>
      <c r="BG69" s="48" t="n">
        <f aca="false">BG68*BG53/1000000</f>
        <v>0</v>
      </c>
      <c r="BH69" s="48" t="n">
        <f aca="false">BH68*BH53/1000000</f>
        <v>0</v>
      </c>
      <c r="BI69" s="48" t="n">
        <f aca="false">BI68*BI53/1000000</f>
        <v>0</v>
      </c>
      <c r="BJ69" s="48" t="n">
        <f aca="false">BJ68*BJ53/1000000</f>
        <v>0</v>
      </c>
      <c r="BK69" s="48" t="n">
        <f aca="false">BK68*BK53/1000000</f>
        <v>0</v>
      </c>
      <c r="BL69" s="48" t="n">
        <f aca="false">BL68*BL53/1000000</f>
        <v>0</v>
      </c>
      <c r="BM69" s="48" t="n">
        <f aca="false">BM68*BM53/1000000</f>
        <v>0</v>
      </c>
      <c r="BN69" s="48" t="n">
        <f aca="false">BN68*BN53/1000000</f>
        <v>0</v>
      </c>
      <c r="BO69" s="48" t="n">
        <f aca="false">BO68*BO53/1000000</f>
        <v>0</v>
      </c>
      <c r="BP69" s="48" t="n">
        <f aca="false">BP68*BP53/1000000</f>
        <v>0</v>
      </c>
      <c r="BQ69" s="48" t="n">
        <f aca="false">BQ68*BQ53/1000000</f>
        <v>0</v>
      </c>
      <c r="BR69" s="48" t="n">
        <f aca="false">BR68*BR53/1000000</f>
        <v>0</v>
      </c>
      <c r="BS69" s="48" t="n">
        <f aca="false">BS68*BS53/1000000</f>
        <v>0</v>
      </c>
      <c r="BT69" s="48" t="n">
        <f aca="false">BT68*BT53/1000000</f>
        <v>0</v>
      </c>
      <c r="BU69" s="48" t="n">
        <f aca="false">BU68*BU53/1000000</f>
        <v>0</v>
      </c>
      <c r="BV69" s="48" t="n">
        <f aca="false">BV68*BV53/1000000</f>
        <v>0</v>
      </c>
      <c r="BW69" s="48" t="n">
        <f aca="false">BW68*BW53/1000000</f>
        <v>0</v>
      </c>
      <c r="BX69" s="48" t="n">
        <f aca="false">BX68*BX53/1000000</f>
        <v>0</v>
      </c>
    </row>
    <row r="70" customFormat="false" ht="15" hidden="false" customHeight="false" outlineLevel="0" collapsed="false">
      <c r="A70" s="1"/>
      <c r="B70" s="8" t="s">
        <v>335</v>
      </c>
      <c r="C70" s="8" t="s">
        <v>126</v>
      </c>
      <c r="D70" s="44" t="n">
        <f aca="false">SUM(G70:BX70)</f>
        <v>216.866472</v>
      </c>
      <c r="E70" s="1"/>
      <c r="F70" s="1"/>
      <c r="G70" s="48" t="n">
        <f aca="false">G57*$D$15/1000000</f>
        <v>0</v>
      </c>
      <c r="H70" s="48" t="n">
        <f aca="false">H57*$D$15/1000000</f>
        <v>0</v>
      </c>
      <c r="I70" s="48" t="n">
        <f aca="false">I57*$D$15/1000000</f>
        <v>0</v>
      </c>
      <c r="J70" s="48" t="n">
        <f aca="false">J57*$D$15/1000000</f>
        <v>0</v>
      </c>
      <c r="K70" s="48" t="n">
        <f aca="false">K57*$D$15/1000000</f>
        <v>13.770216</v>
      </c>
      <c r="L70" s="48" t="n">
        <f aca="false">L57*$D$15/1000000</f>
        <v>13.002096</v>
      </c>
      <c r="M70" s="48" t="n">
        <f aca="false">M57*$D$15/1000000</f>
        <v>11.831712</v>
      </c>
      <c r="N70" s="48" t="n">
        <f aca="false">N57*$D$15/1000000</f>
        <v>10.576968</v>
      </c>
      <c r="O70" s="48" t="n">
        <f aca="false">O57*$D$15/1000000</f>
        <v>9.126864</v>
      </c>
      <c r="P70" s="48" t="n">
        <f aca="false">P57*$D$15/1000000</f>
        <v>8.513256</v>
      </c>
      <c r="Q70" s="48" t="n">
        <f aca="false">Q57*$D$15/1000000</f>
        <v>8.055936</v>
      </c>
      <c r="R70" s="48" t="n">
        <f aca="false">R57*$D$15/1000000</f>
        <v>7.487616</v>
      </c>
      <c r="S70" s="48" t="n">
        <f aca="false">S57*$D$15/1000000</f>
        <v>7.039176</v>
      </c>
      <c r="T70" s="48" t="n">
        <f aca="false">T57*$D$15/1000000</f>
        <v>6.512592</v>
      </c>
      <c r="U70" s="48" t="n">
        <f aca="false">U57*$D$15/1000000</f>
        <v>6.407808</v>
      </c>
      <c r="V70" s="48" t="n">
        <f aca="false">V57*$D$15/1000000</f>
        <v>6.372288</v>
      </c>
      <c r="W70" s="48" t="n">
        <f aca="false">W57*$D$15/1000000</f>
        <v>6.305688</v>
      </c>
      <c r="X70" s="48" t="n">
        <f aca="false">X57*$D$15/1000000</f>
        <v>6.223104</v>
      </c>
      <c r="Y70" s="48" t="n">
        <f aca="false">Y57*$D$15/1000000</f>
        <v>6.059712</v>
      </c>
      <c r="Z70" s="48" t="n">
        <f aca="false">Z57*$D$15/1000000</f>
        <v>6.037512</v>
      </c>
      <c r="AA70" s="48" t="n">
        <f aca="false">AA57*$D$15/1000000</f>
        <v>6.009096</v>
      </c>
      <c r="AB70" s="48" t="n">
        <f aca="false">AB57*$D$15/1000000</f>
        <v>5.939832</v>
      </c>
      <c r="AC70" s="48" t="n">
        <f aca="false">AC57*$D$15/1000000</f>
        <v>5.914968</v>
      </c>
      <c r="AD70" s="48" t="n">
        <f aca="false">AD57*$D$15/1000000</f>
        <v>5.868792</v>
      </c>
      <c r="AE70" s="48" t="n">
        <f aca="false">AE57*$D$15/1000000</f>
        <v>5.864352</v>
      </c>
      <c r="AF70" s="48" t="n">
        <f aca="false">AF57*$D$15/1000000</f>
        <v>5.870568</v>
      </c>
      <c r="AG70" s="48" t="n">
        <f aca="false">AG57*$D$15/1000000</f>
        <v>5.872344</v>
      </c>
      <c r="AH70" s="48" t="n">
        <f aca="false">AH57*$D$15/1000000</f>
        <v>5.91408</v>
      </c>
      <c r="AI70" s="48" t="n">
        <f aca="false">AI57*$D$15/1000000</f>
        <v>5.9274</v>
      </c>
      <c r="AJ70" s="48" t="n">
        <f aca="false">AJ57*$D$15/1000000</f>
        <v>5.93184</v>
      </c>
      <c r="AK70" s="48" t="n">
        <f aca="false">AK57*$D$15/1000000</f>
        <v>6.01176</v>
      </c>
      <c r="AL70" s="48" t="n">
        <f aca="false">AL57*$D$15/1000000</f>
        <v>6.1272</v>
      </c>
      <c r="AM70" s="48" t="n">
        <f aca="false">AM57*$D$15/1000000</f>
        <v>6.13608</v>
      </c>
      <c r="AN70" s="48" t="n">
        <f aca="false">AN57*$D$15/1000000</f>
        <v>6.155616</v>
      </c>
      <c r="AO70" s="48" t="n">
        <f aca="false">AO57*$D$15/1000000</f>
        <v>0</v>
      </c>
      <c r="AP70" s="48" t="n">
        <f aca="false">AP57*$D$15/1000000</f>
        <v>0</v>
      </c>
      <c r="AQ70" s="48" t="n">
        <f aca="false">AQ57*$D$15/1000000</f>
        <v>0</v>
      </c>
      <c r="AR70" s="48" t="n">
        <f aca="false">AR57*$D$15/1000000</f>
        <v>0</v>
      </c>
      <c r="AS70" s="48" t="n">
        <f aca="false">AS57*$D$15/1000000</f>
        <v>0</v>
      </c>
      <c r="AT70" s="48" t="n">
        <f aca="false">AT57*$D$15/1000000</f>
        <v>0</v>
      </c>
      <c r="AU70" s="48" t="n">
        <f aca="false">AU57*$D$15/1000000</f>
        <v>0</v>
      </c>
      <c r="AV70" s="48" t="n">
        <f aca="false">AV57*$D$15/1000000</f>
        <v>0</v>
      </c>
      <c r="AW70" s="48" t="n">
        <f aca="false">AW57*$D$15/1000000</f>
        <v>0</v>
      </c>
      <c r="AX70" s="48" t="n">
        <f aca="false">AX57*$D$15/1000000</f>
        <v>0</v>
      </c>
      <c r="AY70" s="48" t="n">
        <f aca="false">AY57*$D$15/1000000</f>
        <v>0</v>
      </c>
      <c r="AZ70" s="48" t="n">
        <f aca="false">AZ57*$D$15/1000000</f>
        <v>0</v>
      </c>
      <c r="BA70" s="48" t="n">
        <f aca="false">BA57*$D$15/1000000</f>
        <v>0</v>
      </c>
      <c r="BB70" s="48" t="n">
        <f aca="false">BB57*$D$15/1000000</f>
        <v>0</v>
      </c>
      <c r="BC70" s="48" t="n">
        <f aca="false">BC57*$D$15/1000000</f>
        <v>0</v>
      </c>
      <c r="BD70" s="48" t="n">
        <f aca="false">BD57*$D$15/1000000</f>
        <v>0</v>
      </c>
      <c r="BE70" s="48" t="n">
        <f aca="false">BE57*$D$15/1000000</f>
        <v>0</v>
      </c>
      <c r="BF70" s="48" t="n">
        <f aca="false">BF57*$D$15/1000000</f>
        <v>0</v>
      </c>
      <c r="BG70" s="48" t="n">
        <f aca="false">BG57*$D$15/1000000</f>
        <v>0</v>
      </c>
      <c r="BH70" s="48" t="n">
        <f aca="false">BH57*$D$15/1000000</f>
        <v>0</v>
      </c>
      <c r="BI70" s="48" t="n">
        <f aca="false">BI57*$D$15/1000000</f>
        <v>0</v>
      </c>
      <c r="BJ70" s="48" t="n">
        <f aca="false">BJ57*$D$15/1000000</f>
        <v>0</v>
      </c>
      <c r="BK70" s="48" t="n">
        <f aca="false">BK57*$D$15/1000000</f>
        <v>0</v>
      </c>
      <c r="BL70" s="48" t="n">
        <f aca="false">BL57*$D$15/1000000</f>
        <v>0</v>
      </c>
      <c r="BM70" s="48" t="n">
        <f aca="false">BM57*$D$15/1000000</f>
        <v>0</v>
      </c>
      <c r="BN70" s="48" t="n">
        <f aca="false">BN57*$D$15/1000000</f>
        <v>0</v>
      </c>
      <c r="BO70" s="48" t="n">
        <f aca="false">BO57*$D$15/1000000</f>
        <v>0</v>
      </c>
      <c r="BP70" s="48" t="n">
        <f aca="false">BP57*$D$15/1000000</f>
        <v>0</v>
      </c>
      <c r="BQ70" s="48" t="n">
        <f aca="false">BQ57*$D$15/1000000</f>
        <v>0</v>
      </c>
      <c r="BR70" s="48" t="n">
        <f aca="false">BR57*$D$15/1000000</f>
        <v>0</v>
      </c>
      <c r="BS70" s="48" t="n">
        <f aca="false">BS57*$D$15/1000000</f>
        <v>0</v>
      </c>
      <c r="BT70" s="48" t="n">
        <f aca="false">BT57*$D$15/1000000</f>
        <v>0</v>
      </c>
      <c r="BU70" s="48" t="n">
        <f aca="false">BU57*$D$15/1000000</f>
        <v>0</v>
      </c>
      <c r="BV70" s="48" t="n">
        <f aca="false">BV57*$D$15/1000000</f>
        <v>0</v>
      </c>
      <c r="BW70" s="48" t="n">
        <f aca="false">BW57*$D$15/1000000</f>
        <v>0</v>
      </c>
      <c r="BX70" s="48" t="n">
        <f aca="false">BX57*$D$15/1000000</f>
        <v>0</v>
      </c>
    </row>
    <row r="71" customFormat="false" ht="15" hidden="false" customHeight="false" outlineLevel="0" collapsed="false">
      <c r="A71" s="1"/>
      <c r="B71" s="8" t="s">
        <v>426</v>
      </c>
      <c r="C71" s="8" t="s">
        <v>126</v>
      </c>
      <c r="D71" s="44" t="n">
        <f aca="false">SUM(G71:BX71)</f>
        <v>608.560152</v>
      </c>
      <c r="E71" s="1"/>
      <c r="F71" s="1"/>
      <c r="G71" s="48" t="n">
        <f aca="false">IF(G38=1,G57*IFERROR(INDEX(Twin!$G$63:$BN$63,1,G39),0)/1000000,0)</f>
        <v>0</v>
      </c>
      <c r="H71" s="48" t="n">
        <f aca="false">IF(H38=1,H57*IFERROR(INDEX(Twin!$G$63:$BN$63,1,H39),0)/1000000,0)</f>
        <v>0</v>
      </c>
      <c r="I71" s="48" t="n">
        <f aca="false">IF(I38=1,I57*IFERROR(INDEX(Twin!$G$63:$BN$63,1,I39),0)/1000000,0)</f>
        <v>0</v>
      </c>
      <c r="J71" s="48" t="n">
        <f aca="false">IF(J38=1,J57*IFERROR(INDEX(Twin!$G$63:$BN$63,1,J39),0)/1000000,0)</f>
        <v>0</v>
      </c>
      <c r="K71" s="48" t="n">
        <f aca="false">IF(K38=1,K57*IFERROR(INDEX(Twin!$G$63:$BN$63,1,K39),0)/1000000,0)</f>
        <v>23.656074</v>
      </c>
      <c r="L71" s="48" t="n">
        <f aca="false">IF(L38=1,L57*IFERROR(INDEX(Twin!$G$63:$BN$63,1,L39),0)/1000000,0)</f>
        <v>23.464836</v>
      </c>
      <c r="M71" s="48" t="n">
        <f aca="false">IF(M38=1,M57*IFERROR(INDEX(Twin!$G$63:$BN$63,1,M39),0)/1000000,0)</f>
        <v>23.479722</v>
      </c>
      <c r="N71" s="48" t="n">
        <f aca="false">IF(N38=1,N57*IFERROR(INDEX(Twin!$G$63:$BN$63,1,N39),0)/1000000,0)</f>
        <v>23.445168</v>
      </c>
      <c r="O71" s="48" t="n">
        <f aca="false">IF(O38=1,O57*IFERROR(INDEX(Twin!$G$63:$BN$63,1,O39),0)/1000000,0)</f>
        <v>22.003674</v>
      </c>
      <c r="P71" s="48" t="n">
        <f aca="false">IF(P38=1,P57*IFERROR(INDEX(Twin!$G$63:$BN$63,1,P39),0)/1000000,0)</f>
        <v>21.214278</v>
      </c>
      <c r="Q71" s="48" t="n">
        <f aca="false">IF(Q38=1,Q57*IFERROR(INDEX(Twin!$G$63:$BN$63,1,Q39),0)/1000000,0)</f>
        <v>20.908272</v>
      </c>
      <c r="R71" s="48" t="n">
        <f aca="false">IF(R38=1,R57*IFERROR(INDEX(Twin!$G$63:$BN$63,1,R39),0)/1000000,0)</f>
        <v>20.803212</v>
      </c>
      <c r="S71" s="48" t="n">
        <f aca="false">IF(S38=1,S57*IFERROR(INDEX(Twin!$G$63:$BN$63,1,S39),0)/1000000,0)</f>
        <v>20.843502</v>
      </c>
      <c r="T71" s="48" t="n">
        <f aca="false">IF(T38=1,T57*IFERROR(INDEX(Twin!$G$63:$BN$63,1,T39),0)/1000000,0)</f>
        <v>20.178864</v>
      </c>
      <c r="U71" s="48" t="n">
        <f aca="false">IF(U38=1,U57*IFERROR(INDEX(Twin!$G$63:$BN$63,1,U39),0)/1000000,0)</f>
        <v>19.985346</v>
      </c>
      <c r="V71" s="48" t="n">
        <f aca="false">IF(V38=1,V57*IFERROR(INDEX(Twin!$G$63:$BN$63,1,V39),0)/1000000,0)</f>
        <v>19.985346</v>
      </c>
      <c r="W71" s="48" t="n">
        <f aca="false">IF(W38=1,W57*IFERROR(INDEX(Twin!$G$63:$BN$63,1,W39),0)/1000000,0)</f>
        <v>19.869606</v>
      </c>
      <c r="X71" s="48" t="n">
        <f aca="false">IF(X38=1,X57*IFERROR(INDEX(Twin!$G$63:$BN$63,1,X39),0)/1000000,0)</f>
        <v>19.77795</v>
      </c>
      <c r="Y71" s="48" t="n">
        <f aca="false">IF(Y38=1,Y57*IFERROR(INDEX(Twin!$G$63:$BN$63,1,Y39),0)/1000000,0)</f>
        <v>19.389954</v>
      </c>
      <c r="Z71" s="48" t="n">
        <f aca="false">IF(Z38=1,Z57*IFERROR(INDEX(Twin!$G$63:$BN$63,1,Z39),0)/1000000,0)</f>
        <v>19.389954</v>
      </c>
      <c r="AA71" s="48" t="n">
        <f aca="false">IF(AA38=1,AA57*IFERROR(INDEX(Twin!$G$63:$BN$63,1,AA39),0)/1000000,0)</f>
        <v>19.317036</v>
      </c>
      <c r="AB71" s="48" t="n">
        <f aca="false">IF(AB38=1,AB57*IFERROR(INDEX(Twin!$G$63:$BN$63,1,AB39),0)/1000000,0)</f>
        <v>19.10592</v>
      </c>
      <c r="AC71" s="48" t="n">
        <f aca="false">IF(AC38=1,AC57*IFERROR(INDEX(Twin!$G$63:$BN$63,1,AC39),0)/1000000,0)</f>
        <v>19.15992</v>
      </c>
      <c r="AD71" s="48" t="n">
        <f aca="false">IF(AD38=1,AD57*IFERROR(INDEX(Twin!$G$63:$BN$63,1,AD39),0)/1000000,0)</f>
        <v>19.15992</v>
      </c>
      <c r="AE71" s="48" t="n">
        <f aca="false">IF(AE38=1,AE57*IFERROR(INDEX(Twin!$G$63:$BN$63,1,AE39),0)/1000000,0)</f>
        <v>19.15992</v>
      </c>
      <c r="AF71" s="48" t="n">
        <f aca="false">IF(AF38=1,AF57*IFERROR(INDEX(Twin!$G$63:$BN$63,1,AF39),0)/1000000,0)</f>
        <v>19.13292</v>
      </c>
      <c r="AG71" s="48" t="n">
        <f aca="false">IF(AG38=1,AG57*IFERROR(INDEX(Twin!$G$63:$BN$63,1,AG39),0)/1000000,0)</f>
        <v>19.13292</v>
      </c>
      <c r="AH71" s="48" t="n">
        <f aca="false">IF(AH38=1,AH57*IFERROR(INDEX(Twin!$G$63:$BN$63,1,AH39),0)/1000000,0)</f>
        <v>19.34226</v>
      </c>
      <c r="AI71" s="48" t="n">
        <f aca="false">IF(AI38=1,AI57*IFERROR(INDEX(Twin!$G$63:$BN$63,1,AI39),0)/1000000,0)</f>
        <v>19.34226</v>
      </c>
      <c r="AJ71" s="48" t="n">
        <f aca="false">IF(AJ38=1,AJ57*IFERROR(INDEX(Twin!$G$63:$BN$63,1,AJ39),0)/1000000,0)</f>
        <v>19.31526</v>
      </c>
      <c r="AK71" s="48" t="n">
        <f aca="false">IF(AK38=1,AK57*IFERROR(INDEX(Twin!$G$63:$BN$63,1,AK39),0)/1000000,0)</f>
        <v>19.38012</v>
      </c>
      <c r="AL71" s="48" t="n">
        <f aca="false">IF(AL38=1,AL57*IFERROR(INDEX(Twin!$G$63:$BN$63,1,AL39),0)/1000000,0)</f>
        <v>19.499094</v>
      </c>
      <c r="AM71" s="48" t="n">
        <f aca="false">IF(AM38=1,AM57*IFERROR(INDEX(Twin!$G$63:$BN$63,1,AM39),0)/1000000,0)</f>
        <v>19.499094</v>
      </c>
      <c r="AN71" s="48" t="n">
        <f aca="false">IF(AN38=1,AN57*IFERROR(INDEX(Twin!$G$63:$BN$63,1,AN39),0)/1000000,0)</f>
        <v>19.61775</v>
      </c>
      <c r="AO71" s="48" t="n">
        <f aca="false">IF(AO38=1,AO57*IFERROR(INDEX(Twin!$G$63:$BN$63,1,AO39),0)/1000000,0)</f>
        <v>0</v>
      </c>
      <c r="AP71" s="48" t="n">
        <f aca="false">IF(AP38=1,AP57*IFERROR(INDEX(Twin!$G$63:$BN$63,1,AP39),0)/1000000,0)</f>
        <v>0</v>
      </c>
      <c r="AQ71" s="48" t="n">
        <f aca="false">IF(AQ38=1,AQ57*IFERROR(INDEX(Twin!$G$63:$BN$63,1,AQ39),0)/1000000,0)</f>
        <v>0</v>
      </c>
      <c r="AR71" s="48" t="n">
        <f aca="false">IF(AR38=1,AR57*IFERROR(INDEX(Twin!$G$63:$BN$63,1,AR39),0)/1000000,0)</f>
        <v>0</v>
      </c>
      <c r="AS71" s="48" t="n">
        <f aca="false">IF(AS38=1,AS57*IFERROR(INDEX(Twin!$G$63:$BN$63,1,AS39),0)/1000000,0)</f>
        <v>0</v>
      </c>
      <c r="AT71" s="48" t="n">
        <f aca="false">IF(AT38=1,AT57*IFERROR(INDEX(Twin!$G$63:$BN$63,1,AT39),0)/1000000,0)</f>
        <v>0</v>
      </c>
      <c r="AU71" s="48" t="n">
        <f aca="false">IF(AU38=1,AU57*IFERROR(INDEX(Twin!$G$63:$BN$63,1,AU39),0)/1000000,0)</f>
        <v>0</v>
      </c>
      <c r="AV71" s="48" t="n">
        <f aca="false">IF(AV38=1,AV57*IFERROR(INDEX(Twin!$G$63:$BN$63,1,AV39),0)/1000000,0)</f>
        <v>0</v>
      </c>
      <c r="AW71" s="48" t="n">
        <f aca="false">IF(AW38=1,AW57*IFERROR(INDEX(Twin!$G$63:$BN$63,1,AW39),0)/1000000,0)</f>
        <v>0</v>
      </c>
      <c r="AX71" s="48" t="n">
        <f aca="false">IF(AX38=1,AX57*IFERROR(INDEX(Twin!$G$63:$BN$63,1,AX39),0)/1000000,0)</f>
        <v>0</v>
      </c>
      <c r="AY71" s="48" t="n">
        <f aca="false">IF(AY38=1,AY57*IFERROR(INDEX(Twin!$G$63:$BN$63,1,AY39),0)/1000000,0)</f>
        <v>0</v>
      </c>
      <c r="AZ71" s="48" t="n">
        <f aca="false">IF(AZ38=1,AZ57*IFERROR(INDEX(Twin!$G$63:$BN$63,1,AZ39),0)/1000000,0)</f>
        <v>0</v>
      </c>
      <c r="BA71" s="48" t="n">
        <f aca="false">IF(BA38=1,BA57*IFERROR(INDEX(Twin!$G$63:$BN$63,1,BA39),0)/1000000,0)</f>
        <v>0</v>
      </c>
      <c r="BB71" s="48" t="n">
        <f aca="false">IF(BB38=1,BB57*IFERROR(INDEX(Twin!$G$63:$BN$63,1,BB39),0)/1000000,0)</f>
        <v>0</v>
      </c>
      <c r="BC71" s="48" t="n">
        <f aca="false">IF(BC38=1,BC57*IFERROR(INDEX(Twin!$G$63:$BN$63,1,BC39),0)/1000000,0)</f>
        <v>0</v>
      </c>
      <c r="BD71" s="48" t="n">
        <f aca="false">IF(BD38=1,BD57*IFERROR(INDEX(Twin!$G$63:$BN$63,1,BD39),0)/1000000,0)</f>
        <v>0</v>
      </c>
      <c r="BE71" s="48" t="n">
        <f aca="false">IF(BE38=1,BE57*IFERROR(INDEX(Twin!$G$63:$BN$63,1,BE39),0)/1000000,0)</f>
        <v>0</v>
      </c>
      <c r="BF71" s="48" t="n">
        <f aca="false">IF(BF38=1,BF57*IFERROR(INDEX(Twin!$G$63:$BN$63,1,BF39),0)/1000000,0)</f>
        <v>0</v>
      </c>
      <c r="BG71" s="48" t="n">
        <f aca="false">IF(BG38=1,BG57*IFERROR(INDEX(Twin!$G$63:$BN$63,1,BG39),0)/1000000,0)</f>
        <v>0</v>
      </c>
      <c r="BH71" s="48" t="n">
        <f aca="false">IF(BH38=1,BH57*IFERROR(INDEX(Twin!$G$63:$BN$63,1,BH39),0)/1000000,0)</f>
        <v>0</v>
      </c>
      <c r="BI71" s="48" t="n">
        <f aca="false">IF(BI38=1,BI57*IFERROR(INDEX(Twin!$G$63:$BN$63,1,BI39),0)/1000000,0)</f>
        <v>0</v>
      </c>
      <c r="BJ71" s="48" t="n">
        <f aca="false">IF(BJ38=1,BJ57*IFERROR(INDEX(Twin!$G$63:$BN$63,1,BJ39),0)/1000000,0)</f>
        <v>0</v>
      </c>
      <c r="BK71" s="48" t="n">
        <f aca="false">IF(BK38=1,BK57*IFERROR(INDEX(Twin!$G$63:$BN$63,1,BK39),0)/1000000,0)</f>
        <v>0</v>
      </c>
      <c r="BL71" s="48" t="n">
        <f aca="false">IF(BL38=1,BL57*IFERROR(INDEX(Twin!$G$63:$BN$63,1,BL39),0)/1000000,0)</f>
        <v>0</v>
      </c>
      <c r="BM71" s="48" t="n">
        <f aca="false">IF(BM38=1,BM57*IFERROR(INDEX(Twin!$G$63:$BN$63,1,BM39),0)/1000000,0)</f>
        <v>0</v>
      </c>
      <c r="BN71" s="48" t="n">
        <f aca="false">IF(BN38=1,BN57*IFERROR(INDEX(Twin!$G$63:$BN$63,1,BN39),0)/1000000,0)</f>
        <v>0</v>
      </c>
      <c r="BO71" s="48" t="n">
        <f aca="false">IF(BO38=1,BO57*IFERROR(INDEX(Twin!$G$63:$BN$63,1,BO39),0)/1000000,0)</f>
        <v>0</v>
      </c>
      <c r="BP71" s="48" t="n">
        <f aca="false">IF(BP38=1,BP57*IFERROR(INDEX(Twin!$G$63:$BN$63,1,BP39),0)/1000000,0)</f>
        <v>0</v>
      </c>
      <c r="BQ71" s="48" t="n">
        <f aca="false">IF(BQ38=1,BQ57*IFERROR(INDEX(Twin!$G$63:$BN$63,1,BQ39),0)/1000000,0)</f>
        <v>0</v>
      </c>
      <c r="BR71" s="48" t="n">
        <f aca="false">IF(BR38=1,BR57*IFERROR(INDEX(Twin!$G$63:$BN$63,1,BR39),0)/1000000,0)</f>
        <v>0</v>
      </c>
      <c r="BS71" s="48" t="n">
        <f aca="false">IF(BS38=1,BS57*IFERROR(INDEX(Twin!$G$63:$BN$63,1,BS39),0)/1000000,0)</f>
        <v>0</v>
      </c>
      <c r="BT71" s="48" t="n">
        <f aca="false">IF(BT38=1,BT57*IFERROR(INDEX(Twin!$G$63:$BN$63,1,BT39),0)/1000000,0)</f>
        <v>0</v>
      </c>
      <c r="BU71" s="48" t="n">
        <f aca="false">IF(BU38=1,BU57*IFERROR(INDEX(Twin!$G$63:$BN$63,1,BU39),0)/1000000,0)</f>
        <v>0</v>
      </c>
      <c r="BV71" s="48" t="n">
        <f aca="false">IF(BV38=1,BV57*IFERROR(INDEX(Twin!$G$63:$BN$63,1,BV39),0)/1000000,0)</f>
        <v>0</v>
      </c>
      <c r="BW71" s="48" t="n">
        <f aca="false">IF(BW38=1,BW57*IFERROR(INDEX(Twin!$G$63:$BN$63,1,BW39),0)/1000000,0)</f>
        <v>0</v>
      </c>
      <c r="BX71" s="48" t="n">
        <f aca="false">IF(BX38=1,BX57*IFERROR(INDEX(Twin!$G$63:$BN$63,1,BX39),0)/1000000,0)</f>
        <v>0</v>
      </c>
    </row>
    <row r="72" customFormat="false" ht="15" hidden="false" customHeight="false" outlineLevel="0" collapsed="false">
      <c r="A72" s="1"/>
      <c r="B72" s="8" t="s">
        <v>427</v>
      </c>
      <c r="C72" s="8" t="s">
        <v>126</v>
      </c>
      <c r="D72" s="44" t="n">
        <f aca="false">SUM(G72:BX72)</f>
        <v>0</v>
      </c>
      <c r="E72" s="1"/>
      <c r="F72" s="1"/>
      <c r="G72" s="48" t="n">
        <f aca="false">0</f>
        <v>0</v>
      </c>
      <c r="H72" s="48" t="n">
        <f aca="false">0</f>
        <v>0</v>
      </c>
      <c r="I72" s="48" t="n">
        <f aca="false">0</f>
        <v>0</v>
      </c>
      <c r="J72" s="48" t="n">
        <f aca="false">0</f>
        <v>0</v>
      </c>
      <c r="K72" s="48" t="n">
        <f aca="false">0</f>
        <v>0</v>
      </c>
      <c r="L72" s="48" t="n">
        <f aca="false">0</f>
        <v>0</v>
      </c>
      <c r="M72" s="48" t="n">
        <f aca="false">0</f>
        <v>0</v>
      </c>
      <c r="N72" s="48" t="n">
        <f aca="false">0</f>
        <v>0</v>
      </c>
      <c r="O72" s="48" t="n">
        <f aca="false">0</f>
        <v>0</v>
      </c>
      <c r="P72" s="48" t="n">
        <f aca="false">0</f>
        <v>0</v>
      </c>
      <c r="Q72" s="48" t="n">
        <f aca="false">0</f>
        <v>0</v>
      </c>
      <c r="R72" s="48" t="n">
        <f aca="false">0</f>
        <v>0</v>
      </c>
      <c r="S72" s="48" t="n">
        <f aca="false">0</f>
        <v>0</v>
      </c>
      <c r="T72" s="48" t="n">
        <f aca="false">0</f>
        <v>0</v>
      </c>
      <c r="U72" s="48" t="n">
        <f aca="false">0</f>
        <v>0</v>
      </c>
      <c r="V72" s="48" t="n">
        <f aca="false">0</f>
        <v>0</v>
      </c>
      <c r="W72" s="48" t="n">
        <f aca="false">0</f>
        <v>0</v>
      </c>
      <c r="X72" s="48" t="n">
        <f aca="false">0</f>
        <v>0</v>
      </c>
      <c r="Y72" s="48" t="n">
        <f aca="false">0</f>
        <v>0</v>
      </c>
      <c r="Z72" s="48" t="n">
        <f aca="false">0</f>
        <v>0</v>
      </c>
      <c r="AA72" s="48" t="n">
        <f aca="false">0</f>
        <v>0</v>
      </c>
      <c r="AB72" s="48" t="n">
        <f aca="false">0</f>
        <v>0</v>
      </c>
      <c r="AC72" s="48" t="n">
        <f aca="false">0</f>
        <v>0</v>
      </c>
      <c r="AD72" s="48" t="n">
        <f aca="false">0</f>
        <v>0</v>
      </c>
      <c r="AE72" s="48" t="n">
        <f aca="false">0</f>
        <v>0</v>
      </c>
      <c r="AF72" s="48" t="n">
        <f aca="false">0</f>
        <v>0</v>
      </c>
      <c r="AG72" s="48" t="n">
        <f aca="false">0</f>
        <v>0</v>
      </c>
      <c r="AH72" s="48" t="n">
        <f aca="false">0</f>
        <v>0</v>
      </c>
      <c r="AI72" s="48" t="n">
        <f aca="false">0</f>
        <v>0</v>
      </c>
      <c r="AJ72" s="48" t="n">
        <f aca="false">0</f>
        <v>0</v>
      </c>
      <c r="AK72" s="48" t="n">
        <f aca="false">0</f>
        <v>0</v>
      </c>
      <c r="AL72" s="48" t="n">
        <f aca="false">0</f>
        <v>0</v>
      </c>
      <c r="AM72" s="48" t="n">
        <f aca="false">0</f>
        <v>0</v>
      </c>
      <c r="AN72" s="48" t="n">
        <f aca="false">0</f>
        <v>0</v>
      </c>
      <c r="AO72" s="48" t="n">
        <f aca="false">0</f>
        <v>0</v>
      </c>
      <c r="AP72" s="48" t="n">
        <f aca="false">0</f>
        <v>0</v>
      </c>
      <c r="AQ72" s="48" t="n">
        <f aca="false">0</f>
        <v>0</v>
      </c>
      <c r="AR72" s="48" t="n">
        <f aca="false">0</f>
        <v>0</v>
      </c>
      <c r="AS72" s="48" t="n">
        <f aca="false">0</f>
        <v>0</v>
      </c>
      <c r="AT72" s="48" t="n">
        <f aca="false">0</f>
        <v>0</v>
      </c>
      <c r="AU72" s="48" t="n">
        <f aca="false">0</f>
        <v>0</v>
      </c>
      <c r="AV72" s="48" t="n">
        <f aca="false">0</f>
        <v>0</v>
      </c>
      <c r="AW72" s="48" t="n">
        <f aca="false">0</f>
        <v>0</v>
      </c>
      <c r="AX72" s="48" t="n">
        <f aca="false">0</f>
        <v>0</v>
      </c>
      <c r="AY72" s="48" t="n">
        <f aca="false">0</f>
        <v>0</v>
      </c>
      <c r="AZ72" s="48" t="n">
        <f aca="false">0</f>
        <v>0</v>
      </c>
      <c r="BA72" s="48" t="n">
        <f aca="false">0</f>
        <v>0</v>
      </c>
      <c r="BB72" s="48" t="n">
        <f aca="false">0</f>
        <v>0</v>
      </c>
      <c r="BC72" s="48" t="n">
        <f aca="false">0</f>
        <v>0</v>
      </c>
      <c r="BD72" s="48" t="n">
        <f aca="false">0</f>
        <v>0</v>
      </c>
      <c r="BE72" s="48" t="n">
        <f aca="false">0</f>
        <v>0</v>
      </c>
      <c r="BF72" s="48" t="n">
        <f aca="false">0</f>
        <v>0</v>
      </c>
      <c r="BG72" s="48" t="n">
        <f aca="false">0</f>
        <v>0</v>
      </c>
      <c r="BH72" s="48" t="n">
        <f aca="false">0</f>
        <v>0</v>
      </c>
      <c r="BI72" s="48" t="n">
        <f aca="false">0</f>
        <v>0</v>
      </c>
      <c r="BJ72" s="48" t="n">
        <f aca="false">0</f>
        <v>0</v>
      </c>
      <c r="BK72" s="48" t="n">
        <f aca="false">0</f>
        <v>0</v>
      </c>
      <c r="BL72" s="48" t="n">
        <f aca="false">0</f>
        <v>0</v>
      </c>
      <c r="BM72" s="48" t="n">
        <f aca="false">0</f>
        <v>0</v>
      </c>
      <c r="BN72" s="48" t="n">
        <f aca="false">0</f>
        <v>0</v>
      </c>
      <c r="BO72" s="48" t="n">
        <f aca="false">0</f>
        <v>0</v>
      </c>
      <c r="BP72" s="48" t="n">
        <f aca="false">0</f>
        <v>0</v>
      </c>
      <c r="BQ72" s="48" t="n">
        <f aca="false">0</f>
        <v>0</v>
      </c>
      <c r="BR72" s="48" t="n">
        <f aca="false">0</f>
        <v>0</v>
      </c>
      <c r="BS72" s="48" t="n">
        <f aca="false">0</f>
        <v>0</v>
      </c>
      <c r="BT72" s="48" t="n">
        <f aca="false">0</f>
        <v>0</v>
      </c>
      <c r="BU72" s="48" t="n">
        <f aca="false">0</f>
        <v>0</v>
      </c>
      <c r="BV72" s="48" t="n">
        <f aca="false">0</f>
        <v>0</v>
      </c>
      <c r="BW72" s="48" t="n">
        <f aca="false">0</f>
        <v>0</v>
      </c>
      <c r="BX72" s="48" t="n">
        <f aca="false">0</f>
        <v>0</v>
      </c>
    </row>
    <row r="73" customFormat="false" ht="15" hidden="false" customHeight="false" outlineLevel="0" collapsed="false">
      <c r="A73" s="1"/>
      <c r="B73" s="8" t="s">
        <v>428</v>
      </c>
      <c r="C73" s="8" t="s">
        <v>126</v>
      </c>
      <c r="D73" s="44" t="n">
        <f aca="false">SUM(G73:BX73)</f>
        <v>900</v>
      </c>
      <c r="E73" s="1"/>
      <c r="F73" s="1"/>
      <c r="G73" s="48" t="n">
        <f aca="false">IF(G38=1,$D$14*$D$7*1000/1000000,0)</f>
        <v>0</v>
      </c>
      <c r="H73" s="48" t="n">
        <f aca="false">IF(H38=1,$D$14*$D$7*1000/1000000,0)</f>
        <v>0</v>
      </c>
      <c r="I73" s="48" t="n">
        <f aca="false">IF(I38=1,$D$14*$D$7*1000/1000000,0)</f>
        <v>0</v>
      </c>
      <c r="J73" s="48" t="n">
        <f aca="false">IF(J38=1,$D$14*$D$7*1000/1000000,0)</f>
        <v>0</v>
      </c>
      <c r="K73" s="48" t="n">
        <f aca="false">IF(K38=1,$D$14*$D$7*1000/1000000,0)</f>
        <v>30</v>
      </c>
      <c r="L73" s="48" t="n">
        <f aca="false">IF(L38=1,$D$14*$D$7*1000/1000000,0)</f>
        <v>30</v>
      </c>
      <c r="M73" s="48" t="n">
        <f aca="false">IF(M38=1,$D$14*$D$7*1000/1000000,0)</f>
        <v>30</v>
      </c>
      <c r="N73" s="48" t="n">
        <f aca="false">IF(N38=1,$D$14*$D$7*1000/1000000,0)</f>
        <v>30</v>
      </c>
      <c r="O73" s="48" t="n">
        <f aca="false">IF(O38=1,$D$14*$D$7*1000/1000000,0)</f>
        <v>30</v>
      </c>
      <c r="P73" s="48" t="n">
        <f aca="false">IF(P38=1,$D$14*$D$7*1000/1000000,0)</f>
        <v>30</v>
      </c>
      <c r="Q73" s="48" t="n">
        <f aca="false">IF(Q38=1,$D$14*$D$7*1000/1000000,0)</f>
        <v>30</v>
      </c>
      <c r="R73" s="48" t="n">
        <f aca="false">IF(R38=1,$D$14*$D$7*1000/1000000,0)</f>
        <v>30</v>
      </c>
      <c r="S73" s="48" t="n">
        <f aca="false">IF(S38=1,$D$14*$D$7*1000/1000000,0)</f>
        <v>30</v>
      </c>
      <c r="T73" s="48" t="n">
        <f aca="false">IF(T38=1,$D$14*$D$7*1000/1000000,0)</f>
        <v>30</v>
      </c>
      <c r="U73" s="48" t="n">
        <f aca="false">IF(U38=1,$D$14*$D$7*1000/1000000,0)</f>
        <v>30</v>
      </c>
      <c r="V73" s="48" t="n">
        <f aca="false">IF(V38=1,$D$14*$D$7*1000/1000000,0)</f>
        <v>30</v>
      </c>
      <c r="W73" s="48" t="n">
        <f aca="false">IF(W38=1,$D$14*$D$7*1000/1000000,0)</f>
        <v>30</v>
      </c>
      <c r="X73" s="48" t="n">
        <f aca="false">IF(X38=1,$D$14*$D$7*1000/1000000,0)</f>
        <v>30</v>
      </c>
      <c r="Y73" s="48" t="n">
        <f aca="false">IF(Y38=1,$D$14*$D$7*1000/1000000,0)</f>
        <v>30</v>
      </c>
      <c r="Z73" s="48" t="n">
        <f aca="false">IF(Z38=1,$D$14*$D$7*1000/1000000,0)</f>
        <v>30</v>
      </c>
      <c r="AA73" s="48" t="n">
        <f aca="false">IF(AA38=1,$D$14*$D$7*1000/1000000,0)</f>
        <v>30</v>
      </c>
      <c r="AB73" s="48" t="n">
        <f aca="false">IF(AB38=1,$D$14*$D$7*1000/1000000,0)</f>
        <v>30</v>
      </c>
      <c r="AC73" s="48" t="n">
        <f aca="false">IF(AC38=1,$D$14*$D$7*1000/1000000,0)</f>
        <v>30</v>
      </c>
      <c r="AD73" s="48" t="n">
        <f aca="false">IF(AD38=1,$D$14*$D$7*1000/1000000,0)</f>
        <v>30</v>
      </c>
      <c r="AE73" s="48" t="n">
        <f aca="false">IF(AE38=1,$D$14*$D$7*1000/1000000,0)</f>
        <v>30</v>
      </c>
      <c r="AF73" s="48" t="n">
        <f aca="false">IF(AF38=1,$D$14*$D$7*1000/1000000,0)</f>
        <v>30</v>
      </c>
      <c r="AG73" s="48" t="n">
        <f aca="false">IF(AG38=1,$D$14*$D$7*1000/1000000,0)</f>
        <v>30</v>
      </c>
      <c r="AH73" s="48" t="n">
        <f aca="false">IF(AH38=1,$D$14*$D$7*1000/1000000,0)</f>
        <v>30</v>
      </c>
      <c r="AI73" s="48" t="n">
        <f aca="false">IF(AI38=1,$D$14*$D$7*1000/1000000,0)</f>
        <v>30</v>
      </c>
      <c r="AJ73" s="48" t="n">
        <f aca="false">IF(AJ38=1,$D$14*$D$7*1000/1000000,0)</f>
        <v>30</v>
      </c>
      <c r="AK73" s="48" t="n">
        <f aca="false">IF(AK38=1,$D$14*$D$7*1000/1000000,0)</f>
        <v>30</v>
      </c>
      <c r="AL73" s="48" t="n">
        <f aca="false">IF(AL38=1,$D$14*$D$7*1000/1000000,0)</f>
        <v>30</v>
      </c>
      <c r="AM73" s="48" t="n">
        <f aca="false">IF(AM38=1,$D$14*$D$7*1000/1000000,0)</f>
        <v>30</v>
      </c>
      <c r="AN73" s="48" t="n">
        <f aca="false">IF(AN38=1,$D$14*$D$7*1000/1000000,0)</f>
        <v>30</v>
      </c>
      <c r="AO73" s="48" t="n">
        <f aca="false">IF(AO38=1,$D$14*$D$7*1000/1000000,0)</f>
        <v>0</v>
      </c>
      <c r="AP73" s="48" t="n">
        <f aca="false">IF(AP38=1,$D$14*$D$7*1000/1000000,0)</f>
        <v>0</v>
      </c>
      <c r="AQ73" s="48" t="n">
        <f aca="false">IF(AQ38=1,$D$14*$D$7*1000/1000000,0)</f>
        <v>0</v>
      </c>
      <c r="AR73" s="48" t="n">
        <f aca="false">IF(AR38=1,$D$14*$D$7*1000/1000000,0)</f>
        <v>0</v>
      </c>
      <c r="AS73" s="48" t="n">
        <f aca="false">IF(AS38=1,$D$14*$D$7*1000/1000000,0)</f>
        <v>0</v>
      </c>
      <c r="AT73" s="48" t="n">
        <f aca="false">IF(AT38=1,$D$14*$D$7*1000/1000000,0)</f>
        <v>0</v>
      </c>
      <c r="AU73" s="48" t="n">
        <f aca="false">IF(AU38=1,$D$14*$D$7*1000/1000000,0)</f>
        <v>0</v>
      </c>
      <c r="AV73" s="48" t="n">
        <f aca="false">IF(AV38=1,$D$14*$D$7*1000/1000000,0)</f>
        <v>0</v>
      </c>
      <c r="AW73" s="48" t="n">
        <f aca="false">IF(AW38=1,$D$14*$D$7*1000/1000000,0)</f>
        <v>0</v>
      </c>
      <c r="AX73" s="48" t="n">
        <f aca="false">IF(AX38=1,$D$14*$D$7*1000/1000000,0)</f>
        <v>0</v>
      </c>
      <c r="AY73" s="48" t="n">
        <f aca="false">IF(AY38=1,$D$14*$D$7*1000/1000000,0)</f>
        <v>0</v>
      </c>
      <c r="AZ73" s="48" t="n">
        <f aca="false">IF(AZ38=1,$D$14*$D$7*1000/1000000,0)</f>
        <v>0</v>
      </c>
      <c r="BA73" s="48" t="n">
        <f aca="false">IF(BA38=1,$D$14*$D$7*1000/1000000,0)</f>
        <v>0</v>
      </c>
      <c r="BB73" s="48" t="n">
        <f aca="false">IF(BB38=1,$D$14*$D$7*1000/1000000,0)</f>
        <v>0</v>
      </c>
      <c r="BC73" s="48" t="n">
        <f aca="false">IF(BC38=1,$D$14*$D$7*1000/1000000,0)</f>
        <v>0</v>
      </c>
      <c r="BD73" s="48" t="n">
        <f aca="false">IF(BD38=1,$D$14*$D$7*1000/1000000,0)</f>
        <v>0</v>
      </c>
      <c r="BE73" s="48" t="n">
        <f aca="false">IF(BE38=1,$D$14*$D$7*1000/1000000,0)</f>
        <v>0</v>
      </c>
      <c r="BF73" s="48" t="n">
        <f aca="false">IF(BF38=1,$D$14*$D$7*1000/1000000,0)</f>
        <v>0</v>
      </c>
      <c r="BG73" s="48" t="n">
        <f aca="false">IF(BG38=1,$D$14*$D$7*1000/1000000,0)</f>
        <v>0</v>
      </c>
      <c r="BH73" s="48" t="n">
        <f aca="false">IF(BH38=1,$D$14*$D$7*1000/1000000,0)</f>
        <v>0</v>
      </c>
      <c r="BI73" s="48" t="n">
        <f aca="false">IF(BI38=1,$D$14*$D$7*1000/1000000,0)</f>
        <v>0</v>
      </c>
      <c r="BJ73" s="48" t="n">
        <f aca="false">IF(BJ38=1,$D$14*$D$7*1000/1000000,0)</f>
        <v>0</v>
      </c>
      <c r="BK73" s="48" t="n">
        <f aca="false">IF(BK38=1,$D$14*$D$7*1000/1000000,0)</f>
        <v>0</v>
      </c>
      <c r="BL73" s="48" t="n">
        <f aca="false">IF(BL38=1,$D$14*$D$7*1000/1000000,0)</f>
        <v>0</v>
      </c>
      <c r="BM73" s="48" t="n">
        <f aca="false">IF(BM38=1,$D$14*$D$7*1000/1000000,0)</f>
        <v>0</v>
      </c>
      <c r="BN73" s="48" t="n">
        <f aca="false">IF(BN38=1,$D$14*$D$7*1000/1000000,0)</f>
        <v>0</v>
      </c>
      <c r="BO73" s="48" t="n">
        <f aca="false">IF(BO38=1,$D$14*$D$7*1000/1000000,0)</f>
        <v>0</v>
      </c>
      <c r="BP73" s="48" t="n">
        <f aca="false">IF(BP38=1,$D$14*$D$7*1000/1000000,0)</f>
        <v>0</v>
      </c>
      <c r="BQ73" s="48" t="n">
        <f aca="false">IF(BQ38=1,$D$14*$D$7*1000/1000000,0)</f>
        <v>0</v>
      </c>
      <c r="BR73" s="48" t="n">
        <f aca="false">IF(BR38=1,$D$14*$D$7*1000/1000000,0)</f>
        <v>0</v>
      </c>
      <c r="BS73" s="48" t="n">
        <f aca="false">IF(BS38=1,$D$14*$D$7*1000/1000000,0)</f>
        <v>0</v>
      </c>
      <c r="BT73" s="48" t="n">
        <f aca="false">IF(BT38=1,$D$14*$D$7*1000/1000000,0)</f>
        <v>0</v>
      </c>
      <c r="BU73" s="48" t="n">
        <f aca="false">IF(BU38=1,$D$14*$D$7*1000/1000000,0)</f>
        <v>0</v>
      </c>
      <c r="BV73" s="48" t="n">
        <f aca="false">IF(BV38=1,$D$14*$D$7*1000/1000000,0)</f>
        <v>0</v>
      </c>
      <c r="BW73" s="48" t="n">
        <f aca="false">IF(BW38=1,$D$14*$D$7*1000/1000000,0)</f>
        <v>0</v>
      </c>
      <c r="BX73" s="48" t="n">
        <f aca="false">IF(BX38=1,$D$14*$D$7*1000/1000000,0)</f>
        <v>0</v>
      </c>
    </row>
    <row r="74" customFormat="false" ht="15" hidden="false" customHeight="false" outlineLevel="0" collapsed="false">
      <c r="A74" s="1"/>
      <c r="B74" s="8" t="s">
        <v>339</v>
      </c>
      <c r="C74" s="8" t="s">
        <v>126</v>
      </c>
      <c r="D74" s="44" t="n">
        <f aca="false">SUM(G74:BX74)</f>
        <v>360</v>
      </c>
      <c r="E74" s="1"/>
      <c r="F74" s="1"/>
      <c r="G74" s="48" t="n">
        <f aca="false">IF(G38=1,$D$19*$D$20/1000,0)</f>
        <v>0</v>
      </c>
      <c r="H74" s="48" t="n">
        <f aca="false">IF(H38=1,$D$19*$D$20/1000,0)</f>
        <v>0</v>
      </c>
      <c r="I74" s="48" t="n">
        <f aca="false">IF(I38=1,$D$19*$D$20/1000,0)</f>
        <v>0</v>
      </c>
      <c r="J74" s="48" t="n">
        <f aca="false">IF(J38=1,$D$19*$D$20/1000,0)</f>
        <v>0</v>
      </c>
      <c r="K74" s="48" t="n">
        <f aca="false">IF(K38=1,$D$19*$D$20/1000,0)</f>
        <v>12</v>
      </c>
      <c r="L74" s="48" t="n">
        <f aca="false">IF(L38=1,$D$19*$D$20/1000,0)</f>
        <v>12</v>
      </c>
      <c r="M74" s="48" t="n">
        <f aca="false">IF(M38=1,$D$19*$D$20/1000,0)</f>
        <v>12</v>
      </c>
      <c r="N74" s="48" t="n">
        <f aca="false">IF(N38=1,$D$19*$D$20/1000,0)</f>
        <v>12</v>
      </c>
      <c r="O74" s="48" t="n">
        <f aca="false">IF(O38=1,$D$19*$D$20/1000,0)</f>
        <v>12</v>
      </c>
      <c r="P74" s="48" t="n">
        <f aca="false">IF(P38=1,$D$19*$D$20/1000,0)</f>
        <v>12</v>
      </c>
      <c r="Q74" s="48" t="n">
        <f aca="false">IF(Q38=1,$D$19*$D$20/1000,0)</f>
        <v>12</v>
      </c>
      <c r="R74" s="48" t="n">
        <f aca="false">IF(R38=1,$D$19*$D$20/1000,0)</f>
        <v>12</v>
      </c>
      <c r="S74" s="48" t="n">
        <f aca="false">IF(S38=1,$D$19*$D$20/1000,0)</f>
        <v>12</v>
      </c>
      <c r="T74" s="48" t="n">
        <f aca="false">IF(T38=1,$D$19*$D$20/1000,0)</f>
        <v>12</v>
      </c>
      <c r="U74" s="48" t="n">
        <f aca="false">IF(U38=1,$D$19*$D$20/1000,0)</f>
        <v>12</v>
      </c>
      <c r="V74" s="48" t="n">
        <f aca="false">IF(V38=1,$D$19*$D$20/1000,0)</f>
        <v>12</v>
      </c>
      <c r="W74" s="48" t="n">
        <f aca="false">IF(W38=1,$D$19*$D$20/1000,0)</f>
        <v>12</v>
      </c>
      <c r="X74" s="48" t="n">
        <f aca="false">IF(X38=1,$D$19*$D$20/1000,0)</f>
        <v>12</v>
      </c>
      <c r="Y74" s="48" t="n">
        <f aca="false">IF(Y38=1,$D$19*$D$20/1000,0)</f>
        <v>12</v>
      </c>
      <c r="Z74" s="48" t="n">
        <f aca="false">IF(Z38=1,$D$19*$D$20/1000,0)</f>
        <v>12</v>
      </c>
      <c r="AA74" s="48" t="n">
        <f aca="false">IF(AA38=1,$D$19*$D$20/1000,0)</f>
        <v>12</v>
      </c>
      <c r="AB74" s="48" t="n">
        <f aca="false">IF(AB38=1,$D$19*$D$20/1000,0)</f>
        <v>12</v>
      </c>
      <c r="AC74" s="48" t="n">
        <f aca="false">IF(AC38=1,$D$19*$D$20/1000,0)</f>
        <v>12</v>
      </c>
      <c r="AD74" s="48" t="n">
        <f aca="false">IF(AD38=1,$D$19*$D$20/1000,0)</f>
        <v>12</v>
      </c>
      <c r="AE74" s="48" t="n">
        <f aca="false">IF(AE38=1,$D$19*$D$20/1000,0)</f>
        <v>12</v>
      </c>
      <c r="AF74" s="48" t="n">
        <f aca="false">IF(AF38=1,$D$19*$D$20/1000,0)</f>
        <v>12</v>
      </c>
      <c r="AG74" s="48" t="n">
        <f aca="false">IF(AG38=1,$D$19*$D$20/1000,0)</f>
        <v>12</v>
      </c>
      <c r="AH74" s="48" t="n">
        <f aca="false">IF(AH38=1,$D$19*$D$20/1000,0)</f>
        <v>12</v>
      </c>
      <c r="AI74" s="48" t="n">
        <f aca="false">IF(AI38=1,$D$19*$D$20/1000,0)</f>
        <v>12</v>
      </c>
      <c r="AJ74" s="48" t="n">
        <f aca="false">IF(AJ38=1,$D$19*$D$20/1000,0)</f>
        <v>12</v>
      </c>
      <c r="AK74" s="48" t="n">
        <f aca="false">IF(AK38=1,$D$19*$D$20/1000,0)</f>
        <v>12</v>
      </c>
      <c r="AL74" s="48" t="n">
        <f aca="false">IF(AL38=1,$D$19*$D$20/1000,0)</f>
        <v>12</v>
      </c>
      <c r="AM74" s="48" t="n">
        <f aca="false">IF(AM38=1,$D$19*$D$20/1000,0)</f>
        <v>12</v>
      </c>
      <c r="AN74" s="48" t="n">
        <f aca="false">IF(AN38=1,$D$19*$D$20/1000,0)</f>
        <v>12</v>
      </c>
      <c r="AO74" s="48" t="n">
        <f aca="false">IF(AO38=1,$D$19*$D$20/1000,0)</f>
        <v>0</v>
      </c>
      <c r="AP74" s="48" t="n">
        <f aca="false">IF(AP38=1,$D$19*$D$20/1000,0)</f>
        <v>0</v>
      </c>
      <c r="AQ74" s="48" t="n">
        <f aca="false">IF(AQ38=1,$D$19*$D$20/1000,0)</f>
        <v>0</v>
      </c>
      <c r="AR74" s="48" t="n">
        <f aca="false">IF(AR38=1,$D$19*$D$20/1000,0)</f>
        <v>0</v>
      </c>
      <c r="AS74" s="48" t="n">
        <f aca="false">IF(AS38=1,$D$19*$D$20/1000,0)</f>
        <v>0</v>
      </c>
      <c r="AT74" s="48" t="n">
        <f aca="false">IF(AT38=1,$D$19*$D$20/1000,0)</f>
        <v>0</v>
      </c>
      <c r="AU74" s="48" t="n">
        <f aca="false">IF(AU38=1,$D$19*$D$20/1000,0)</f>
        <v>0</v>
      </c>
      <c r="AV74" s="48" t="n">
        <f aca="false">IF(AV38=1,$D$19*$D$20/1000,0)</f>
        <v>0</v>
      </c>
      <c r="AW74" s="48" t="n">
        <f aca="false">IF(AW38=1,$D$19*$D$20/1000,0)</f>
        <v>0</v>
      </c>
      <c r="AX74" s="48" t="n">
        <f aca="false">IF(AX38=1,$D$19*$D$20/1000,0)</f>
        <v>0</v>
      </c>
      <c r="AY74" s="48" t="n">
        <f aca="false">IF(AY38=1,$D$19*$D$20/1000,0)</f>
        <v>0</v>
      </c>
      <c r="AZ74" s="48" t="n">
        <f aca="false">IF(AZ38=1,$D$19*$D$20/1000,0)</f>
        <v>0</v>
      </c>
      <c r="BA74" s="48" t="n">
        <f aca="false">IF(BA38=1,$D$19*$D$20/1000,0)</f>
        <v>0</v>
      </c>
      <c r="BB74" s="48" t="n">
        <f aca="false">IF(BB38=1,$D$19*$D$20/1000,0)</f>
        <v>0</v>
      </c>
      <c r="BC74" s="48" t="n">
        <f aca="false">IF(BC38=1,$D$19*$D$20/1000,0)</f>
        <v>0</v>
      </c>
      <c r="BD74" s="48" t="n">
        <f aca="false">IF(BD38=1,$D$19*$D$20/1000,0)</f>
        <v>0</v>
      </c>
      <c r="BE74" s="48" t="n">
        <f aca="false">IF(BE38=1,$D$19*$D$20/1000,0)</f>
        <v>0</v>
      </c>
      <c r="BF74" s="48" t="n">
        <f aca="false">IF(BF38=1,$D$19*$D$20/1000,0)</f>
        <v>0</v>
      </c>
      <c r="BG74" s="48" t="n">
        <f aca="false">IF(BG38=1,$D$19*$D$20/1000,0)</f>
        <v>0</v>
      </c>
      <c r="BH74" s="48" t="n">
        <f aca="false">IF(BH38=1,$D$19*$D$20/1000,0)</f>
        <v>0</v>
      </c>
      <c r="BI74" s="48" t="n">
        <f aca="false">IF(BI38=1,$D$19*$D$20/1000,0)</f>
        <v>0</v>
      </c>
      <c r="BJ74" s="48" t="n">
        <f aca="false">IF(BJ38=1,$D$19*$D$20/1000,0)</f>
        <v>0</v>
      </c>
      <c r="BK74" s="48" t="n">
        <f aca="false">IF(BK38=1,$D$19*$D$20/1000,0)</f>
        <v>0</v>
      </c>
      <c r="BL74" s="48" t="n">
        <f aca="false">IF(BL38=1,$D$19*$D$20/1000,0)</f>
        <v>0</v>
      </c>
      <c r="BM74" s="48" t="n">
        <f aca="false">IF(BM38=1,$D$19*$D$20/1000,0)</f>
        <v>0</v>
      </c>
      <c r="BN74" s="48" t="n">
        <f aca="false">IF(BN38=1,$D$19*$D$20/1000,0)</f>
        <v>0</v>
      </c>
      <c r="BO74" s="48" t="n">
        <f aca="false">IF(BO38=1,$D$19*$D$20/1000,0)</f>
        <v>0</v>
      </c>
      <c r="BP74" s="48" t="n">
        <f aca="false">IF(BP38=1,$D$19*$D$20/1000,0)</f>
        <v>0</v>
      </c>
      <c r="BQ74" s="48" t="n">
        <f aca="false">IF(BQ38=1,$D$19*$D$20/1000,0)</f>
        <v>0</v>
      </c>
      <c r="BR74" s="48" t="n">
        <f aca="false">IF(BR38=1,$D$19*$D$20/1000,0)</f>
        <v>0</v>
      </c>
      <c r="BS74" s="48" t="n">
        <f aca="false">IF(BS38=1,$D$19*$D$20/1000,0)</f>
        <v>0</v>
      </c>
      <c r="BT74" s="48" t="n">
        <f aca="false">IF(BT38=1,$D$19*$D$20/1000,0)</f>
        <v>0</v>
      </c>
      <c r="BU74" s="48" t="n">
        <f aca="false">IF(BU38=1,$D$19*$D$20/1000,0)</f>
        <v>0</v>
      </c>
      <c r="BV74" s="48" t="n">
        <f aca="false">IF(BV38=1,$D$19*$D$20/1000,0)</f>
        <v>0</v>
      </c>
      <c r="BW74" s="48" t="n">
        <f aca="false">IF(BW38=1,$D$19*$D$20/1000,0)</f>
        <v>0</v>
      </c>
      <c r="BX74" s="48" t="n">
        <f aca="false">IF(BX38=1,$D$19*$D$20/1000,0)</f>
        <v>0</v>
      </c>
    </row>
    <row r="75" customFormat="false" ht="15" hidden="false" customHeight="false" outlineLevel="0" collapsed="false">
      <c r="A75" s="1"/>
      <c r="B75" s="8" t="s">
        <v>340</v>
      </c>
      <c r="C75" s="8" t="s">
        <v>126</v>
      </c>
      <c r="D75" s="44" t="n">
        <f aca="false">SUM(G75:BX75)</f>
        <v>0</v>
      </c>
      <c r="E75" s="1"/>
      <c r="F75" s="1"/>
      <c r="G75" s="48" t="n">
        <f aca="false">0</f>
        <v>0</v>
      </c>
      <c r="H75" s="48" t="n">
        <f aca="false">0</f>
        <v>0</v>
      </c>
      <c r="I75" s="48" t="n">
        <f aca="false">0</f>
        <v>0</v>
      </c>
      <c r="J75" s="48" t="n">
        <f aca="false">0</f>
        <v>0</v>
      </c>
      <c r="K75" s="48" t="n">
        <f aca="false">0</f>
        <v>0</v>
      </c>
      <c r="L75" s="48" t="n">
        <f aca="false">0</f>
        <v>0</v>
      </c>
      <c r="M75" s="48" t="n">
        <f aca="false">0</f>
        <v>0</v>
      </c>
      <c r="N75" s="48" t="n">
        <f aca="false">0</f>
        <v>0</v>
      </c>
      <c r="O75" s="48" t="n">
        <f aca="false">0</f>
        <v>0</v>
      </c>
      <c r="P75" s="48" t="n">
        <f aca="false">0</f>
        <v>0</v>
      </c>
      <c r="Q75" s="48" t="n">
        <f aca="false">0</f>
        <v>0</v>
      </c>
      <c r="R75" s="48" t="n">
        <f aca="false">0</f>
        <v>0</v>
      </c>
      <c r="S75" s="48" t="n">
        <f aca="false">0</f>
        <v>0</v>
      </c>
      <c r="T75" s="48" t="n">
        <f aca="false">0</f>
        <v>0</v>
      </c>
      <c r="U75" s="48" t="n">
        <f aca="false">0</f>
        <v>0</v>
      </c>
      <c r="V75" s="48" t="n">
        <f aca="false">0</f>
        <v>0</v>
      </c>
      <c r="W75" s="48" t="n">
        <f aca="false">0</f>
        <v>0</v>
      </c>
      <c r="X75" s="48" t="n">
        <f aca="false">0</f>
        <v>0</v>
      </c>
      <c r="Y75" s="48" t="n">
        <f aca="false">0</f>
        <v>0</v>
      </c>
      <c r="Z75" s="48" t="n">
        <f aca="false">0</f>
        <v>0</v>
      </c>
      <c r="AA75" s="48" t="n">
        <f aca="false">0</f>
        <v>0</v>
      </c>
      <c r="AB75" s="48" t="n">
        <f aca="false">0</f>
        <v>0</v>
      </c>
      <c r="AC75" s="48" t="n">
        <f aca="false">0</f>
        <v>0</v>
      </c>
      <c r="AD75" s="48" t="n">
        <f aca="false">0</f>
        <v>0</v>
      </c>
      <c r="AE75" s="48" t="n">
        <f aca="false">0</f>
        <v>0</v>
      </c>
      <c r="AF75" s="48" t="n">
        <f aca="false">0</f>
        <v>0</v>
      </c>
      <c r="AG75" s="48" t="n">
        <f aca="false">0</f>
        <v>0</v>
      </c>
      <c r="AH75" s="48" t="n">
        <f aca="false">0</f>
        <v>0</v>
      </c>
      <c r="AI75" s="48" t="n">
        <f aca="false">0</f>
        <v>0</v>
      </c>
      <c r="AJ75" s="48" t="n">
        <f aca="false">0</f>
        <v>0</v>
      </c>
      <c r="AK75" s="48" t="n">
        <f aca="false">0</f>
        <v>0</v>
      </c>
      <c r="AL75" s="48" t="n">
        <f aca="false">0</f>
        <v>0</v>
      </c>
      <c r="AM75" s="48" t="n">
        <f aca="false">0</f>
        <v>0</v>
      </c>
      <c r="AN75" s="48" t="n">
        <f aca="false">0</f>
        <v>0</v>
      </c>
      <c r="AO75" s="48" t="n">
        <f aca="false">0</f>
        <v>0</v>
      </c>
      <c r="AP75" s="48" t="n">
        <f aca="false">0</f>
        <v>0</v>
      </c>
      <c r="AQ75" s="48" t="n">
        <f aca="false">0</f>
        <v>0</v>
      </c>
      <c r="AR75" s="48" t="n">
        <f aca="false">0</f>
        <v>0</v>
      </c>
      <c r="AS75" s="48" t="n">
        <f aca="false">0</f>
        <v>0</v>
      </c>
      <c r="AT75" s="48" t="n">
        <f aca="false">0</f>
        <v>0</v>
      </c>
      <c r="AU75" s="48" t="n">
        <f aca="false">0</f>
        <v>0</v>
      </c>
      <c r="AV75" s="48" t="n">
        <f aca="false">0</f>
        <v>0</v>
      </c>
      <c r="AW75" s="48" t="n">
        <f aca="false">0</f>
        <v>0</v>
      </c>
      <c r="AX75" s="48" t="n">
        <f aca="false">0</f>
        <v>0</v>
      </c>
      <c r="AY75" s="48" t="n">
        <f aca="false">0</f>
        <v>0</v>
      </c>
      <c r="AZ75" s="48" t="n">
        <f aca="false">0</f>
        <v>0</v>
      </c>
      <c r="BA75" s="48" t="n">
        <f aca="false">0</f>
        <v>0</v>
      </c>
      <c r="BB75" s="48" t="n">
        <f aca="false">0</f>
        <v>0</v>
      </c>
      <c r="BC75" s="48" t="n">
        <f aca="false">0</f>
        <v>0</v>
      </c>
      <c r="BD75" s="48" t="n">
        <f aca="false">0</f>
        <v>0</v>
      </c>
      <c r="BE75" s="48" t="n">
        <f aca="false">0</f>
        <v>0</v>
      </c>
      <c r="BF75" s="48" t="n">
        <f aca="false">0</f>
        <v>0</v>
      </c>
      <c r="BG75" s="48" t="n">
        <f aca="false">0</f>
        <v>0</v>
      </c>
      <c r="BH75" s="48" t="n">
        <f aca="false">0</f>
        <v>0</v>
      </c>
      <c r="BI75" s="48" t="n">
        <f aca="false">0</f>
        <v>0</v>
      </c>
      <c r="BJ75" s="48" t="n">
        <f aca="false">0</f>
        <v>0</v>
      </c>
      <c r="BK75" s="48" t="n">
        <f aca="false">0</f>
        <v>0</v>
      </c>
      <c r="BL75" s="48" t="n">
        <f aca="false">0</f>
        <v>0</v>
      </c>
      <c r="BM75" s="48" t="n">
        <f aca="false">0</f>
        <v>0</v>
      </c>
      <c r="BN75" s="48" t="n">
        <f aca="false">0</f>
        <v>0</v>
      </c>
      <c r="BO75" s="48" t="n">
        <f aca="false">0</f>
        <v>0</v>
      </c>
      <c r="BP75" s="48" t="n">
        <f aca="false">0</f>
        <v>0</v>
      </c>
      <c r="BQ75" s="48" t="n">
        <f aca="false">0</f>
        <v>0</v>
      </c>
      <c r="BR75" s="48" t="n">
        <f aca="false">0</f>
        <v>0</v>
      </c>
      <c r="BS75" s="48" t="n">
        <f aca="false">0</f>
        <v>0</v>
      </c>
      <c r="BT75" s="48" t="n">
        <f aca="false">0</f>
        <v>0</v>
      </c>
      <c r="BU75" s="48" t="n">
        <f aca="false">0</f>
        <v>0</v>
      </c>
      <c r="BV75" s="48" t="n">
        <f aca="false">0</f>
        <v>0</v>
      </c>
      <c r="BW75" s="48" t="n">
        <f aca="false">0</f>
        <v>0</v>
      </c>
      <c r="BX75" s="48" t="n">
        <f aca="false">0</f>
        <v>0</v>
      </c>
    </row>
    <row r="76" customFormat="false" ht="15" hidden="false" customHeight="false" outlineLevel="0" collapsed="false">
      <c r="A76" s="1"/>
      <c r="B76" s="8" t="s">
        <v>429</v>
      </c>
      <c r="C76" s="8" t="s">
        <v>126</v>
      </c>
      <c r="D76" s="44" t="n">
        <f aca="false">SUM(G76:BX76)</f>
        <v>522</v>
      </c>
      <c r="E76" s="1"/>
      <c r="F76" s="1"/>
      <c r="G76" s="48" t="n">
        <f aca="false">IF(G38=1,$D$27*$D$7*1000/1000000,0)</f>
        <v>0</v>
      </c>
      <c r="H76" s="48" t="n">
        <f aca="false">IF(H38=1,$D$27*$D$7*1000/1000000,0)</f>
        <v>0</v>
      </c>
      <c r="I76" s="48" t="n">
        <f aca="false">IF(I38=1,$D$27*$D$7*1000/1000000,0)</f>
        <v>0</v>
      </c>
      <c r="J76" s="48" t="n">
        <f aca="false">IF(J38=1,$D$27*$D$7*1000/1000000,0)</f>
        <v>0</v>
      </c>
      <c r="K76" s="48" t="n">
        <f aca="false">IF(K38=1,$D$27*$D$7*1000/1000000,0)</f>
        <v>17.4</v>
      </c>
      <c r="L76" s="48" t="n">
        <f aca="false">IF(L38=1,$D$27*$D$7*1000/1000000,0)</f>
        <v>17.4</v>
      </c>
      <c r="M76" s="48" t="n">
        <f aca="false">IF(M38=1,$D$27*$D$7*1000/1000000,0)</f>
        <v>17.4</v>
      </c>
      <c r="N76" s="48" t="n">
        <f aca="false">IF(N38=1,$D$27*$D$7*1000/1000000,0)</f>
        <v>17.4</v>
      </c>
      <c r="O76" s="48" t="n">
        <f aca="false">IF(O38=1,$D$27*$D$7*1000/1000000,0)</f>
        <v>17.4</v>
      </c>
      <c r="P76" s="48" t="n">
        <f aca="false">IF(P38=1,$D$27*$D$7*1000/1000000,0)</f>
        <v>17.4</v>
      </c>
      <c r="Q76" s="48" t="n">
        <f aca="false">IF(Q38=1,$D$27*$D$7*1000/1000000,0)</f>
        <v>17.4</v>
      </c>
      <c r="R76" s="48" t="n">
        <f aca="false">IF(R38=1,$D$27*$D$7*1000/1000000,0)</f>
        <v>17.4</v>
      </c>
      <c r="S76" s="48" t="n">
        <f aca="false">IF(S38=1,$D$27*$D$7*1000/1000000,0)</f>
        <v>17.4</v>
      </c>
      <c r="T76" s="48" t="n">
        <f aca="false">IF(T38=1,$D$27*$D$7*1000/1000000,0)</f>
        <v>17.4</v>
      </c>
      <c r="U76" s="48" t="n">
        <f aca="false">IF(U38=1,$D$27*$D$7*1000/1000000,0)</f>
        <v>17.4</v>
      </c>
      <c r="V76" s="48" t="n">
        <f aca="false">IF(V38=1,$D$27*$D$7*1000/1000000,0)</f>
        <v>17.4</v>
      </c>
      <c r="W76" s="48" t="n">
        <f aca="false">IF(W38=1,$D$27*$D$7*1000/1000000,0)</f>
        <v>17.4</v>
      </c>
      <c r="X76" s="48" t="n">
        <f aca="false">IF(X38=1,$D$27*$D$7*1000/1000000,0)</f>
        <v>17.4</v>
      </c>
      <c r="Y76" s="48" t="n">
        <f aca="false">IF(Y38=1,$D$27*$D$7*1000/1000000,0)</f>
        <v>17.4</v>
      </c>
      <c r="Z76" s="48" t="n">
        <f aca="false">IF(Z38=1,$D$27*$D$7*1000/1000000,0)</f>
        <v>17.4</v>
      </c>
      <c r="AA76" s="48" t="n">
        <f aca="false">IF(AA38=1,$D$27*$D$7*1000/1000000,0)</f>
        <v>17.4</v>
      </c>
      <c r="AB76" s="48" t="n">
        <f aca="false">IF(AB38=1,$D$27*$D$7*1000/1000000,0)</f>
        <v>17.4</v>
      </c>
      <c r="AC76" s="48" t="n">
        <f aca="false">IF(AC38=1,$D$27*$D$7*1000/1000000,0)</f>
        <v>17.4</v>
      </c>
      <c r="AD76" s="48" t="n">
        <f aca="false">IF(AD38=1,$D$27*$D$7*1000/1000000,0)</f>
        <v>17.4</v>
      </c>
      <c r="AE76" s="48" t="n">
        <f aca="false">IF(AE38=1,$D$27*$D$7*1000/1000000,0)</f>
        <v>17.4</v>
      </c>
      <c r="AF76" s="48" t="n">
        <f aca="false">IF(AF38=1,$D$27*$D$7*1000/1000000,0)</f>
        <v>17.4</v>
      </c>
      <c r="AG76" s="48" t="n">
        <f aca="false">IF(AG38=1,$D$27*$D$7*1000/1000000,0)</f>
        <v>17.4</v>
      </c>
      <c r="AH76" s="48" t="n">
        <f aca="false">IF(AH38=1,$D$27*$D$7*1000/1000000,0)</f>
        <v>17.4</v>
      </c>
      <c r="AI76" s="48" t="n">
        <f aca="false">IF(AI38=1,$D$27*$D$7*1000/1000000,0)</f>
        <v>17.4</v>
      </c>
      <c r="AJ76" s="48" t="n">
        <f aca="false">IF(AJ38=1,$D$27*$D$7*1000/1000000,0)</f>
        <v>17.4</v>
      </c>
      <c r="AK76" s="48" t="n">
        <f aca="false">IF(AK38=1,$D$27*$D$7*1000/1000000,0)</f>
        <v>17.4</v>
      </c>
      <c r="AL76" s="48" t="n">
        <f aca="false">IF(AL38=1,$D$27*$D$7*1000/1000000,0)</f>
        <v>17.4</v>
      </c>
      <c r="AM76" s="48" t="n">
        <f aca="false">IF(AM38=1,$D$27*$D$7*1000/1000000,0)</f>
        <v>17.4</v>
      </c>
      <c r="AN76" s="48" t="n">
        <f aca="false">IF(AN38=1,$D$27*$D$7*1000/1000000,0)</f>
        <v>17.4</v>
      </c>
      <c r="AO76" s="48" t="n">
        <f aca="false">IF(AO38=1,$D$27*$D$7*1000/1000000,0)</f>
        <v>0</v>
      </c>
      <c r="AP76" s="48" t="n">
        <f aca="false">IF(AP38=1,$D$27*$D$7*1000/1000000,0)</f>
        <v>0</v>
      </c>
      <c r="AQ76" s="48" t="n">
        <f aca="false">IF(AQ38=1,$D$27*$D$7*1000/1000000,0)</f>
        <v>0</v>
      </c>
      <c r="AR76" s="48" t="n">
        <f aca="false">IF(AR38=1,$D$27*$D$7*1000/1000000,0)</f>
        <v>0</v>
      </c>
      <c r="AS76" s="48" t="n">
        <f aca="false">IF(AS38=1,$D$27*$D$7*1000/1000000,0)</f>
        <v>0</v>
      </c>
      <c r="AT76" s="48" t="n">
        <f aca="false">IF(AT38=1,$D$27*$D$7*1000/1000000,0)</f>
        <v>0</v>
      </c>
      <c r="AU76" s="48" t="n">
        <f aca="false">IF(AU38=1,$D$27*$D$7*1000/1000000,0)</f>
        <v>0</v>
      </c>
      <c r="AV76" s="48" t="n">
        <f aca="false">IF(AV38=1,$D$27*$D$7*1000/1000000,0)</f>
        <v>0</v>
      </c>
      <c r="AW76" s="48" t="n">
        <f aca="false">IF(AW38=1,$D$27*$D$7*1000/1000000,0)</f>
        <v>0</v>
      </c>
      <c r="AX76" s="48" t="n">
        <f aca="false">IF(AX38=1,$D$27*$D$7*1000/1000000,0)</f>
        <v>0</v>
      </c>
      <c r="AY76" s="48" t="n">
        <f aca="false">IF(AY38=1,$D$27*$D$7*1000/1000000,0)</f>
        <v>0</v>
      </c>
      <c r="AZ76" s="48" t="n">
        <f aca="false">IF(AZ38=1,$D$27*$D$7*1000/1000000,0)</f>
        <v>0</v>
      </c>
      <c r="BA76" s="48" t="n">
        <f aca="false">IF(BA38=1,$D$27*$D$7*1000/1000000,0)</f>
        <v>0</v>
      </c>
      <c r="BB76" s="48" t="n">
        <f aca="false">IF(BB38=1,$D$27*$D$7*1000/1000000,0)</f>
        <v>0</v>
      </c>
      <c r="BC76" s="48" t="n">
        <f aca="false">IF(BC38=1,$D$27*$D$7*1000/1000000,0)</f>
        <v>0</v>
      </c>
      <c r="BD76" s="48" t="n">
        <f aca="false">IF(BD38=1,$D$27*$D$7*1000/1000000,0)</f>
        <v>0</v>
      </c>
      <c r="BE76" s="48" t="n">
        <f aca="false">IF(BE38=1,$D$27*$D$7*1000/1000000,0)</f>
        <v>0</v>
      </c>
      <c r="BF76" s="48" t="n">
        <f aca="false">IF(BF38=1,$D$27*$D$7*1000/1000000,0)</f>
        <v>0</v>
      </c>
      <c r="BG76" s="48" t="n">
        <f aca="false">IF(BG38=1,$D$27*$D$7*1000/1000000,0)</f>
        <v>0</v>
      </c>
      <c r="BH76" s="48" t="n">
        <f aca="false">IF(BH38=1,$D$27*$D$7*1000/1000000,0)</f>
        <v>0</v>
      </c>
      <c r="BI76" s="48" t="n">
        <f aca="false">IF(BI38=1,$D$27*$D$7*1000/1000000,0)</f>
        <v>0</v>
      </c>
      <c r="BJ76" s="48" t="n">
        <f aca="false">IF(BJ38=1,$D$27*$D$7*1000/1000000,0)</f>
        <v>0</v>
      </c>
      <c r="BK76" s="48" t="n">
        <f aca="false">IF(BK38=1,$D$27*$D$7*1000/1000000,0)</f>
        <v>0</v>
      </c>
      <c r="BL76" s="48" t="n">
        <f aca="false">IF(BL38=1,$D$27*$D$7*1000/1000000,0)</f>
        <v>0</v>
      </c>
      <c r="BM76" s="48" t="n">
        <f aca="false">IF(BM38=1,$D$27*$D$7*1000/1000000,0)</f>
        <v>0</v>
      </c>
      <c r="BN76" s="48" t="n">
        <f aca="false">IF(BN38=1,$D$27*$D$7*1000/1000000,0)</f>
        <v>0</v>
      </c>
      <c r="BO76" s="48" t="n">
        <f aca="false">IF(BO38=1,$D$27*$D$7*1000/1000000,0)</f>
        <v>0</v>
      </c>
      <c r="BP76" s="48" t="n">
        <f aca="false">IF(BP38=1,$D$27*$D$7*1000/1000000,0)</f>
        <v>0</v>
      </c>
      <c r="BQ76" s="48" t="n">
        <f aca="false">IF(BQ38=1,$D$27*$D$7*1000/1000000,0)</f>
        <v>0</v>
      </c>
      <c r="BR76" s="48" t="n">
        <f aca="false">IF(BR38=1,$D$27*$D$7*1000/1000000,0)</f>
        <v>0</v>
      </c>
      <c r="BS76" s="48" t="n">
        <f aca="false">IF(BS38=1,$D$27*$D$7*1000/1000000,0)</f>
        <v>0</v>
      </c>
      <c r="BT76" s="48" t="n">
        <f aca="false">IF(BT38=1,$D$27*$D$7*1000/1000000,0)</f>
        <v>0</v>
      </c>
      <c r="BU76" s="48" t="n">
        <f aca="false">IF(BU38=1,$D$27*$D$7*1000/1000000,0)</f>
        <v>0</v>
      </c>
      <c r="BV76" s="48" t="n">
        <f aca="false">IF(BV38=1,$D$27*$D$7*1000/1000000,0)</f>
        <v>0</v>
      </c>
      <c r="BW76" s="48" t="n">
        <f aca="false">IF(BW38=1,$D$27*$D$7*1000/1000000,0)</f>
        <v>0</v>
      </c>
      <c r="BX76" s="48" t="n">
        <f aca="false">IF(BX38=1,$D$27*$D$7*1000/1000000,0)</f>
        <v>0</v>
      </c>
    </row>
    <row r="77" customFormat="false" ht="15" hidden="false" customHeight="false" outlineLevel="0" collapsed="false">
      <c r="A77" s="1"/>
      <c r="B77" s="8" t="s">
        <v>342</v>
      </c>
      <c r="C77" s="8" t="s">
        <v>126</v>
      </c>
      <c r="D77" s="44" t="n">
        <f aca="false">SUM(G77:BX77)</f>
        <v>167.4</v>
      </c>
      <c r="E77" s="1"/>
      <c r="F77" s="1"/>
      <c r="G77" s="48" t="n">
        <f aca="false">IF(G38=1,$D$22*$D$21*$D$24,0)</f>
        <v>0</v>
      </c>
      <c r="H77" s="48" t="n">
        <f aca="false">IF(H38=1,$D$22*$D$21*$D$24,0)</f>
        <v>0</v>
      </c>
      <c r="I77" s="48" t="n">
        <f aca="false">IF(I38=1,$D$22*$D$21*$D$24,0)</f>
        <v>0</v>
      </c>
      <c r="J77" s="48" t="n">
        <f aca="false">IF(J38=1,$D$22*$D$21*$D$24,0)</f>
        <v>0</v>
      </c>
      <c r="K77" s="48" t="n">
        <f aca="false">IF(K38=1,$D$22*$D$21*$D$24,0)</f>
        <v>5.58</v>
      </c>
      <c r="L77" s="48" t="n">
        <f aca="false">IF(L38=1,$D$22*$D$21*$D$24,0)</f>
        <v>5.58</v>
      </c>
      <c r="M77" s="48" t="n">
        <f aca="false">IF(M38=1,$D$22*$D$21*$D$24,0)</f>
        <v>5.58</v>
      </c>
      <c r="N77" s="48" t="n">
        <f aca="false">IF(N38=1,$D$22*$D$21*$D$24,0)</f>
        <v>5.58</v>
      </c>
      <c r="O77" s="48" t="n">
        <f aca="false">IF(O38=1,$D$22*$D$21*$D$24,0)</f>
        <v>5.58</v>
      </c>
      <c r="P77" s="48" t="n">
        <f aca="false">IF(P38=1,$D$22*$D$21*$D$24,0)</f>
        <v>5.58</v>
      </c>
      <c r="Q77" s="48" t="n">
        <f aca="false">IF(Q38=1,$D$22*$D$21*$D$24,0)</f>
        <v>5.58</v>
      </c>
      <c r="R77" s="48" t="n">
        <f aca="false">IF(R38=1,$D$22*$D$21*$D$24,0)</f>
        <v>5.58</v>
      </c>
      <c r="S77" s="48" t="n">
        <f aca="false">IF(S38=1,$D$22*$D$21*$D$24,0)</f>
        <v>5.58</v>
      </c>
      <c r="T77" s="48" t="n">
        <f aca="false">IF(T38=1,$D$22*$D$21*$D$24,0)</f>
        <v>5.58</v>
      </c>
      <c r="U77" s="48" t="n">
        <f aca="false">IF(U38=1,$D$22*$D$21*$D$24,0)</f>
        <v>5.58</v>
      </c>
      <c r="V77" s="48" t="n">
        <f aca="false">IF(V38=1,$D$22*$D$21*$D$24,0)</f>
        <v>5.58</v>
      </c>
      <c r="W77" s="48" t="n">
        <f aca="false">IF(W38=1,$D$22*$D$21*$D$24,0)</f>
        <v>5.58</v>
      </c>
      <c r="X77" s="48" t="n">
        <f aca="false">IF(X38=1,$D$22*$D$21*$D$24,0)</f>
        <v>5.58</v>
      </c>
      <c r="Y77" s="48" t="n">
        <f aca="false">IF(Y38=1,$D$22*$D$21*$D$24,0)</f>
        <v>5.58</v>
      </c>
      <c r="Z77" s="48" t="n">
        <f aca="false">IF(Z38=1,$D$22*$D$21*$D$24,0)</f>
        <v>5.58</v>
      </c>
      <c r="AA77" s="48" t="n">
        <f aca="false">IF(AA38=1,$D$22*$D$21*$D$24,0)</f>
        <v>5.58</v>
      </c>
      <c r="AB77" s="48" t="n">
        <f aca="false">IF(AB38=1,$D$22*$D$21*$D$24,0)</f>
        <v>5.58</v>
      </c>
      <c r="AC77" s="48" t="n">
        <f aca="false">IF(AC38=1,$D$22*$D$21*$D$24,0)</f>
        <v>5.58</v>
      </c>
      <c r="AD77" s="48" t="n">
        <f aca="false">IF(AD38=1,$D$22*$D$21*$D$24,0)</f>
        <v>5.58</v>
      </c>
      <c r="AE77" s="48" t="n">
        <f aca="false">IF(AE38=1,$D$22*$D$21*$D$24,0)</f>
        <v>5.58</v>
      </c>
      <c r="AF77" s="48" t="n">
        <f aca="false">IF(AF38=1,$D$22*$D$21*$D$24,0)</f>
        <v>5.58</v>
      </c>
      <c r="AG77" s="48" t="n">
        <f aca="false">IF(AG38=1,$D$22*$D$21*$D$24,0)</f>
        <v>5.58</v>
      </c>
      <c r="AH77" s="48" t="n">
        <f aca="false">IF(AH38=1,$D$22*$D$21*$D$24,0)</f>
        <v>5.58</v>
      </c>
      <c r="AI77" s="48" t="n">
        <f aca="false">IF(AI38=1,$D$22*$D$21*$D$24,0)</f>
        <v>5.58</v>
      </c>
      <c r="AJ77" s="48" t="n">
        <f aca="false">IF(AJ38=1,$D$22*$D$21*$D$24,0)</f>
        <v>5.58</v>
      </c>
      <c r="AK77" s="48" t="n">
        <f aca="false">IF(AK38=1,$D$22*$D$21*$D$24,0)</f>
        <v>5.58</v>
      </c>
      <c r="AL77" s="48" t="n">
        <f aca="false">IF(AL38=1,$D$22*$D$21*$D$24,0)</f>
        <v>5.58</v>
      </c>
      <c r="AM77" s="48" t="n">
        <f aca="false">IF(AM38=1,$D$22*$D$21*$D$24,0)</f>
        <v>5.58</v>
      </c>
      <c r="AN77" s="48" t="n">
        <f aca="false">IF(AN38=1,$D$22*$D$21*$D$24,0)</f>
        <v>5.58</v>
      </c>
      <c r="AO77" s="48" t="n">
        <f aca="false">IF(AO38=1,$D$22*$D$21*$D$24,0)</f>
        <v>0</v>
      </c>
      <c r="AP77" s="48" t="n">
        <f aca="false">IF(AP38=1,$D$22*$D$21*$D$24,0)</f>
        <v>0</v>
      </c>
      <c r="AQ77" s="48" t="n">
        <f aca="false">IF(AQ38=1,$D$22*$D$21*$D$24,0)</f>
        <v>0</v>
      </c>
      <c r="AR77" s="48" t="n">
        <f aca="false">IF(AR38=1,$D$22*$D$21*$D$24,0)</f>
        <v>0</v>
      </c>
      <c r="AS77" s="48" t="n">
        <f aca="false">IF(AS38=1,$D$22*$D$21*$D$24,0)</f>
        <v>0</v>
      </c>
      <c r="AT77" s="48" t="n">
        <f aca="false">IF(AT38=1,$D$22*$D$21*$D$24,0)</f>
        <v>0</v>
      </c>
      <c r="AU77" s="48" t="n">
        <f aca="false">IF(AU38=1,$D$22*$D$21*$D$24,0)</f>
        <v>0</v>
      </c>
      <c r="AV77" s="48" t="n">
        <f aca="false">IF(AV38=1,$D$22*$D$21*$D$24,0)</f>
        <v>0</v>
      </c>
      <c r="AW77" s="48" t="n">
        <f aca="false">IF(AW38=1,$D$22*$D$21*$D$24,0)</f>
        <v>0</v>
      </c>
      <c r="AX77" s="48" t="n">
        <f aca="false">IF(AX38=1,$D$22*$D$21*$D$24,0)</f>
        <v>0</v>
      </c>
      <c r="AY77" s="48" t="n">
        <f aca="false">IF(AY38=1,$D$22*$D$21*$D$24,0)</f>
        <v>0</v>
      </c>
      <c r="AZ77" s="48" t="n">
        <f aca="false">IF(AZ38=1,$D$22*$D$21*$D$24,0)</f>
        <v>0</v>
      </c>
      <c r="BA77" s="48" t="n">
        <f aca="false">IF(BA38=1,$D$22*$D$21*$D$24,0)</f>
        <v>0</v>
      </c>
      <c r="BB77" s="48" t="n">
        <f aca="false">IF(BB38=1,$D$22*$D$21*$D$24,0)</f>
        <v>0</v>
      </c>
      <c r="BC77" s="48" t="n">
        <f aca="false">IF(BC38=1,$D$22*$D$21*$D$24,0)</f>
        <v>0</v>
      </c>
      <c r="BD77" s="48" t="n">
        <f aca="false">IF(BD38=1,$D$22*$D$21*$D$24,0)</f>
        <v>0</v>
      </c>
      <c r="BE77" s="48" t="n">
        <f aca="false">IF(BE38=1,$D$22*$D$21*$D$24,0)</f>
        <v>0</v>
      </c>
      <c r="BF77" s="48" t="n">
        <f aca="false">IF(BF38=1,$D$22*$D$21*$D$24,0)</f>
        <v>0</v>
      </c>
      <c r="BG77" s="48" t="n">
        <f aca="false">IF(BG38=1,$D$22*$D$21*$D$24,0)</f>
        <v>0</v>
      </c>
      <c r="BH77" s="48" t="n">
        <f aca="false">IF(BH38=1,$D$22*$D$21*$D$24,0)</f>
        <v>0</v>
      </c>
      <c r="BI77" s="48" t="n">
        <f aca="false">IF(BI38=1,$D$22*$D$21*$D$24,0)</f>
        <v>0</v>
      </c>
      <c r="BJ77" s="48" t="n">
        <f aca="false">IF(BJ38=1,$D$22*$D$21*$D$24,0)</f>
        <v>0</v>
      </c>
      <c r="BK77" s="48" t="n">
        <f aca="false">IF(BK38=1,$D$22*$D$21*$D$24,0)</f>
        <v>0</v>
      </c>
      <c r="BL77" s="48" t="n">
        <f aca="false">IF(BL38=1,$D$22*$D$21*$D$24,0)</f>
        <v>0</v>
      </c>
      <c r="BM77" s="48" t="n">
        <f aca="false">IF(BM38=1,$D$22*$D$21*$D$24,0)</f>
        <v>0</v>
      </c>
      <c r="BN77" s="48" t="n">
        <f aca="false">IF(BN38=1,$D$22*$D$21*$D$24,0)</f>
        <v>0</v>
      </c>
      <c r="BO77" s="48" t="n">
        <f aca="false">IF(BO38=1,$D$22*$D$21*$D$24,0)</f>
        <v>0</v>
      </c>
      <c r="BP77" s="48" t="n">
        <f aca="false">IF(BP38=1,$D$22*$D$21*$D$24,0)</f>
        <v>0</v>
      </c>
      <c r="BQ77" s="48" t="n">
        <f aca="false">IF(BQ38=1,$D$22*$D$21*$D$24,0)</f>
        <v>0</v>
      </c>
      <c r="BR77" s="48" t="n">
        <f aca="false">IF(BR38=1,$D$22*$D$21*$D$24,0)</f>
        <v>0</v>
      </c>
      <c r="BS77" s="48" t="n">
        <f aca="false">IF(BS38=1,$D$22*$D$21*$D$24,0)</f>
        <v>0</v>
      </c>
      <c r="BT77" s="48" t="n">
        <f aca="false">IF(BT38=1,$D$22*$D$21*$D$24,0)</f>
        <v>0</v>
      </c>
      <c r="BU77" s="48" t="n">
        <f aca="false">IF(BU38=1,$D$22*$D$21*$D$24,0)</f>
        <v>0</v>
      </c>
      <c r="BV77" s="48" t="n">
        <f aca="false">IF(BV38=1,$D$22*$D$21*$D$24,0)</f>
        <v>0</v>
      </c>
      <c r="BW77" s="48" t="n">
        <f aca="false">IF(BW38=1,$D$22*$D$21*$D$24,0)</f>
        <v>0</v>
      </c>
      <c r="BX77" s="48" t="n">
        <f aca="false">IF(BX38=1,$D$22*$D$21*$D$24,0)</f>
        <v>0</v>
      </c>
    </row>
    <row r="78" customFormat="false" ht="15" hidden="false" customHeight="false" outlineLevel="0" collapsed="false">
      <c r="A78" s="1"/>
      <c r="B78" s="8" t="s">
        <v>343</v>
      </c>
      <c r="C78" s="8" t="s">
        <v>126</v>
      </c>
      <c r="D78" s="44" t="n">
        <f aca="false">SUM(G78:BX78)</f>
        <v>43.9990423875855</v>
      </c>
      <c r="E78" s="1"/>
      <c r="F78" s="1"/>
      <c r="G78" s="48" t="n">
        <f aca="false">IF(G38=1,$D$18*MAX(G63,0),0)</f>
        <v>0</v>
      </c>
      <c r="H78" s="48" t="n">
        <f aca="false">IF(H38=1,$D$18*MAX(H63,0),0)</f>
        <v>0</v>
      </c>
      <c r="I78" s="48" t="n">
        <f aca="false">IF(I38=1,$D$18*MAX(I63,0),0)</f>
        <v>0</v>
      </c>
      <c r="J78" s="48" t="n">
        <f aca="false">IF(J38=1,$D$18*MAX(J63,0),0)</f>
        <v>0</v>
      </c>
      <c r="K78" s="48" t="n">
        <f aca="false">IF(K38=1,$D$18*MAX(K63,0),0)</f>
        <v>2.50463812315779</v>
      </c>
      <c r="L78" s="48" t="n">
        <f aca="false">IF(L38=1,$D$18*MAX(L63,0),0)</f>
        <v>2.38657484730446</v>
      </c>
      <c r="M78" s="48" t="n">
        <f aca="false">IF(M38=1,$D$18*MAX(M63,0),0)</f>
        <v>2.21378031466951</v>
      </c>
      <c r="N78" s="48" t="n">
        <f aca="false">IF(N38=1,$D$18*MAX(N63,0),0)</f>
        <v>2.02549358124582</v>
      </c>
      <c r="O78" s="48" t="n">
        <f aca="false">IF(O38=1,$D$18*MAX(O63,0),0)</f>
        <v>1.79837828548025</v>
      </c>
      <c r="P78" s="48" t="n">
        <f aca="false">IF(P38=1,$D$18*MAX(P63,0),0)</f>
        <v>1.69803293173623</v>
      </c>
      <c r="Q78" s="48" t="n">
        <f aca="false">IF(Q38=1,$D$18*MAX(Q63,0),0)</f>
        <v>1.62136297210201</v>
      </c>
      <c r="R78" s="48" t="n">
        <f aca="false">IF(R38=1,$D$18*MAX(R63,0),0)</f>
        <v>1.5285319783759</v>
      </c>
      <c r="S78" s="48" t="n">
        <f aca="false">IF(S38=1,$D$18*MAX(S63,0),0)</f>
        <v>1.45532712374821</v>
      </c>
      <c r="T78" s="48" t="n">
        <f aca="false">IF(T38=1,$D$18*MAX(T63,0),0)</f>
        <v>1.3661578567606</v>
      </c>
      <c r="U78" s="48" t="n">
        <f aca="false">IF(U38=1,$D$18*MAX(U63,0),0)</f>
        <v>1.34530181651883</v>
      </c>
      <c r="V78" s="48" t="n">
        <f aca="false">IF(V38=1,$D$18*MAX(V63,0),0)</f>
        <v>1.33694438598325</v>
      </c>
      <c r="W78" s="48" t="n">
        <f aca="false">IF(W38=1,$D$18*MAX(W63,0),0)</f>
        <v>1.32379879499952</v>
      </c>
      <c r="X78" s="48" t="n">
        <f aca="false">IF(X38=1,$D$18*MAX(X63,0),0)</f>
        <v>1.30795404861515</v>
      </c>
      <c r="Y78" s="48" t="n">
        <f aca="false">IF(Y38=1,$D$18*MAX(Y63,0),0)</f>
        <v>1.27894820188883</v>
      </c>
      <c r="Z78" s="48" t="n">
        <f aca="false">IF(Z38=1,$D$18*MAX(Z63,0),0)</f>
        <v>1.27269843413679</v>
      </c>
      <c r="AA78" s="48" t="n">
        <f aca="false">IF(AA38=1,$D$18*MAX(AA63,0),0)</f>
        <v>1.26473219779363</v>
      </c>
      <c r="AB78" s="48" t="n">
        <f aca="false">IF(AB38=1,$D$18*MAX(AB63,0),0)</f>
        <v>1.25014267660951</v>
      </c>
      <c r="AC78" s="48" t="n">
        <f aca="false">IF(AC38=1,$D$18*MAX(AC63,0),0)</f>
        <v>1.24358074397177</v>
      </c>
      <c r="AD78" s="48" t="n">
        <f aca="false">IF(AD38=1,$D$18*MAX(AD63,0),0)</f>
        <v>1.23394730462371</v>
      </c>
      <c r="AE78" s="48" t="n">
        <f aca="false">IF(AE38=1,$D$18*MAX(AE63,0),0)</f>
        <v>1.23372432431516</v>
      </c>
      <c r="AF78" s="48" t="n">
        <f aca="false">IF(AF38=1,$D$18*MAX(AF63,0),0)</f>
        <v>1.23519202176678</v>
      </c>
      <c r="AG78" s="48" t="n">
        <f aca="false">IF(AG38=1,$D$18*MAX(AG63,0),0)</f>
        <v>1.23597215323807</v>
      </c>
      <c r="AH78" s="48" t="n">
        <f aca="false">IF(AH38=1,$D$18*MAX(AH63,0),0)</f>
        <v>1.24367681532704</v>
      </c>
      <c r="AI78" s="48" t="n">
        <f aca="false">IF(AI38=1,$D$18*MAX(AI63,0),0)</f>
        <v>1.24614615288982</v>
      </c>
      <c r="AJ78" s="48" t="n">
        <f aca="false">IF(AJ38=1,$D$18*MAX(AJ63,0),0)</f>
        <v>1.24723412605292</v>
      </c>
      <c r="AK78" s="48" t="n">
        <f aca="false">IF(AK38=1,$D$18*MAX(AK63,0),0)</f>
        <v>1.25951068085126</v>
      </c>
      <c r="AL78" s="48" t="n">
        <f aca="false">IF(AL38=1,$D$18*MAX(AL63,0),0)</f>
        <v>1.27782922563405</v>
      </c>
      <c r="AM78" s="48" t="n">
        <f aca="false">IF(AM38=1,$D$18*MAX(AM63,0),0)</f>
        <v>1.27971405143255</v>
      </c>
      <c r="AN78" s="48" t="n">
        <f aca="false">IF(AN38=1,$D$18*MAX(AN63,0),0)</f>
        <v>1.28371621635604</v>
      </c>
      <c r="AO78" s="48" t="n">
        <f aca="false">IF(AO38=1,$D$18*MAX(AO63,0),0)</f>
        <v>0</v>
      </c>
      <c r="AP78" s="48" t="n">
        <f aca="false">IF(AP38=1,$D$18*MAX(AP63,0),0)</f>
        <v>0</v>
      </c>
      <c r="AQ78" s="48" t="n">
        <f aca="false">IF(AQ38=1,$D$18*MAX(AQ63,0),0)</f>
        <v>0</v>
      </c>
      <c r="AR78" s="48" t="n">
        <f aca="false">IF(AR38=1,$D$18*MAX(AR63,0),0)</f>
        <v>0</v>
      </c>
      <c r="AS78" s="48" t="n">
        <f aca="false">IF(AS38=1,$D$18*MAX(AS63,0),0)</f>
        <v>0</v>
      </c>
      <c r="AT78" s="48" t="n">
        <f aca="false">IF(AT38=1,$D$18*MAX(AT63,0),0)</f>
        <v>0</v>
      </c>
      <c r="AU78" s="48" t="n">
        <f aca="false">IF(AU38=1,$D$18*MAX(AU63,0),0)</f>
        <v>0</v>
      </c>
      <c r="AV78" s="48" t="n">
        <f aca="false">IF(AV38=1,$D$18*MAX(AV63,0),0)</f>
        <v>0</v>
      </c>
      <c r="AW78" s="48" t="n">
        <f aca="false">IF(AW38=1,$D$18*MAX(AW63,0),0)</f>
        <v>0</v>
      </c>
      <c r="AX78" s="48" t="n">
        <f aca="false">IF(AX38=1,$D$18*MAX(AX63,0),0)</f>
        <v>0</v>
      </c>
      <c r="AY78" s="48" t="n">
        <f aca="false">IF(AY38=1,$D$18*MAX(AY63,0),0)</f>
        <v>0</v>
      </c>
      <c r="AZ78" s="48" t="n">
        <f aca="false">IF(AZ38=1,$D$18*MAX(AZ63,0),0)</f>
        <v>0</v>
      </c>
      <c r="BA78" s="48" t="n">
        <f aca="false">IF(BA38=1,$D$18*MAX(BA63,0),0)</f>
        <v>0</v>
      </c>
      <c r="BB78" s="48" t="n">
        <f aca="false">IF(BB38=1,$D$18*MAX(BB63,0),0)</f>
        <v>0</v>
      </c>
      <c r="BC78" s="48" t="n">
        <f aca="false">IF(BC38=1,$D$18*MAX(BC63,0),0)</f>
        <v>0</v>
      </c>
      <c r="BD78" s="48" t="n">
        <f aca="false">IF(BD38=1,$D$18*MAX(BD63,0),0)</f>
        <v>0</v>
      </c>
      <c r="BE78" s="48" t="n">
        <f aca="false">IF(BE38=1,$D$18*MAX(BE63,0),0)</f>
        <v>0</v>
      </c>
      <c r="BF78" s="48" t="n">
        <f aca="false">IF(BF38=1,$D$18*MAX(BF63,0),0)</f>
        <v>0</v>
      </c>
      <c r="BG78" s="48" t="n">
        <f aca="false">IF(BG38=1,$D$18*MAX(BG63,0),0)</f>
        <v>0</v>
      </c>
      <c r="BH78" s="48" t="n">
        <f aca="false">IF(BH38=1,$D$18*MAX(BH63,0),0)</f>
        <v>0</v>
      </c>
      <c r="BI78" s="48" t="n">
        <f aca="false">IF(BI38=1,$D$18*MAX(BI63,0),0)</f>
        <v>0</v>
      </c>
      <c r="BJ78" s="48" t="n">
        <f aca="false">IF(BJ38=1,$D$18*MAX(BJ63,0),0)</f>
        <v>0</v>
      </c>
      <c r="BK78" s="48" t="n">
        <f aca="false">IF(BK38=1,$D$18*MAX(BK63,0),0)</f>
        <v>0</v>
      </c>
      <c r="BL78" s="48" t="n">
        <f aca="false">IF(BL38=1,$D$18*MAX(BL63,0),0)</f>
        <v>0</v>
      </c>
      <c r="BM78" s="48" t="n">
        <f aca="false">IF(BM38=1,$D$18*MAX(BM63,0),0)</f>
        <v>0</v>
      </c>
      <c r="BN78" s="48" t="n">
        <f aca="false">IF(BN38=1,$D$18*MAX(BN63,0),0)</f>
        <v>0</v>
      </c>
      <c r="BO78" s="48" t="n">
        <f aca="false">IF(BO38=1,$D$18*MAX(BO63,0),0)</f>
        <v>0</v>
      </c>
      <c r="BP78" s="48" t="n">
        <f aca="false">IF(BP38=1,$D$18*MAX(BP63,0),0)</f>
        <v>0</v>
      </c>
      <c r="BQ78" s="48" t="n">
        <f aca="false">IF(BQ38=1,$D$18*MAX(BQ63,0),0)</f>
        <v>0</v>
      </c>
      <c r="BR78" s="48" t="n">
        <f aca="false">IF(BR38=1,$D$18*MAX(BR63,0),0)</f>
        <v>0</v>
      </c>
      <c r="BS78" s="48" t="n">
        <f aca="false">IF(BS38=1,$D$18*MAX(BS63,0),0)</f>
        <v>0</v>
      </c>
      <c r="BT78" s="48" t="n">
        <f aca="false">IF(BT38=1,$D$18*MAX(BT63,0),0)</f>
        <v>0</v>
      </c>
      <c r="BU78" s="48" t="n">
        <f aca="false">IF(BU38=1,$D$18*MAX(BU63,0),0)</f>
        <v>0</v>
      </c>
      <c r="BV78" s="48" t="n">
        <f aca="false">IF(BV38=1,$D$18*MAX(BV63,0),0)</f>
        <v>0</v>
      </c>
      <c r="BW78" s="48" t="n">
        <f aca="false">IF(BW38=1,$D$18*MAX(BW63,0),0)</f>
        <v>0</v>
      </c>
      <c r="BX78" s="48" t="n">
        <f aca="false">IF(BX38=1,$D$18*MAX(BX63,0),0)</f>
        <v>0</v>
      </c>
    </row>
    <row r="79" customFormat="false" ht="15" hidden="false" customHeight="false" outlineLevel="0" collapsed="false">
      <c r="A79" s="1"/>
      <c r="B79" s="4" t="s">
        <v>344</v>
      </c>
      <c r="C79" s="8" t="s">
        <v>126</v>
      </c>
      <c r="D79" s="44" t="n">
        <f aca="false">SUM(G79:BX79)</f>
        <v>8651.89609097102</v>
      </c>
      <c r="E79" s="1"/>
      <c r="F79" s="1"/>
      <c r="G79" s="44" t="n">
        <f aca="false">G67+G69+G70+G71+G72+G73+G75+G76+G77+G78</f>
        <v>0</v>
      </c>
      <c r="H79" s="44" t="n">
        <f aca="false">H67+H69+H70+H71+H72+H73+H75+H76+H77+H78</f>
        <v>0</v>
      </c>
      <c r="I79" s="44" t="n">
        <f aca="false">I67+I69+I70+I71+I72+I73+I75+I76+I77+I78</f>
        <v>0</v>
      </c>
      <c r="J79" s="44" t="n">
        <f aca="false">J67+J69+J70+J71+J72+J73+J75+J76+J77+J78</f>
        <v>0</v>
      </c>
      <c r="K79" s="44" t="n">
        <f aca="false">K67+K69+K70+K71+K72+K73+K75+K76+K77+K78</f>
        <v>451.956801716676</v>
      </c>
      <c r="L79" s="44" t="n">
        <f aca="false">L67+L69+L70+L71+L72+L73+L75+L76+L77+L78</f>
        <v>436.950937252889</v>
      </c>
      <c r="M79" s="44" t="n">
        <f aca="false">M67+M69+M70+M71+M72+M73+M75+M76+M77+M78</f>
        <v>410.955446317232</v>
      </c>
      <c r="N79" s="44" t="n">
        <f aca="false">N67+N69+N70+N71+N72+N73+N75+N76+N77+N78</f>
        <v>381.109742542981</v>
      </c>
      <c r="O79" s="44" t="n">
        <f aca="false">O67+O69+O70+O71+O72+O73+O75+O76+O77+O78</f>
        <v>342.412116256604</v>
      </c>
      <c r="P79" s="44" t="n">
        <f aca="false">P67+P69+P70+P71+P72+P73+P75+P76+P77+P78</f>
        <v>325.843626926408</v>
      </c>
      <c r="Q79" s="44" t="n">
        <f aca="false">Q67+Q69+Q70+Q71+Q72+Q73+Q75+Q76+Q77+Q78</f>
        <v>313.77571329865</v>
      </c>
      <c r="R79" s="44" t="n">
        <f aca="false">R67+R69+R70+R71+R72+R73+R75+R76+R77+R78</f>
        <v>298.296643672221</v>
      </c>
      <c r="S79" s="44" t="n">
        <f aca="false">S67+S69+S70+S71+S72+S73+S75+S76+S77+S78</f>
        <v>286.578689970286</v>
      </c>
      <c r="T79" s="44" t="n">
        <f aca="false">T67+T69+T70+T71+T72+T73+T75+T76+T77+T78</f>
        <v>271.419325972694</v>
      </c>
      <c r="U79" s="44" t="n">
        <f aca="false">U67+U69+U70+U71+U72+U73+U75+U76+U77+U78</f>
        <v>267.953355348243</v>
      </c>
      <c r="V79" s="44" t="n">
        <f aca="false">V67+V69+V70+V71+V72+V73+V75+V76+V77+V78</f>
        <v>266.859837749855</v>
      </c>
      <c r="W79" s="44" t="n">
        <f aca="false">W67+W69+W70+W71+W72+W73+W75+W76+W77+W78</f>
        <v>264.889034837935</v>
      </c>
      <c r="X79" s="44" t="n">
        <f aca="false">X67+X69+X70+X71+X72+X73+X75+X76+X77+X78</f>
        <v>262.328318334674</v>
      </c>
      <c r="Y79" s="44" t="n">
        <f aca="false">Y67+Y69+Y70+Y71+Y72+Y73+Y75+Y76+Y77+Y78</f>
        <v>257.130475318933</v>
      </c>
      <c r="Z79" s="44" t="n">
        <f aca="false">Z67+Z69+Z70+Z71+Z72+Z73+Z75+Z76+Z77+Z78</f>
        <v>256.429478332519</v>
      </c>
      <c r="AA79" s="44" t="n">
        <f aca="false">AA67+AA69+AA70+AA71+AA72+AA73+AA75+AA76+AA77+AA78</f>
        <v>255.417936780537</v>
      </c>
      <c r="AB79" s="44" t="n">
        <f aca="false">AB67+AB69+AB70+AB71+AB72+AB73+AB75+AB76+AB77+AB78</f>
        <v>253.047824328001</v>
      </c>
      <c r="AC79" s="44" t="n">
        <f aca="false">AC67+AC69+AC70+AC71+AC72+AC73+AC75+AC76+AC77+AC78</f>
        <v>252.323469268511</v>
      </c>
      <c r="AD79" s="44" t="n">
        <f aca="false">AD67+AD69+AD70+AD71+AD72+AD73+AD75+AD76+AD77+AD78</f>
        <v>250.976213667086</v>
      </c>
      <c r="AE79" s="44" t="n">
        <f aca="false">AE67+AE69+AE70+AE71+AE72+AE73+AE75+AE76+AE77+AE78</f>
        <v>250.851036445283</v>
      </c>
      <c r="AF79" s="44" t="n">
        <f aca="false">AF67+AF69+AF70+AF71+AF72+AF73+AF75+AF76+AF77+AF78</f>
        <v>251.039868539478</v>
      </c>
      <c r="AG79" s="44" t="n">
        <f aca="false">AG67+AG69+AG70+AG71+AG72+AG73+AG75+AG76+AG77+AG78</f>
        <v>251.113178193374</v>
      </c>
      <c r="AH79" s="44" t="n">
        <f aca="false">AH67+AH69+AH70+AH71+AH72+AH73+AH75+AH76+AH77+AH78</f>
        <v>252.558441000755</v>
      </c>
      <c r="AI79" s="44" t="n">
        <f aca="false">AI67+AI69+AI70+AI71+AI72+AI73+AI75+AI76+AI77+AI78</f>
        <v>252.966873512218</v>
      </c>
      <c r="AJ79" s="44" t="n">
        <f aca="false">AJ67+AJ69+AJ70+AJ71+AJ72+AJ73+AJ75+AJ76+AJ77+AJ78</f>
        <v>253.062028170698</v>
      </c>
      <c r="AK79" s="44" t="n">
        <f aca="false">AK67+AK69+AK70+AK71+AK72+AK73+AK75+AK76+AK77+AK78</f>
        <v>255.442766858874</v>
      </c>
      <c r="AL79" s="44" t="n">
        <f aca="false">AL67+AL69+AL70+AL71+AL72+AL73+AL75+AL76+AL77+AL78</f>
        <v>258.980484373418</v>
      </c>
      <c r="AM79" s="44" t="n">
        <f aca="false">AM67+AM69+AM70+AM71+AM72+AM73+AM75+AM76+AM77+AM78</f>
        <v>259.271153243977</v>
      </c>
      <c r="AN79" s="44" t="n">
        <f aca="false">AN67+AN69+AN70+AN71+AN72+AN73+AN75+AN76+AN77+AN78</f>
        <v>259.955272740007</v>
      </c>
      <c r="AO79" s="44" t="n">
        <f aca="false">AO67+AO69+AO70+AO71+AO72+AO73+AO75+AO76+AO77+AO78</f>
        <v>0</v>
      </c>
      <c r="AP79" s="44" t="n">
        <f aca="false">AP67+AP69+AP70+AP71+AP72+AP73+AP75+AP76+AP77+AP78</f>
        <v>0</v>
      </c>
      <c r="AQ79" s="44" t="n">
        <f aca="false">AQ67+AQ69+AQ70+AQ71+AQ72+AQ73+AQ75+AQ76+AQ77+AQ78</f>
        <v>0</v>
      </c>
      <c r="AR79" s="44" t="n">
        <f aca="false">AR67+AR69+AR70+AR71+AR72+AR73+AR75+AR76+AR77+AR78</f>
        <v>0</v>
      </c>
      <c r="AS79" s="44" t="n">
        <f aca="false">AS67+AS69+AS70+AS71+AS72+AS73+AS75+AS76+AS77+AS78</f>
        <v>0</v>
      </c>
      <c r="AT79" s="44" t="n">
        <f aca="false">AT67+AT69+AT70+AT71+AT72+AT73+AT75+AT76+AT77+AT78</f>
        <v>0</v>
      </c>
      <c r="AU79" s="44" t="n">
        <f aca="false">AU67+AU69+AU70+AU71+AU72+AU73+AU75+AU76+AU77+AU78</f>
        <v>0</v>
      </c>
      <c r="AV79" s="44" t="n">
        <f aca="false">AV67+AV69+AV70+AV71+AV72+AV73+AV75+AV76+AV77+AV78</f>
        <v>0</v>
      </c>
      <c r="AW79" s="44" t="n">
        <f aca="false">AW67+AW69+AW70+AW71+AW72+AW73+AW75+AW76+AW77+AW78</f>
        <v>0</v>
      </c>
      <c r="AX79" s="44" t="n">
        <f aca="false">AX67+AX69+AX70+AX71+AX72+AX73+AX75+AX76+AX77+AX78</f>
        <v>0</v>
      </c>
      <c r="AY79" s="44" t="n">
        <f aca="false">AY67+AY69+AY70+AY71+AY72+AY73+AY75+AY76+AY77+AY78</f>
        <v>0</v>
      </c>
      <c r="AZ79" s="44" t="n">
        <f aca="false">AZ67+AZ69+AZ70+AZ71+AZ72+AZ73+AZ75+AZ76+AZ77+AZ78</f>
        <v>0</v>
      </c>
      <c r="BA79" s="44" t="n">
        <f aca="false">BA67+BA69+BA70+BA71+BA72+BA73+BA75+BA76+BA77+BA78</f>
        <v>0</v>
      </c>
      <c r="BB79" s="44" t="n">
        <f aca="false">BB67+BB69+BB70+BB71+BB72+BB73+BB75+BB76+BB77+BB78</f>
        <v>0</v>
      </c>
      <c r="BC79" s="44" t="n">
        <f aca="false">BC67+BC69+BC70+BC71+BC72+BC73+BC75+BC76+BC77+BC78</f>
        <v>0</v>
      </c>
      <c r="BD79" s="44" t="n">
        <f aca="false">BD67+BD69+BD70+BD71+BD72+BD73+BD75+BD76+BD77+BD78</f>
        <v>0</v>
      </c>
      <c r="BE79" s="44" t="n">
        <f aca="false">BE67+BE69+BE70+BE71+BE72+BE73+BE75+BE76+BE77+BE78</f>
        <v>0</v>
      </c>
      <c r="BF79" s="44" t="n">
        <f aca="false">BF67+BF69+BF70+BF71+BF72+BF73+BF75+BF76+BF77+BF78</f>
        <v>0</v>
      </c>
      <c r="BG79" s="44" t="n">
        <f aca="false">BG67+BG69+BG70+BG71+BG72+BG73+BG75+BG76+BG77+BG78</f>
        <v>0</v>
      </c>
      <c r="BH79" s="44" t="n">
        <f aca="false">BH67+BH69+BH70+BH71+BH72+BH73+BH75+BH76+BH77+BH78</f>
        <v>0</v>
      </c>
      <c r="BI79" s="44" t="n">
        <f aca="false">BI67+BI69+BI70+BI71+BI72+BI73+BI75+BI76+BI77+BI78</f>
        <v>0</v>
      </c>
      <c r="BJ79" s="44" t="n">
        <f aca="false">BJ67+BJ69+BJ70+BJ71+BJ72+BJ73+BJ75+BJ76+BJ77+BJ78</f>
        <v>0</v>
      </c>
      <c r="BK79" s="44" t="n">
        <f aca="false">BK67+BK69+BK70+BK71+BK72+BK73+BK75+BK76+BK77+BK78</f>
        <v>0</v>
      </c>
      <c r="BL79" s="44" t="n">
        <f aca="false">BL67+BL69+BL70+BL71+BL72+BL73+BL75+BL76+BL77+BL78</f>
        <v>0</v>
      </c>
      <c r="BM79" s="44" t="n">
        <f aca="false">BM67+BM69+BM70+BM71+BM72+BM73+BM75+BM76+BM77+BM78</f>
        <v>0</v>
      </c>
      <c r="BN79" s="44" t="n">
        <f aca="false">BN67+BN69+BN70+BN71+BN72+BN73+BN75+BN76+BN77+BN78</f>
        <v>0</v>
      </c>
      <c r="BO79" s="44" t="n">
        <f aca="false">BO67+BO69+BO70+BO71+BO72+BO73+BO75+BO76+BO77+BO78</f>
        <v>0</v>
      </c>
      <c r="BP79" s="44" t="n">
        <f aca="false">BP67+BP69+BP70+BP71+BP72+BP73+BP75+BP76+BP77+BP78</f>
        <v>0</v>
      </c>
      <c r="BQ79" s="44" t="n">
        <f aca="false">BQ67+BQ69+BQ70+BQ71+BQ72+BQ73+BQ75+BQ76+BQ77+BQ78</f>
        <v>0</v>
      </c>
      <c r="BR79" s="44" t="n">
        <f aca="false">BR67+BR69+BR70+BR71+BR72+BR73+BR75+BR76+BR77+BR78</f>
        <v>0</v>
      </c>
      <c r="BS79" s="44" t="n">
        <f aca="false">BS67+BS69+BS70+BS71+BS72+BS73+BS75+BS76+BS77+BS78</f>
        <v>0</v>
      </c>
      <c r="BT79" s="44" t="n">
        <f aca="false">BT67+BT69+BT70+BT71+BT72+BT73+BT75+BT76+BT77+BT78</f>
        <v>0</v>
      </c>
      <c r="BU79" s="44" t="n">
        <f aca="false">BU67+BU69+BU70+BU71+BU72+BU73+BU75+BU76+BU77+BU78</f>
        <v>0</v>
      </c>
      <c r="BV79" s="44" t="n">
        <f aca="false">BV67+BV69+BV70+BV71+BV72+BV73+BV75+BV76+BV77+BV78</f>
        <v>0</v>
      </c>
      <c r="BW79" s="44" t="n">
        <f aca="false">BW67+BW69+BW70+BW71+BW72+BW73+BW75+BW76+BW77+BW78</f>
        <v>0</v>
      </c>
      <c r="BX79" s="44" t="n">
        <f aca="false">BX67+BX69+BX70+BX71+BX72+BX73+BX75+BX76+BX77+BX78</f>
        <v>0</v>
      </c>
    </row>
    <row r="80" customFormat="false" ht="15" hidden="false" customHeight="false" outlineLevel="0" collapsed="false">
      <c r="A80" s="1"/>
      <c r="B80" s="4" t="s">
        <v>345</v>
      </c>
      <c r="C80" s="8" t="s">
        <v>126</v>
      </c>
      <c r="D80" s="44" t="n">
        <f aca="false">SUM(G80:BX80)</f>
        <v>147.912386546075</v>
      </c>
      <c r="E80" s="1"/>
      <c r="F80" s="1"/>
      <c r="G80" s="44" t="n">
        <f aca="false">G63-G79</f>
        <v>0</v>
      </c>
      <c r="H80" s="44" t="n">
        <f aca="false">H63-H79</f>
        <v>0</v>
      </c>
      <c r="I80" s="44" t="n">
        <f aca="false">I63-I79</f>
        <v>0</v>
      </c>
      <c r="J80" s="44" t="n">
        <f aca="false">J63-J79</f>
        <v>0</v>
      </c>
      <c r="K80" s="44" t="n">
        <f aca="false">K63-K79</f>
        <v>48.9708229148804</v>
      </c>
      <c r="L80" s="44" t="n">
        <f aca="false">L63-L79</f>
        <v>40.3640322080023</v>
      </c>
      <c r="M80" s="44" t="n">
        <f aca="false">M63-M79</f>
        <v>31.8006166166704</v>
      </c>
      <c r="N80" s="44" t="n">
        <f aca="false">N63-N79</f>
        <v>23.9889737061838</v>
      </c>
      <c r="O80" s="44" t="n">
        <f aca="false">O63-O79</f>
        <v>17.263540839445</v>
      </c>
      <c r="P80" s="44" t="n">
        <f aca="false">P63-P79</f>
        <v>13.7629594208368</v>
      </c>
      <c r="Q80" s="44" t="n">
        <f aca="false">Q63-Q79</f>
        <v>10.4968811217508</v>
      </c>
      <c r="R80" s="44" t="n">
        <f aca="false">R63-R79</f>
        <v>7.40975200295827</v>
      </c>
      <c r="S80" s="44" t="n">
        <f aca="false">S63-S79</f>
        <v>4.48673477935608</v>
      </c>
      <c r="T80" s="44" t="n">
        <f aca="false">T63-T79</f>
        <v>1.81224537942643</v>
      </c>
      <c r="U80" s="44" t="n">
        <f aca="false">U63-U79</f>
        <v>1.10700795552242</v>
      </c>
      <c r="V80" s="44" t="n">
        <f aca="false">V63-V79</f>
        <v>0.529039446794855</v>
      </c>
      <c r="W80" s="44" t="n">
        <f aca="false">W63-W79</f>
        <v>-0.129275838029912</v>
      </c>
      <c r="X80" s="44" t="n">
        <f aca="false">X63-X79</f>
        <v>-0.737508611644444</v>
      </c>
      <c r="Y80" s="44" t="n">
        <f aca="false">Y63-Y79</f>
        <v>-1.34083494116575</v>
      </c>
      <c r="Z80" s="44" t="n">
        <f aca="false">Z63-Z79</f>
        <v>-1.8897915051615</v>
      </c>
      <c r="AA80" s="44" t="n">
        <f aca="false">AA63-AA79</f>
        <v>-2.47149722181126</v>
      </c>
      <c r="AB80" s="44" t="n">
        <f aca="false">AB63-AB79</f>
        <v>-3.01928900609809</v>
      </c>
      <c r="AC80" s="44" t="n">
        <f aca="false">AC63-AC79</f>
        <v>-3.60732047415652</v>
      </c>
      <c r="AD80" s="44" t="n">
        <f aca="false">AD63-AD79</f>
        <v>-4.18675274234295</v>
      </c>
      <c r="AE80" s="44" t="n">
        <f aca="false">AE63-AE79</f>
        <v>-4.10617158225028</v>
      </c>
      <c r="AF80" s="44" t="n">
        <f aca="false">AF63-AF79</f>
        <v>-4.0014641861213</v>
      </c>
      <c r="AG80" s="44" t="n">
        <f aca="false">AG63-AG79</f>
        <v>-3.91874754575997</v>
      </c>
      <c r="AH80" s="44" t="n">
        <f aca="false">AH63-AH79</f>
        <v>-3.82307793534585</v>
      </c>
      <c r="AI80" s="44" t="n">
        <f aca="false">AI63-AI79</f>
        <v>-3.73764293425472</v>
      </c>
      <c r="AJ80" s="44" t="n">
        <f aca="false">AJ63-AJ79</f>
        <v>-3.61520296011418</v>
      </c>
      <c r="AK80" s="44" t="n">
        <f aca="false">AK63-AK79</f>
        <v>-3.54063068862197</v>
      </c>
      <c r="AL80" s="44" t="n">
        <f aca="false">AL63-AL79</f>
        <v>-3.41463924660718</v>
      </c>
      <c r="AM80" s="44" t="n">
        <f aca="false">AM63-AM79</f>
        <v>-3.32834295746716</v>
      </c>
      <c r="AN80" s="44" t="n">
        <f aca="false">AN63-AN79</f>
        <v>-3.2120294687997</v>
      </c>
      <c r="AO80" s="44" t="n">
        <f aca="false">AO63-AO79</f>
        <v>0</v>
      </c>
      <c r="AP80" s="44" t="n">
        <f aca="false">AP63-AP79</f>
        <v>0</v>
      </c>
      <c r="AQ80" s="44" t="n">
        <f aca="false">AQ63-AQ79</f>
        <v>0</v>
      </c>
      <c r="AR80" s="44" t="n">
        <f aca="false">AR63-AR79</f>
        <v>0</v>
      </c>
      <c r="AS80" s="44" t="n">
        <f aca="false">AS63-AS79</f>
        <v>0</v>
      </c>
      <c r="AT80" s="44" t="n">
        <f aca="false">AT63-AT79</f>
        <v>0</v>
      </c>
      <c r="AU80" s="44" t="n">
        <f aca="false">AU63-AU79</f>
        <v>0</v>
      </c>
      <c r="AV80" s="44" t="n">
        <f aca="false">AV63-AV79</f>
        <v>0</v>
      </c>
      <c r="AW80" s="44" t="n">
        <f aca="false">AW63-AW79</f>
        <v>0</v>
      </c>
      <c r="AX80" s="44" t="n">
        <f aca="false">AX63-AX79</f>
        <v>0</v>
      </c>
      <c r="AY80" s="44" t="n">
        <f aca="false">AY63-AY79</f>
        <v>0</v>
      </c>
      <c r="AZ80" s="44" t="n">
        <f aca="false">AZ63-AZ79</f>
        <v>0</v>
      </c>
      <c r="BA80" s="44" t="n">
        <f aca="false">BA63-BA79</f>
        <v>0</v>
      </c>
      <c r="BB80" s="44" t="n">
        <f aca="false">BB63-BB79</f>
        <v>0</v>
      </c>
      <c r="BC80" s="44" t="n">
        <f aca="false">BC63-BC79</f>
        <v>0</v>
      </c>
      <c r="BD80" s="44" t="n">
        <f aca="false">BD63-BD79</f>
        <v>0</v>
      </c>
      <c r="BE80" s="44" t="n">
        <f aca="false">BE63-BE79</f>
        <v>0</v>
      </c>
      <c r="BF80" s="44" t="n">
        <f aca="false">BF63-BF79</f>
        <v>0</v>
      </c>
      <c r="BG80" s="44" t="n">
        <f aca="false">BG63-BG79</f>
        <v>0</v>
      </c>
      <c r="BH80" s="44" t="n">
        <f aca="false">BH63-BH79</f>
        <v>0</v>
      </c>
      <c r="BI80" s="44" t="n">
        <f aca="false">BI63-BI79</f>
        <v>0</v>
      </c>
      <c r="BJ80" s="44" t="n">
        <f aca="false">BJ63-BJ79</f>
        <v>0</v>
      </c>
      <c r="BK80" s="44" t="n">
        <f aca="false">BK63-BK79</f>
        <v>0</v>
      </c>
      <c r="BL80" s="44" t="n">
        <f aca="false">BL63-BL79</f>
        <v>0</v>
      </c>
      <c r="BM80" s="44" t="n">
        <f aca="false">BM63-BM79</f>
        <v>0</v>
      </c>
      <c r="BN80" s="44" t="n">
        <f aca="false">BN63-BN79</f>
        <v>0</v>
      </c>
      <c r="BO80" s="44" t="n">
        <f aca="false">BO63-BO79</f>
        <v>0</v>
      </c>
      <c r="BP80" s="44" t="n">
        <f aca="false">BP63-BP79</f>
        <v>0</v>
      </c>
      <c r="BQ80" s="44" t="n">
        <f aca="false">BQ63-BQ79</f>
        <v>0</v>
      </c>
      <c r="BR80" s="44" t="n">
        <f aca="false">BR63-BR79</f>
        <v>0</v>
      </c>
      <c r="BS80" s="44" t="n">
        <f aca="false">BS63-BS79</f>
        <v>0</v>
      </c>
      <c r="BT80" s="44" t="n">
        <f aca="false">BT63-BT79</f>
        <v>0</v>
      </c>
      <c r="BU80" s="44" t="n">
        <f aca="false">BU63-BU79</f>
        <v>0</v>
      </c>
      <c r="BV80" s="44" t="n">
        <f aca="false">BV63-BV79</f>
        <v>0</v>
      </c>
      <c r="BW80" s="44" t="n">
        <f aca="false">BW63-BW79</f>
        <v>0</v>
      </c>
      <c r="BX80" s="44" t="n">
        <f aca="false">BX63-BX79</f>
        <v>0</v>
      </c>
    </row>
    <row r="81" customFormat="false" ht="15" hidden="false" customHeight="false" outlineLevel="0" collapsed="false">
      <c r="A81" s="1"/>
      <c r="B81" s="8" t="s">
        <v>430</v>
      </c>
      <c r="C81" s="8" t="s">
        <v>126</v>
      </c>
      <c r="D81" s="44" t="n">
        <f aca="false">SUM(G81:BX81)</f>
        <v>93</v>
      </c>
      <c r="E81" s="1"/>
      <c r="F81" s="1"/>
      <c r="G81" s="48" t="n">
        <f aca="false">IF(G$4=$D$10+$D$11-1,$D$29*$D$24,0)</f>
        <v>0</v>
      </c>
      <c r="H81" s="48" t="n">
        <f aca="false">IF(H$4=$D$10+$D$11-1,$D$29*$D$24,0)</f>
        <v>0</v>
      </c>
      <c r="I81" s="48" t="n">
        <f aca="false">IF(I$4=$D$10+$D$11-1,$D$29*$D$24,0)</f>
        <v>0</v>
      </c>
      <c r="J81" s="48" t="n">
        <f aca="false">IF(J$4=$D$10+$D$11-1,$D$29*$D$24,0)</f>
        <v>0</v>
      </c>
      <c r="K81" s="48" t="n">
        <f aca="false">IF(K$4=$D$10+$D$11-1,$D$29*$D$24,0)</f>
        <v>0</v>
      </c>
      <c r="L81" s="48" t="n">
        <f aca="false">IF(L$4=$D$10+$D$11-1,$D$29*$D$24,0)</f>
        <v>0</v>
      </c>
      <c r="M81" s="48" t="n">
        <f aca="false">IF(M$4=$D$10+$D$11-1,$D$29*$D$24,0)</f>
        <v>0</v>
      </c>
      <c r="N81" s="48" t="n">
        <f aca="false">IF(N$4=$D$10+$D$11-1,$D$29*$D$24,0)</f>
        <v>0</v>
      </c>
      <c r="O81" s="48" t="n">
        <f aca="false">IF(O$4=$D$10+$D$11-1,$D$29*$D$24,0)</f>
        <v>0</v>
      </c>
      <c r="P81" s="48" t="n">
        <f aca="false">IF(P$4=$D$10+$D$11-1,$D$29*$D$24,0)</f>
        <v>0</v>
      </c>
      <c r="Q81" s="48" t="n">
        <f aca="false">IF(Q$4=$D$10+$D$11-1,$D$29*$D$24,0)</f>
        <v>0</v>
      </c>
      <c r="R81" s="48" t="n">
        <f aca="false">IF(R$4=$D$10+$D$11-1,$D$29*$D$24,0)</f>
        <v>0</v>
      </c>
      <c r="S81" s="48" t="n">
        <f aca="false">IF(S$4=$D$10+$D$11-1,$D$29*$D$24,0)</f>
        <v>0</v>
      </c>
      <c r="T81" s="48" t="n">
        <f aca="false">IF(T$4=$D$10+$D$11-1,$D$29*$D$24,0)</f>
        <v>0</v>
      </c>
      <c r="U81" s="48" t="n">
        <f aca="false">IF(U$4=$D$10+$D$11-1,$D$29*$D$24,0)</f>
        <v>0</v>
      </c>
      <c r="V81" s="48" t="n">
        <f aca="false">IF(V$4=$D$10+$D$11-1,$D$29*$D$24,0)</f>
        <v>0</v>
      </c>
      <c r="W81" s="48" t="n">
        <f aca="false">IF(W$4=$D$10+$D$11-1,$D$29*$D$24,0)</f>
        <v>0</v>
      </c>
      <c r="X81" s="48" t="n">
        <f aca="false">IF(X$4=$D$10+$D$11-1,$D$29*$D$24,0)</f>
        <v>0</v>
      </c>
      <c r="Y81" s="48" t="n">
        <f aca="false">IF(Y$4=$D$10+$D$11-1,$D$29*$D$24,0)</f>
        <v>0</v>
      </c>
      <c r="Z81" s="48" t="n">
        <f aca="false">IF(Z$4=$D$10+$D$11-1,$D$29*$D$24,0)</f>
        <v>0</v>
      </c>
      <c r="AA81" s="48" t="n">
        <f aca="false">IF(AA$4=$D$10+$D$11-1,$D$29*$D$24,0)</f>
        <v>0</v>
      </c>
      <c r="AB81" s="48" t="n">
        <f aca="false">IF(AB$4=$D$10+$D$11-1,$D$29*$D$24,0)</f>
        <v>0</v>
      </c>
      <c r="AC81" s="48" t="n">
        <f aca="false">IF(AC$4=$D$10+$D$11-1,$D$29*$D$24,0)</f>
        <v>0</v>
      </c>
      <c r="AD81" s="48" t="n">
        <f aca="false">IF(AD$4=$D$10+$D$11-1,$D$29*$D$24,0)</f>
        <v>0</v>
      </c>
      <c r="AE81" s="48" t="n">
        <f aca="false">IF(AE$4=$D$10+$D$11-1,$D$29*$D$24,0)</f>
        <v>0</v>
      </c>
      <c r="AF81" s="48" t="n">
        <f aca="false">IF(AF$4=$D$10+$D$11-1,$D$29*$D$24,0)</f>
        <v>0</v>
      </c>
      <c r="AG81" s="48" t="n">
        <f aca="false">IF(AG$4=$D$10+$D$11-1,$D$29*$D$24,0)</f>
        <v>0</v>
      </c>
      <c r="AH81" s="48" t="n">
        <f aca="false">IF(AH$4=$D$10+$D$11-1,$D$29*$D$24,0)</f>
        <v>0</v>
      </c>
      <c r="AI81" s="48" t="n">
        <f aca="false">IF(AI$4=$D$10+$D$11-1,$D$29*$D$24,0)</f>
        <v>0</v>
      </c>
      <c r="AJ81" s="48" t="n">
        <f aca="false">IF(AJ$4=$D$10+$D$11-1,$D$29*$D$24,0)</f>
        <v>0</v>
      </c>
      <c r="AK81" s="48" t="n">
        <f aca="false">IF(AK$4=$D$10+$D$11-1,$D$29*$D$24,0)</f>
        <v>0</v>
      </c>
      <c r="AL81" s="48" t="n">
        <f aca="false">IF(AL$4=$D$10+$D$11-1,$D$29*$D$24,0)</f>
        <v>0</v>
      </c>
      <c r="AM81" s="48" t="n">
        <f aca="false">IF(AM$4=$D$10+$D$11-1,$D$29*$D$24,0)</f>
        <v>0</v>
      </c>
      <c r="AN81" s="48" t="n">
        <f aca="false">IF(AN$4=$D$10+$D$11-1,$D$29*$D$24,0)</f>
        <v>93</v>
      </c>
      <c r="AO81" s="48" t="n">
        <f aca="false">IF(AO$4=$D$10+$D$11-1,$D$29*$D$24,0)</f>
        <v>0</v>
      </c>
      <c r="AP81" s="48" t="n">
        <f aca="false">IF(AP$4=$D$10+$D$11-1,$D$29*$D$24,0)</f>
        <v>0</v>
      </c>
      <c r="AQ81" s="48" t="n">
        <f aca="false">IF(AQ$4=$D$10+$D$11-1,$D$29*$D$24,0)</f>
        <v>0</v>
      </c>
      <c r="AR81" s="48" t="n">
        <f aca="false">IF(AR$4=$D$10+$D$11-1,$D$29*$D$24,0)</f>
        <v>0</v>
      </c>
      <c r="AS81" s="48" t="n">
        <f aca="false">IF(AS$4=$D$10+$D$11-1,$D$29*$D$24,0)</f>
        <v>0</v>
      </c>
      <c r="AT81" s="48" t="n">
        <f aca="false">IF(AT$4=$D$10+$D$11-1,$D$29*$D$24,0)</f>
        <v>0</v>
      </c>
      <c r="AU81" s="48" t="n">
        <f aca="false">IF(AU$4=$D$10+$D$11-1,$D$29*$D$24,0)</f>
        <v>0</v>
      </c>
      <c r="AV81" s="48" t="n">
        <f aca="false">IF(AV$4=$D$10+$D$11-1,$D$29*$D$24,0)</f>
        <v>0</v>
      </c>
      <c r="AW81" s="48" t="n">
        <f aca="false">IF(AW$4=$D$10+$D$11-1,$D$29*$D$24,0)</f>
        <v>0</v>
      </c>
      <c r="AX81" s="48" t="n">
        <f aca="false">IF(AX$4=$D$10+$D$11-1,$D$29*$D$24,0)</f>
        <v>0</v>
      </c>
      <c r="AY81" s="48" t="n">
        <f aca="false">IF(AY$4=$D$10+$D$11-1,$D$29*$D$24,0)</f>
        <v>0</v>
      </c>
      <c r="AZ81" s="48" t="n">
        <f aca="false">IF(AZ$4=$D$10+$D$11-1,$D$29*$D$24,0)</f>
        <v>0</v>
      </c>
      <c r="BA81" s="48" t="n">
        <f aca="false">IF(BA$4=$D$10+$D$11-1,$D$29*$D$24,0)</f>
        <v>0</v>
      </c>
      <c r="BB81" s="48" t="n">
        <f aca="false">IF(BB$4=$D$10+$D$11-1,$D$29*$D$24,0)</f>
        <v>0</v>
      </c>
      <c r="BC81" s="48" t="n">
        <f aca="false">IF(BC$4=$D$10+$D$11-1,$D$29*$D$24,0)</f>
        <v>0</v>
      </c>
      <c r="BD81" s="48" t="n">
        <f aca="false">IF(BD$4=$D$10+$D$11-1,$D$29*$D$24,0)</f>
        <v>0</v>
      </c>
      <c r="BE81" s="48" t="n">
        <f aca="false">IF(BE$4=$D$10+$D$11-1,$D$29*$D$24,0)</f>
        <v>0</v>
      </c>
      <c r="BF81" s="48" t="n">
        <f aca="false">IF(BF$4=$D$10+$D$11-1,$D$29*$D$24,0)</f>
        <v>0</v>
      </c>
      <c r="BG81" s="48" t="n">
        <f aca="false">IF(BG$4=$D$10+$D$11-1,$D$29*$D$24,0)</f>
        <v>0</v>
      </c>
      <c r="BH81" s="48" t="n">
        <f aca="false">IF(BH$4=$D$10+$D$11-1,$D$29*$D$24,0)</f>
        <v>0</v>
      </c>
      <c r="BI81" s="48" t="n">
        <f aca="false">IF(BI$4=$D$10+$D$11-1,$D$29*$D$24,0)</f>
        <v>0</v>
      </c>
      <c r="BJ81" s="48" t="n">
        <f aca="false">IF(BJ$4=$D$10+$D$11-1,$D$29*$D$24,0)</f>
        <v>0</v>
      </c>
      <c r="BK81" s="48" t="n">
        <f aca="false">IF(BK$4=$D$10+$D$11-1,$D$29*$D$24,0)</f>
        <v>0</v>
      </c>
      <c r="BL81" s="48" t="n">
        <f aca="false">IF(BL$4=$D$10+$D$11-1,$D$29*$D$24,0)</f>
        <v>0</v>
      </c>
      <c r="BM81" s="48" t="n">
        <f aca="false">IF(BM$4=$D$10+$D$11-1,$D$29*$D$24,0)</f>
        <v>0</v>
      </c>
      <c r="BN81" s="48" t="n">
        <f aca="false">IF(BN$4=$D$10+$D$11-1,$D$29*$D$24,0)</f>
        <v>0</v>
      </c>
      <c r="BO81" s="48" t="n">
        <f aca="false">IF(BO$4=$D$10+$D$11-1,$D$29*$D$24,0)</f>
        <v>0</v>
      </c>
      <c r="BP81" s="48" t="n">
        <f aca="false">IF(BP$4=$D$10+$D$11-1,$D$29*$D$24,0)</f>
        <v>0</v>
      </c>
      <c r="BQ81" s="48" t="n">
        <f aca="false">IF(BQ$4=$D$10+$D$11-1,$D$29*$D$24,0)</f>
        <v>0</v>
      </c>
      <c r="BR81" s="48" t="n">
        <f aca="false">IF(BR$4=$D$10+$D$11-1,$D$29*$D$24,0)</f>
        <v>0</v>
      </c>
      <c r="BS81" s="48" t="n">
        <f aca="false">IF(BS$4=$D$10+$D$11-1,$D$29*$D$24,0)</f>
        <v>0</v>
      </c>
      <c r="BT81" s="48" t="n">
        <f aca="false">IF(BT$4=$D$10+$D$11-1,$D$29*$D$24,0)</f>
        <v>0</v>
      </c>
      <c r="BU81" s="48" t="n">
        <f aca="false">IF(BU$4=$D$10+$D$11-1,$D$29*$D$24,0)</f>
        <v>0</v>
      </c>
      <c r="BV81" s="48" t="n">
        <f aca="false">IF(BV$4=$D$10+$D$11-1,$D$29*$D$24,0)</f>
        <v>0</v>
      </c>
      <c r="BW81" s="48" t="n">
        <f aca="false">IF(BW$4=$D$10+$D$11-1,$D$29*$D$24,0)</f>
        <v>0</v>
      </c>
      <c r="BX81" s="48" t="n">
        <f aca="false">IF(BX$4=$D$10+$D$11-1,$D$29*$D$24,0)</f>
        <v>0</v>
      </c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</row>
    <row r="83" customFormat="false" ht="15" hidden="false" customHeight="false" outlineLevel="0" collapsed="false">
      <c r="A83" s="1"/>
      <c r="B83" s="13" t="s">
        <v>347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</row>
    <row r="84" customFormat="false" ht="15" hidden="false" customHeight="false" outlineLevel="0" collapsed="false">
      <c r="A84" s="1"/>
      <c r="B84" s="8" t="s">
        <v>348</v>
      </c>
      <c r="C84" s="8" t="s">
        <v>126</v>
      </c>
      <c r="D84" s="44" t="n">
        <f aca="false">SUM(G84:BX84)</f>
        <v>221.0625</v>
      </c>
      <c r="E84" s="1"/>
      <c r="F84" s="1"/>
      <c r="G84" s="48" t="n">
        <f aca="false">IF(AND(G38=1,G39&lt;=ROUNDUP(1/Input!$H$142,0)),MIN($D$48*Input!$H$101*Input!$H$142,MAX($D$48*Input!$H$101-$D$48*Input!$H$101*Input!$H$142*(G39-1),0)),0)</f>
        <v>0</v>
      </c>
      <c r="H84" s="48" t="n">
        <f aca="false">IF(AND(H38=1,H39&lt;=ROUNDUP(1/Input!$H$142,0)),MIN($D$48*Input!$H$101*Input!$H$142,MAX($D$48*Input!$H$101-$D$48*Input!$H$101*Input!$H$142*(H39-1),0)),0)</f>
        <v>0</v>
      </c>
      <c r="I84" s="48" t="n">
        <f aca="false">IF(AND(I38=1,I39&lt;=ROUNDUP(1/Input!$H$142,0)),MIN($D$48*Input!$H$101*Input!$H$142,MAX($D$48*Input!$H$101-$D$48*Input!$H$101*Input!$H$142*(I39-1),0)),0)</f>
        <v>0</v>
      </c>
      <c r="J84" s="48" t="n">
        <f aca="false">IF(AND(J38=1,J39&lt;=ROUNDUP(1/Input!$H$142,0)),MIN($D$48*Input!$H$101*Input!$H$142,MAX($D$48*Input!$H$101-$D$48*Input!$H$101*Input!$H$142*(J39-1),0)),0)</f>
        <v>0</v>
      </c>
      <c r="K84" s="48" t="n">
        <f aca="false">IF(AND(K38=1,K39&lt;=ROUNDUP(1/Input!$H$142,0)),MIN($D$48*Input!$H$101*Input!$H$142,MAX($D$48*Input!$H$101-$D$48*Input!$H$101*Input!$H$142*(K39-1),0)),0)</f>
        <v>7.36875</v>
      </c>
      <c r="L84" s="48" t="n">
        <f aca="false">IF(AND(L38=1,L39&lt;=ROUNDUP(1/Input!$H$142,0)),MIN($D$48*Input!$H$101*Input!$H$142,MAX($D$48*Input!$H$101-$D$48*Input!$H$101*Input!$H$142*(L39-1),0)),0)</f>
        <v>7.36875</v>
      </c>
      <c r="M84" s="48" t="n">
        <f aca="false">IF(AND(M38=1,M39&lt;=ROUNDUP(1/Input!$H$142,0)),MIN($D$48*Input!$H$101*Input!$H$142,MAX($D$48*Input!$H$101-$D$48*Input!$H$101*Input!$H$142*(M39-1),0)),0)</f>
        <v>7.36875</v>
      </c>
      <c r="N84" s="48" t="n">
        <f aca="false">IF(AND(N38=1,N39&lt;=ROUNDUP(1/Input!$H$142,0)),MIN($D$48*Input!$H$101*Input!$H$142,MAX($D$48*Input!$H$101-$D$48*Input!$H$101*Input!$H$142*(N39-1),0)),0)</f>
        <v>7.36875</v>
      </c>
      <c r="O84" s="48" t="n">
        <f aca="false">IF(AND(O38=1,O39&lt;=ROUNDUP(1/Input!$H$142,0)),MIN($D$48*Input!$H$101*Input!$H$142,MAX($D$48*Input!$H$101-$D$48*Input!$H$101*Input!$H$142*(O39-1),0)),0)</f>
        <v>7.36875</v>
      </c>
      <c r="P84" s="48" t="n">
        <f aca="false">IF(AND(P38=1,P39&lt;=ROUNDUP(1/Input!$H$142,0)),MIN($D$48*Input!$H$101*Input!$H$142,MAX($D$48*Input!$H$101-$D$48*Input!$H$101*Input!$H$142*(P39-1),0)),0)</f>
        <v>7.36875</v>
      </c>
      <c r="Q84" s="48" t="n">
        <f aca="false">IF(AND(Q38=1,Q39&lt;=ROUNDUP(1/Input!$H$142,0)),MIN($D$48*Input!$H$101*Input!$H$142,MAX($D$48*Input!$H$101-$D$48*Input!$H$101*Input!$H$142*(Q39-1),0)),0)</f>
        <v>7.36875</v>
      </c>
      <c r="R84" s="48" t="n">
        <f aca="false">IF(AND(R38=1,R39&lt;=ROUNDUP(1/Input!$H$142,0)),MIN($D$48*Input!$H$101*Input!$H$142,MAX($D$48*Input!$H$101-$D$48*Input!$H$101*Input!$H$142*(R39-1),0)),0)</f>
        <v>7.36875</v>
      </c>
      <c r="S84" s="48" t="n">
        <f aca="false">IF(AND(S38=1,S39&lt;=ROUNDUP(1/Input!$H$142,0)),MIN($D$48*Input!$H$101*Input!$H$142,MAX($D$48*Input!$H$101-$D$48*Input!$H$101*Input!$H$142*(S39-1),0)),0)</f>
        <v>7.36875</v>
      </c>
      <c r="T84" s="48" t="n">
        <f aca="false">IF(AND(T38=1,T39&lt;=ROUNDUP(1/Input!$H$142,0)),MIN($D$48*Input!$H$101*Input!$H$142,MAX($D$48*Input!$H$101-$D$48*Input!$H$101*Input!$H$142*(T39-1),0)),0)</f>
        <v>7.36875</v>
      </c>
      <c r="U84" s="48" t="n">
        <f aca="false">IF(AND(U38=1,U39&lt;=ROUNDUP(1/Input!$H$142,0)),MIN($D$48*Input!$H$101*Input!$H$142,MAX($D$48*Input!$H$101-$D$48*Input!$H$101*Input!$H$142*(U39-1),0)),0)</f>
        <v>7.36875</v>
      </c>
      <c r="V84" s="48" t="n">
        <f aca="false">IF(AND(V38=1,V39&lt;=ROUNDUP(1/Input!$H$142,0)),MIN($D$48*Input!$H$101*Input!$H$142,MAX($D$48*Input!$H$101-$D$48*Input!$H$101*Input!$H$142*(V39-1),0)),0)</f>
        <v>7.36875</v>
      </c>
      <c r="W84" s="48" t="n">
        <f aca="false">IF(AND(W38=1,W39&lt;=ROUNDUP(1/Input!$H$142,0)),MIN($D$48*Input!$H$101*Input!$H$142,MAX($D$48*Input!$H$101-$D$48*Input!$H$101*Input!$H$142*(W39-1),0)),0)</f>
        <v>7.36875</v>
      </c>
      <c r="X84" s="48" t="n">
        <f aca="false">IF(AND(X38=1,X39&lt;=ROUNDUP(1/Input!$H$142,0)),MIN($D$48*Input!$H$101*Input!$H$142,MAX($D$48*Input!$H$101-$D$48*Input!$H$101*Input!$H$142*(X39-1),0)),0)</f>
        <v>7.36875</v>
      </c>
      <c r="Y84" s="48" t="n">
        <f aca="false">IF(AND(Y38=1,Y39&lt;=ROUNDUP(1/Input!$H$142,0)),MIN($D$48*Input!$H$101*Input!$H$142,MAX($D$48*Input!$H$101-$D$48*Input!$H$101*Input!$H$142*(Y39-1),0)),0)</f>
        <v>7.36875</v>
      </c>
      <c r="Z84" s="48" t="n">
        <f aca="false">IF(AND(Z38=1,Z39&lt;=ROUNDUP(1/Input!$H$142,0)),MIN($D$48*Input!$H$101*Input!$H$142,MAX($D$48*Input!$H$101-$D$48*Input!$H$101*Input!$H$142*(Z39-1),0)),0)</f>
        <v>7.36875</v>
      </c>
      <c r="AA84" s="48" t="n">
        <f aca="false">IF(AND(AA38=1,AA39&lt;=ROUNDUP(1/Input!$H$142,0)),MIN($D$48*Input!$H$101*Input!$H$142,MAX($D$48*Input!$H$101-$D$48*Input!$H$101*Input!$H$142*(AA39-1),0)),0)</f>
        <v>7.36875</v>
      </c>
      <c r="AB84" s="48" t="n">
        <f aca="false">IF(AND(AB38=1,AB39&lt;=ROUNDUP(1/Input!$H$142,0)),MIN($D$48*Input!$H$101*Input!$H$142,MAX($D$48*Input!$H$101-$D$48*Input!$H$101*Input!$H$142*(AB39-1),0)),0)</f>
        <v>7.36875</v>
      </c>
      <c r="AC84" s="48" t="n">
        <f aca="false">IF(AND(AC38=1,AC39&lt;=ROUNDUP(1/Input!$H$142,0)),MIN($D$48*Input!$H$101*Input!$H$142,MAX($D$48*Input!$H$101-$D$48*Input!$H$101*Input!$H$142*(AC39-1),0)),0)</f>
        <v>7.36875</v>
      </c>
      <c r="AD84" s="48" t="n">
        <f aca="false">IF(AND(AD38=1,AD39&lt;=ROUNDUP(1/Input!$H$142,0)),MIN($D$48*Input!$H$101*Input!$H$142,MAX($D$48*Input!$H$101-$D$48*Input!$H$101*Input!$H$142*(AD39-1),0)),0)</f>
        <v>7.36875</v>
      </c>
      <c r="AE84" s="48" t="n">
        <f aca="false">IF(AND(AE38=1,AE39&lt;=ROUNDUP(1/Input!$H$142,0)),MIN($D$48*Input!$H$101*Input!$H$142,MAX($D$48*Input!$H$101-$D$48*Input!$H$101*Input!$H$142*(AE39-1),0)),0)</f>
        <v>7.36875</v>
      </c>
      <c r="AF84" s="48" t="n">
        <f aca="false">IF(AND(AF38=1,AF39&lt;=ROUNDUP(1/Input!$H$142,0)),MIN($D$48*Input!$H$101*Input!$H$142,MAX($D$48*Input!$H$101-$D$48*Input!$H$101*Input!$H$142*(AF39-1),0)),0)</f>
        <v>7.36875</v>
      </c>
      <c r="AG84" s="48" t="n">
        <f aca="false">IF(AND(AG38=1,AG39&lt;=ROUNDUP(1/Input!$H$142,0)),MIN($D$48*Input!$H$101*Input!$H$142,MAX($D$48*Input!$H$101-$D$48*Input!$H$101*Input!$H$142*(AG39-1),0)),0)</f>
        <v>7.36875</v>
      </c>
      <c r="AH84" s="48" t="n">
        <f aca="false">IF(AND(AH38=1,AH39&lt;=ROUNDUP(1/Input!$H$142,0)),MIN($D$48*Input!$H$101*Input!$H$142,MAX($D$48*Input!$H$101-$D$48*Input!$H$101*Input!$H$142*(AH39-1),0)),0)</f>
        <v>7.36875</v>
      </c>
      <c r="AI84" s="48" t="n">
        <f aca="false">IF(AND(AI38=1,AI39&lt;=ROUNDUP(1/Input!$H$142,0)),MIN($D$48*Input!$H$101*Input!$H$142,MAX($D$48*Input!$H$101-$D$48*Input!$H$101*Input!$H$142*(AI39-1),0)),0)</f>
        <v>7.36875</v>
      </c>
      <c r="AJ84" s="48" t="n">
        <f aca="false">IF(AND(AJ38=1,AJ39&lt;=ROUNDUP(1/Input!$H$142,0)),MIN($D$48*Input!$H$101*Input!$H$142,MAX($D$48*Input!$H$101-$D$48*Input!$H$101*Input!$H$142*(AJ39-1),0)),0)</f>
        <v>7.36875</v>
      </c>
      <c r="AK84" s="48" t="n">
        <f aca="false">IF(AND(AK38=1,AK39&lt;=ROUNDUP(1/Input!$H$142,0)),MIN($D$48*Input!$H$101*Input!$H$142,MAX($D$48*Input!$H$101-$D$48*Input!$H$101*Input!$H$142*(AK39-1),0)),0)</f>
        <v>7.36875</v>
      </c>
      <c r="AL84" s="48" t="n">
        <f aca="false">IF(AND(AL38=1,AL39&lt;=ROUNDUP(1/Input!$H$142,0)),MIN($D$48*Input!$H$101*Input!$H$142,MAX($D$48*Input!$H$101-$D$48*Input!$H$101*Input!$H$142*(AL39-1),0)),0)</f>
        <v>7.36875</v>
      </c>
      <c r="AM84" s="48" t="n">
        <f aca="false">IF(AND(AM38=1,AM39&lt;=ROUNDUP(1/Input!$H$142,0)),MIN($D$48*Input!$H$101*Input!$H$142,MAX($D$48*Input!$H$101-$D$48*Input!$H$101*Input!$H$142*(AM39-1),0)),0)</f>
        <v>7.36875</v>
      </c>
      <c r="AN84" s="48" t="n">
        <f aca="false">IF(AND(AN38=1,AN39&lt;=ROUNDUP(1/Input!$H$142,0)),MIN($D$48*Input!$H$101*Input!$H$142,MAX($D$48*Input!$H$101-$D$48*Input!$H$101*Input!$H$142*(AN39-1),0)),0)</f>
        <v>7.36875</v>
      </c>
      <c r="AO84" s="48" t="n">
        <f aca="false">IF(AND(AO38=1,AO39&lt;=ROUNDUP(1/Input!$H$142,0)),MIN($D$48*Input!$H$101*Input!$H$142,MAX($D$48*Input!$H$101-$D$48*Input!$H$101*Input!$H$142*(AO39-1),0)),0)</f>
        <v>0</v>
      </c>
      <c r="AP84" s="48" t="n">
        <f aca="false">IF(AND(AP38=1,AP39&lt;=ROUNDUP(1/Input!$H$142,0)),MIN($D$48*Input!$H$101*Input!$H$142,MAX($D$48*Input!$H$101-$D$48*Input!$H$101*Input!$H$142*(AP39-1),0)),0)</f>
        <v>0</v>
      </c>
      <c r="AQ84" s="48" t="n">
        <f aca="false">IF(AND(AQ38=1,AQ39&lt;=ROUNDUP(1/Input!$H$142,0)),MIN($D$48*Input!$H$101*Input!$H$142,MAX($D$48*Input!$H$101-$D$48*Input!$H$101*Input!$H$142*(AQ39-1),0)),0)</f>
        <v>0</v>
      </c>
      <c r="AR84" s="48" t="n">
        <f aca="false">IF(AND(AR38=1,AR39&lt;=ROUNDUP(1/Input!$H$142,0)),MIN($D$48*Input!$H$101*Input!$H$142,MAX($D$48*Input!$H$101-$D$48*Input!$H$101*Input!$H$142*(AR39-1),0)),0)</f>
        <v>0</v>
      </c>
      <c r="AS84" s="48" t="n">
        <f aca="false">IF(AND(AS38=1,AS39&lt;=ROUNDUP(1/Input!$H$142,0)),MIN($D$48*Input!$H$101*Input!$H$142,MAX($D$48*Input!$H$101-$D$48*Input!$H$101*Input!$H$142*(AS39-1),0)),0)</f>
        <v>0</v>
      </c>
      <c r="AT84" s="48" t="n">
        <f aca="false">IF(AND(AT38=1,AT39&lt;=ROUNDUP(1/Input!$H$142,0)),MIN($D$48*Input!$H$101*Input!$H$142,MAX($D$48*Input!$H$101-$D$48*Input!$H$101*Input!$H$142*(AT39-1),0)),0)</f>
        <v>0</v>
      </c>
      <c r="AU84" s="48" t="n">
        <f aca="false">IF(AND(AU38=1,AU39&lt;=ROUNDUP(1/Input!$H$142,0)),MIN($D$48*Input!$H$101*Input!$H$142,MAX($D$48*Input!$H$101-$D$48*Input!$H$101*Input!$H$142*(AU39-1),0)),0)</f>
        <v>0</v>
      </c>
      <c r="AV84" s="48" t="n">
        <f aca="false">IF(AND(AV38=1,AV39&lt;=ROUNDUP(1/Input!$H$142,0)),MIN($D$48*Input!$H$101*Input!$H$142,MAX($D$48*Input!$H$101-$D$48*Input!$H$101*Input!$H$142*(AV39-1),0)),0)</f>
        <v>0</v>
      </c>
      <c r="AW84" s="48" t="n">
        <f aca="false">IF(AND(AW38=1,AW39&lt;=ROUNDUP(1/Input!$H$142,0)),MIN($D$48*Input!$H$101*Input!$H$142,MAX($D$48*Input!$H$101-$D$48*Input!$H$101*Input!$H$142*(AW39-1),0)),0)</f>
        <v>0</v>
      </c>
      <c r="AX84" s="48" t="n">
        <f aca="false">IF(AND(AX38=1,AX39&lt;=ROUNDUP(1/Input!$H$142,0)),MIN($D$48*Input!$H$101*Input!$H$142,MAX($D$48*Input!$H$101-$D$48*Input!$H$101*Input!$H$142*(AX39-1),0)),0)</f>
        <v>0</v>
      </c>
      <c r="AY84" s="48" t="n">
        <f aca="false">IF(AND(AY38=1,AY39&lt;=ROUNDUP(1/Input!$H$142,0)),MIN($D$48*Input!$H$101*Input!$H$142,MAX($D$48*Input!$H$101-$D$48*Input!$H$101*Input!$H$142*(AY39-1),0)),0)</f>
        <v>0</v>
      </c>
      <c r="AZ84" s="48" t="n">
        <f aca="false">IF(AND(AZ38=1,AZ39&lt;=ROUNDUP(1/Input!$H$142,0)),MIN($D$48*Input!$H$101*Input!$H$142,MAX($D$48*Input!$H$101-$D$48*Input!$H$101*Input!$H$142*(AZ39-1),0)),0)</f>
        <v>0</v>
      </c>
      <c r="BA84" s="48" t="n">
        <f aca="false">IF(AND(BA38=1,BA39&lt;=ROUNDUP(1/Input!$H$142,0)),MIN($D$48*Input!$H$101*Input!$H$142,MAX($D$48*Input!$H$101-$D$48*Input!$H$101*Input!$H$142*(BA39-1),0)),0)</f>
        <v>0</v>
      </c>
      <c r="BB84" s="48" t="n">
        <f aca="false">IF(AND(BB38=1,BB39&lt;=ROUNDUP(1/Input!$H$142,0)),MIN($D$48*Input!$H$101*Input!$H$142,MAX($D$48*Input!$H$101-$D$48*Input!$H$101*Input!$H$142*(BB39-1),0)),0)</f>
        <v>0</v>
      </c>
      <c r="BC84" s="48" t="n">
        <f aca="false">IF(AND(BC38=1,BC39&lt;=ROUNDUP(1/Input!$H$142,0)),MIN($D$48*Input!$H$101*Input!$H$142,MAX($D$48*Input!$H$101-$D$48*Input!$H$101*Input!$H$142*(BC39-1),0)),0)</f>
        <v>0</v>
      </c>
      <c r="BD84" s="48" t="n">
        <f aca="false">IF(AND(BD38=1,BD39&lt;=ROUNDUP(1/Input!$H$142,0)),MIN($D$48*Input!$H$101*Input!$H$142,MAX($D$48*Input!$H$101-$D$48*Input!$H$101*Input!$H$142*(BD39-1),0)),0)</f>
        <v>0</v>
      </c>
      <c r="BE84" s="48" t="n">
        <f aca="false">IF(AND(BE38=1,BE39&lt;=ROUNDUP(1/Input!$H$142,0)),MIN($D$48*Input!$H$101*Input!$H$142,MAX($D$48*Input!$H$101-$D$48*Input!$H$101*Input!$H$142*(BE39-1),0)),0)</f>
        <v>0</v>
      </c>
      <c r="BF84" s="48" t="n">
        <f aca="false">IF(AND(BF38=1,BF39&lt;=ROUNDUP(1/Input!$H$142,0)),MIN($D$48*Input!$H$101*Input!$H$142,MAX($D$48*Input!$H$101-$D$48*Input!$H$101*Input!$H$142*(BF39-1),0)),0)</f>
        <v>0</v>
      </c>
      <c r="BG84" s="48" t="n">
        <f aca="false">IF(AND(BG38=1,BG39&lt;=ROUNDUP(1/Input!$H$142,0)),MIN($D$48*Input!$H$101*Input!$H$142,MAX($D$48*Input!$H$101-$D$48*Input!$H$101*Input!$H$142*(BG39-1),0)),0)</f>
        <v>0</v>
      </c>
      <c r="BH84" s="48" t="n">
        <f aca="false">IF(AND(BH38=1,BH39&lt;=ROUNDUP(1/Input!$H$142,0)),MIN($D$48*Input!$H$101*Input!$H$142,MAX($D$48*Input!$H$101-$D$48*Input!$H$101*Input!$H$142*(BH39-1),0)),0)</f>
        <v>0</v>
      </c>
      <c r="BI84" s="48" t="n">
        <f aca="false">IF(AND(BI38=1,BI39&lt;=ROUNDUP(1/Input!$H$142,0)),MIN($D$48*Input!$H$101*Input!$H$142,MAX($D$48*Input!$H$101-$D$48*Input!$H$101*Input!$H$142*(BI39-1),0)),0)</f>
        <v>0</v>
      </c>
      <c r="BJ84" s="48" t="n">
        <f aca="false">IF(AND(BJ38=1,BJ39&lt;=ROUNDUP(1/Input!$H$142,0)),MIN($D$48*Input!$H$101*Input!$H$142,MAX($D$48*Input!$H$101-$D$48*Input!$H$101*Input!$H$142*(BJ39-1),0)),0)</f>
        <v>0</v>
      </c>
      <c r="BK84" s="48" t="n">
        <f aca="false">IF(AND(BK38=1,BK39&lt;=ROUNDUP(1/Input!$H$142,0)),MIN($D$48*Input!$H$101*Input!$H$142,MAX($D$48*Input!$H$101-$D$48*Input!$H$101*Input!$H$142*(BK39-1),0)),0)</f>
        <v>0</v>
      </c>
      <c r="BL84" s="48" t="n">
        <f aca="false">IF(AND(BL38=1,BL39&lt;=ROUNDUP(1/Input!$H$142,0)),MIN($D$48*Input!$H$101*Input!$H$142,MAX($D$48*Input!$H$101-$D$48*Input!$H$101*Input!$H$142*(BL39-1),0)),0)</f>
        <v>0</v>
      </c>
      <c r="BM84" s="48" t="n">
        <f aca="false">IF(AND(BM38=1,BM39&lt;=ROUNDUP(1/Input!$H$142,0)),MIN($D$48*Input!$H$101*Input!$H$142,MAX($D$48*Input!$H$101-$D$48*Input!$H$101*Input!$H$142*(BM39-1),0)),0)</f>
        <v>0</v>
      </c>
      <c r="BN84" s="48" t="n">
        <f aca="false">IF(AND(BN38=1,BN39&lt;=ROUNDUP(1/Input!$H$142,0)),MIN($D$48*Input!$H$101*Input!$H$142,MAX($D$48*Input!$H$101-$D$48*Input!$H$101*Input!$H$142*(BN39-1),0)),0)</f>
        <v>0</v>
      </c>
      <c r="BO84" s="48" t="n">
        <f aca="false">IF(AND(BO38=1,BO39&lt;=ROUNDUP(1/Input!$H$142,0)),MIN($D$48*Input!$H$101*Input!$H$142,MAX($D$48*Input!$H$101-$D$48*Input!$H$101*Input!$H$142*(BO39-1),0)),0)</f>
        <v>0</v>
      </c>
      <c r="BP84" s="48" t="n">
        <f aca="false">IF(AND(BP38=1,BP39&lt;=ROUNDUP(1/Input!$H$142,0)),MIN($D$48*Input!$H$101*Input!$H$142,MAX($D$48*Input!$H$101-$D$48*Input!$H$101*Input!$H$142*(BP39-1),0)),0)</f>
        <v>0</v>
      </c>
      <c r="BQ84" s="48" t="n">
        <f aca="false">IF(AND(BQ38=1,BQ39&lt;=ROUNDUP(1/Input!$H$142,0)),MIN($D$48*Input!$H$101*Input!$H$142,MAX($D$48*Input!$H$101-$D$48*Input!$H$101*Input!$H$142*(BQ39-1),0)),0)</f>
        <v>0</v>
      </c>
      <c r="BR84" s="48" t="n">
        <f aca="false">IF(AND(BR38=1,BR39&lt;=ROUNDUP(1/Input!$H$142,0)),MIN($D$48*Input!$H$101*Input!$H$142,MAX($D$48*Input!$H$101-$D$48*Input!$H$101*Input!$H$142*(BR39-1),0)),0)</f>
        <v>0</v>
      </c>
      <c r="BS84" s="48" t="n">
        <f aca="false">IF(AND(BS38=1,BS39&lt;=ROUNDUP(1/Input!$H$142,0)),MIN($D$48*Input!$H$101*Input!$H$142,MAX($D$48*Input!$H$101-$D$48*Input!$H$101*Input!$H$142*(BS39-1),0)),0)</f>
        <v>0</v>
      </c>
      <c r="BT84" s="48" t="n">
        <f aca="false">IF(AND(BT38=1,BT39&lt;=ROUNDUP(1/Input!$H$142,0)),MIN($D$48*Input!$H$101*Input!$H$142,MAX($D$48*Input!$H$101-$D$48*Input!$H$101*Input!$H$142*(BT39-1),0)),0)</f>
        <v>0</v>
      </c>
      <c r="BU84" s="48" t="n">
        <f aca="false">IF(AND(BU38=1,BU39&lt;=ROUNDUP(1/Input!$H$142,0)),MIN($D$48*Input!$H$101*Input!$H$142,MAX($D$48*Input!$H$101-$D$48*Input!$H$101*Input!$H$142*(BU39-1),0)),0)</f>
        <v>0</v>
      </c>
      <c r="BV84" s="48" t="n">
        <f aca="false">IF(AND(BV38=1,BV39&lt;=ROUNDUP(1/Input!$H$142,0)),MIN($D$48*Input!$H$101*Input!$H$142,MAX($D$48*Input!$H$101-$D$48*Input!$H$101*Input!$H$142*(BV39-1),0)),0)</f>
        <v>0</v>
      </c>
      <c r="BW84" s="48" t="n">
        <f aca="false">IF(AND(BW38=1,BW39&lt;=ROUNDUP(1/Input!$H$142,0)),MIN($D$48*Input!$H$101*Input!$H$142,MAX($D$48*Input!$H$101-$D$48*Input!$H$101*Input!$H$142*(BW39-1),0)),0)</f>
        <v>0</v>
      </c>
      <c r="BX84" s="48" t="n">
        <f aca="false">IF(AND(BX38=1,BX39&lt;=ROUNDUP(1/Input!$H$142,0)),MIN($D$48*Input!$H$101*Input!$H$142,MAX($D$48*Input!$H$101-$D$48*Input!$H$101*Input!$H$142*(BX39-1),0)),0)</f>
        <v>0</v>
      </c>
    </row>
    <row r="85" customFormat="false" ht="15" hidden="false" customHeight="false" outlineLevel="0" collapsed="false">
      <c r="A85" s="1"/>
      <c r="B85" s="8" t="s">
        <v>349</v>
      </c>
      <c r="C85" s="8" t="s">
        <v>126</v>
      </c>
      <c r="D85" s="44" t="n">
        <f aca="false">SUM(G85:BX85)</f>
        <v>196.5</v>
      </c>
      <c r="E85" s="1"/>
      <c r="F85" s="1"/>
      <c r="G85" s="48" t="n">
        <f aca="false">IF(AND(G38=1,G39&lt;=ROUNDUP(1/Input!$H$143,0)),MIN($D$48*Input!$H$102*Input!$H$143,MAX($D$48*Input!$H$102-$D$48*Input!$H$102*Input!$H$143*(G39-1),0)),0)</f>
        <v>0</v>
      </c>
      <c r="H85" s="48" t="n">
        <f aca="false">IF(AND(H38=1,H39&lt;=ROUNDUP(1/Input!$H$143,0)),MIN($D$48*Input!$H$102*Input!$H$143,MAX($D$48*Input!$H$102-$D$48*Input!$H$102*Input!$H$143*(H39-1),0)),0)</f>
        <v>0</v>
      </c>
      <c r="I85" s="48" t="n">
        <f aca="false">IF(AND(I38=1,I39&lt;=ROUNDUP(1/Input!$H$143,0)),MIN($D$48*Input!$H$102*Input!$H$143,MAX($D$48*Input!$H$102-$D$48*Input!$H$102*Input!$H$143*(I39-1),0)),0)</f>
        <v>0</v>
      </c>
      <c r="J85" s="48" t="n">
        <f aca="false">IF(AND(J38=1,J39&lt;=ROUNDUP(1/Input!$H$143,0)),MIN($D$48*Input!$H$102*Input!$H$143,MAX($D$48*Input!$H$102-$D$48*Input!$H$102*Input!$H$143*(J39-1),0)),0)</f>
        <v>0</v>
      </c>
      <c r="K85" s="48" t="n">
        <f aca="false">IF(AND(K38=1,K39&lt;=ROUNDUP(1/Input!$H$143,0)),MIN($D$48*Input!$H$102*Input!$H$143,MAX($D$48*Input!$H$102-$D$48*Input!$H$102*Input!$H$143*(K39-1),0)),0)</f>
        <v>8.8425</v>
      </c>
      <c r="L85" s="48" t="n">
        <f aca="false">IF(AND(L38=1,L39&lt;=ROUNDUP(1/Input!$H$143,0)),MIN($D$48*Input!$H$102*Input!$H$143,MAX($D$48*Input!$H$102-$D$48*Input!$H$102*Input!$H$143*(L39-1),0)),0)</f>
        <v>8.8425</v>
      </c>
      <c r="M85" s="48" t="n">
        <f aca="false">IF(AND(M38=1,M39&lt;=ROUNDUP(1/Input!$H$143,0)),MIN($D$48*Input!$H$102*Input!$H$143,MAX($D$48*Input!$H$102-$D$48*Input!$H$102*Input!$H$143*(M39-1),0)),0)</f>
        <v>8.8425</v>
      </c>
      <c r="N85" s="48" t="n">
        <f aca="false">IF(AND(N38=1,N39&lt;=ROUNDUP(1/Input!$H$143,0)),MIN($D$48*Input!$H$102*Input!$H$143,MAX($D$48*Input!$H$102-$D$48*Input!$H$102*Input!$H$143*(N39-1),0)),0)</f>
        <v>8.8425</v>
      </c>
      <c r="O85" s="48" t="n">
        <f aca="false">IF(AND(O38=1,O39&lt;=ROUNDUP(1/Input!$H$143,0)),MIN($D$48*Input!$H$102*Input!$H$143,MAX($D$48*Input!$H$102-$D$48*Input!$H$102*Input!$H$143*(O39-1),0)),0)</f>
        <v>8.8425</v>
      </c>
      <c r="P85" s="48" t="n">
        <f aca="false">IF(AND(P38=1,P39&lt;=ROUNDUP(1/Input!$H$143,0)),MIN($D$48*Input!$H$102*Input!$H$143,MAX($D$48*Input!$H$102-$D$48*Input!$H$102*Input!$H$143*(P39-1),0)),0)</f>
        <v>8.8425</v>
      </c>
      <c r="Q85" s="48" t="n">
        <f aca="false">IF(AND(Q38=1,Q39&lt;=ROUNDUP(1/Input!$H$143,0)),MIN($D$48*Input!$H$102*Input!$H$143,MAX($D$48*Input!$H$102-$D$48*Input!$H$102*Input!$H$143*(Q39-1),0)),0)</f>
        <v>8.8425</v>
      </c>
      <c r="R85" s="48" t="n">
        <f aca="false">IF(AND(R38=1,R39&lt;=ROUNDUP(1/Input!$H$143,0)),MIN($D$48*Input!$H$102*Input!$H$143,MAX($D$48*Input!$H$102-$D$48*Input!$H$102*Input!$H$143*(R39-1),0)),0)</f>
        <v>8.8425</v>
      </c>
      <c r="S85" s="48" t="n">
        <f aca="false">IF(AND(S38=1,S39&lt;=ROUNDUP(1/Input!$H$143,0)),MIN($D$48*Input!$H$102*Input!$H$143,MAX($D$48*Input!$H$102-$D$48*Input!$H$102*Input!$H$143*(S39-1),0)),0)</f>
        <v>8.8425</v>
      </c>
      <c r="T85" s="48" t="n">
        <f aca="false">IF(AND(T38=1,T39&lt;=ROUNDUP(1/Input!$H$143,0)),MIN($D$48*Input!$H$102*Input!$H$143,MAX($D$48*Input!$H$102-$D$48*Input!$H$102*Input!$H$143*(T39-1),0)),0)</f>
        <v>8.8425</v>
      </c>
      <c r="U85" s="48" t="n">
        <f aca="false">IF(AND(U38=1,U39&lt;=ROUNDUP(1/Input!$H$143,0)),MIN($D$48*Input!$H$102*Input!$H$143,MAX($D$48*Input!$H$102-$D$48*Input!$H$102*Input!$H$143*(U39-1),0)),0)</f>
        <v>8.8425</v>
      </c>
      <c r="V85" s="48" t="n">
        <f aca="false">IF(AND(V38=1,V39&lt;=ROUNDUP(1/Input!$H$143,0)),MIN($D$48*Input!$H$102*Input!$H$143,MAX($D$48*Input!$H$102-$D$48*Input!$H$102*Input!$H$143*(V39-1),0)),0)</f>
        <v>8.8425</v>
      </c>
      <c r="W85" s="48" t="n">
        <f aca="false">IF(AND(W38=1,W39&lt;=ROUNDUP(1/Input!$H$143,0)),MIN($D$48*Input!$H$102*Input!$H$143,MAX($D$48*Input!$H$102-$D$48*Input!$H$102*Input!$H$143*(W39-1),0)),0)</f>
        <v>8.8425</v>
      </c>
      <c r="X85" s="48" t="n">
        <f aca="false">IF(AND(X38=1,X39&lt;=ROUNDUP(1/Input!$H$143,0)),MIN($D$48*Input!$H$102*Input!$H$143,MAX($D$48*Input!$H$102-$D$48*Input!$H$102*Input!$H$143*(X39-1),0)),0)</f>
        <v>8.8425</v>
      </c>
      <c r="Y85" s="48" t="n">
        <f aca="false">IF(AND(Y38=1,Y39&lt;=ROUNDUP(1/Input!$H$143,0)),MIN($D$48*Input!$H$102*Input!$H$143,MAX($D$48*Input!$H$102-$D$48*Input!$H$102*Input!$H$143*(Y39-1),0)),0)</f>
        <v>8.8425</v>
      </c>
      <c r="Z85" s="48" t="n">
        <f aca="false">IF(AND(Z38=1,Z39&lt;=ROUNDUP(1/Input!$H$143,0)),MIN($D$48*Input!$H$102*Input!$H$143,MAX($D$48*Input!$H$102-$D$48*Input!$H$102*Input!$H$143*(Z39-1),0)),0)</f>
        <v>8.8425</v>
      </c>
      <c r="AA85" s="48" t="n">
        <f aca="false">IF(AND(AA38=1,AA39&lt;=ROUNDUP(1/Input!$H$143,0)),MIN($D$48*Input!$H$102*Input!$H$143,MAX($D$48*Input!$H$102-$D$48*Input!$H$102*Input!$H$143*(AA39-1),0)),0)</f>
        <v>8.8425</v>
      </c>
      <c r="AB85" s="48" t="n">
        <f aca="false">IF(AND(AB38=1,AB39&lt;=ROUNDUP(1/Input!$H$143,0)),MIN($D$48*Input!$H$102*Input!$H$143,MAX($D$48*Input!$H$102-$D$48*Input!$H$102*Input!$H$143*(AB39-1),0)),0)</f>
        <v>8.8425</v>
      </c>
      <c r="AC85" s="48" t="n">
        <f aca="false">IF(AND(AC38=1,AC39&lt;=ROUNDUP(1/Input!$H$143,0)),MIN($D$48*Input!$H$102*Input!$H$143,MAX($D$48*Input!$H$102-$D$48*Input!$H$102*Input!$H$143*(AC39-1),0)),0)</f>
        <v>8.8425</v>
      </c>
      <c r="AD85" s="48" t="n">
        <f aca="false">IF(AND(AD38=1,AD39&lt;=ROUNDUP(1/Input!$H$143,0)),MIN($D$48*Input!$H$102*Input!$H$143,MAX($D$48*Input!$H$102-$D$48*Input!$H$102*Input!$H$143*(AD39-1),0)),0)</f>
        <v>8.8425</v>
      </c>
      <c r="AE85" s="48" t="n">
        <f aca="false">IF(AND(AE38=1,AE39&lt;=ROUNDUP(1/Input!$H$143,0)),MIN($D$48*Input!$H$102*Input!$H$143,MAX($D$48*Input!$H$102-$D$48*Input!$H$102*Input!$H$143*(AE39-1),0)),0)</f>
        <v>8.8425</v>
      </c>
      <c r="AF85" s="48" t="n">
        <f aca="false">IF(AND(AF38=1,AF39&lt;=ROUNDUP(1/Input!$H$143,0)),MIN($D$48*Input!$H$102*Input!$H$143,MAX($D$48*Input!$H$102-$D$48*Input!$H$102*Input!$H$143*(AF39-1),0)),0)</f>
        <v>8.8425</v>
      </c>
      <c r="AG85" s="48" t="n">
        <f aca="false">IF(AND(AG38=1,AG39&lt;=ROUNDUP(1/Input!$H$143,0)),MIN($D$48*Input!$H$102*Input!$H$143,MAX($D$48*Input!$H$102-$D$48*Input!$H$102*Input!$H$143*(AG39-1),0)),0)</f>
        <v>1.965</v>
      </c>
      <c r="AH85" s="48" t="n">
        <f aca="false">IF(AND(AH38=1,AH39&lt;=ROUNDUP(1/Input!$H$143,0)),MIN($D$48*Input!$H$102*Input!$H$143,MAX($D$48*Input!$H$102-$D$48*Input!$H$102*Input!$H$143*(AH39-1),0)),0)</f>
        <v>0</v>
      </c>
      <c r="AI85" s="48" t="n">
        <f aca="false">IF(AND(AI38=1,AI39&lt;=ROUNDUP(1/Input!$H$143,0)),MIN($D$48*Input!$H$102*Input!$H$143,MAX($D$48*Input!$H$102-$D$48*Input!$H$102*Input!$H$143*(AI39-1),0)),0)</f>
        <v>0</v>
      </c>
      <c r="AJ85" s="48" t="n">
        <f aca="false">IF(AND(AJ38=1,AJ39&lt;=ROUNDUP(1/Input!$H$143,0)),MIN($D$48*Input!$H$102*Input!$H$143,MAX($D$48*Input!$H$102-$D$48*Input!$H$102*Input!$H$143*(AJ39-1),0)),0)</f>
        <v>0</v>
      </c>
      <c r="AK85" s="48" t="n">
        <f aca="false">IF(AND(AK38=1,AK39&lt;=ROUNDUP(1/Input!$H$143,0)),MIN($D$48*Input!$H$102*Input!$H$143,MAX($D$48*Input!$H$102-$D$48*Input!$H$102*Input!$H$143*(AK39-1),0)),0)</f>
        <v>0</v>
      </c>
      <c r="AL85" s="48" t="n">
        <f aca="false">IF(AND(AL38=1,AL39&lt;=ROUNDUP(1/Input!$H$143,0)),MIN($D$48*Input!$H$102*Input!$H$143,MAX($D$48*Input!$H$102-$D$48*Input!$H$102*Input!$H$143*(AL39-1),0)),0)</f>
        <v>0</v>
      </c>
      <c r="AM85" s="48" t="n">
        <f aca="false">IF(AND(AM38=1,AM39&lt;=ROUNDUP(1/Input!$H$143,0)),MIN($D$48*Input!$H$102*Input!$H$143,MAX($D$48*Input!$H$102-$D$48*Input!$H$102*Input!$H$143*(AM39-1),0)),0)</f>
        <v>0</v>
      </c>
      <c r="AN85" s="48" t="n">
        <f aca="false">IF(AND(AN38=1,AN39&lt;=ROUNDUP(1/Input!$H$143,0)),MIN($D$48*Input!$H$102*Input!$H$143,MAX($D$48*Input!$H$102-$D$48*Input!$H$102*Input!$H$143*(AN39-1),0)),0)</f>
        <v>0</v>
      </c>
      <c r="AO85" s="48" t="n">
        <f aca="false">IF(AND(AO38=1,AO39&lt;=ROUNDUP(1/Input!$H$143,0)),MIN($D$48*Input!$H$102*Input!$H$143,MAX($D$48*Input!$H$102-$D$48*Input!$H$102*Input!$H$143*(AO39-1),0)),0)</f>
        <v>0</v>
      </c>
      <c r="AP85" s="48" t="n">
        <f aca="false">IF(AND(AP38=1,AP39&lt;=ROUNDUP(1/Input!$H$143,0)),MIN($D$48*Input!$H$102*Input!$H$143,MAX($D$48*Input!$H$102-$D$48*Input!$H$102*Input!$H$143*(AP39-1),0)),0)</f>
        <v>0</v>
      </c>
      <c r="AQ85" s="48" t="n">
        <f aca="false">IF(AND(AQ38=1,AQ39&lt;=ROUNDUP(1/Input!$H$143,0)),MIN($D$48*Input!$H$102*Input!$H$143,MAX($D$48*Input!$H$102-$D$48*Input!$H$102*Input!$H$143*(AQ39-1),0)),0)</f>
        <v>0</v>
      </c>
      <c r="AR85" s="48" t="n">
        <f aca="false">IF(AND(AR38=1,AR39&lt;=ROUNDUP(1/Input!$H$143,0)),MIN($D$48*Input!$H$102*Input!$H$143,MAX($D$48*Input!$H$102-$D$48*Input!$H$102*Input!$H$143*(AR39-1),0)),0)</f>
        <v>0</v>
      </c>
      <c r="AS85" s="48" t="n">
        <f aca="false">IF(AND(AS38=1,AS39&lt;=ROUNDUP(1/Input!$H$143,0)),MIN($D$48*Input!$H$102*Input!$H$143,MAX($D$48*Input!$H$102-$D$48*Input!$H$102*Input!$H$143*(AS39-1),0)),0)</f>
        <v>0</v>
      </c>
      <c r="AT85" s="48" t="n">
        <f aca="false">IF(AND(AT38=1,AT39&lt;=ROUNDUP(1/Input!$H$143,0)),MIN($D$48*Input!$H$102*Input!$H$143,MAX($D$48*Input!$H$102-$D$48*Input!$H$102*Input!$H$143*(AT39-1),0)),0)</f>
        <v>0</v>
      </c>
      <c r="AU85" s="48" t="n">
        <f aca="false">IF(AND(AU38=1,AU39&lt;=ROUNDUP(1/Input!$H$143,0)),MIN($D$48*Input!$H$102*Input!$H$143,MAX($D$48*Input!$H$102-$D$48*Input!$H$102*Input!$H$143*(AU39-1),0)),0)</f>
        <v>0</v>
      </c>
      <c r="AV85" s="48" t="n">
        <f aca="false">IF(AND(AV38=1,AV39&lt;=ROUNDUP(1/Input!$H$143,0)),MIN($D$48*Input!$H$102*Input!$H$143,MAX($D$48*Input!$H$102-$D$48*Input!$H$102*Input!$H$143*(AV39-1),0)),0)</f>
        <v>0</v>
      </c>
      <c r="AW85" s="48" t="n">
        <f aca="false">IF(AND(AW38=1,AW39&lt;=ROUNDUP(1/Input!$H$143,0)),MIN($D$48*Input!$H$102*Input!$H$143,MAX($D$48*Input!$H$102-$D$48*Input!$H$102*Input!$H$143*(AW39-1),0)),0)</f>
        <v>0</v>
      </c>
      <c r="AX85" s="48" t="n">
        <f aca="false">IF(AND(AX38=1,AX39&lt;=ROUNDUP(1/Input!$H$143,0)),MIN($D$48*Input!$H$102*Input!$H$143,MAX($D$48*Input!$H$102-$D$48*Input!$H$102*Input!$H$143*(AX39-1),0)),0)</f>
        <v>0</v>
      </c>
      <c r="AY85" s="48" t="n">
        <f aca="false">IF(AND(AY38=1,AY39&lt;=ROUNDUP(1/Input!$H$143,0)),MIN($D$48*Input!$H$102*Input!$H$143,MAX($D$48*Input!$H$102-$D$48*Input!$H$102*Input!$H$143*(AY39-1),0)),0)</f>
        <v>0</v>
      </c>
      <c r="AZ85" s="48" t="n">
        <f aca="false">IF(AND(AZ38=1,AZ39&lt;=ROUNDUP(1/Input!$H$143,0)),MIN($D$48*Input!$H$102*Input!$H$143,MAX($D$48*Input!$H$102-$D$48*Input!$H$102*Input!$H$143*(AZ39-1),0)),0)</f>
        <v>0</v>
      </c>
      <c r="BA85" s="48" t="n">
        <f aca="false">IF(AND(BA38=1,BA39&lt;=ROUNDUP(1/Input!$H$143,0)),MIN($D$48*Input!$H$102*Input!$H$143,MAX($D$48*Input!$H$102-$D$48*Input!$H$102*Input!$H$143*(BA39-1),0)),0)</f>
        <v>0</v>
      </c>
      <c r="BB85" s="48" t="n">
        <f aca="false">IF(AND(BB38=1,BB39&lt;=ROUNDUP(1/Input!$H$143,0)),MIN($D$48*Input!$H$102*Input!$H$143,MAX($D$48*Input!$H$102-$D$48*Input!$H$102*Input!$H$143*(BB39-1),0)),0)</f>
        <v>0</v>
      </c>
      <c r="BC85" s="48" t="n">
        <f aca="false">IF(AND(BC38=1,BC39&lt;=ROUNDUP(1/Input!$H$143,0)),MIN($D$48*Input!$H$102*Input!$H$143,MAX($D$48*Input!$H$102-$D$48*Input!$H$102*Input!$H$143*(BC39-1),0)),0)</f>
        <v>0</v>
      </c>
      <c r="BD85" s="48" t="n">
        <f aca="false">IF(AND(BD38=1,BD39&lt;=ROUNDUP(1/Input!$H$143,0)),MIN($D$48*Input!$H$102*Input!$H$143,MAX($D$48*Input!$H$102-$D$48*Input!$H$102*Input!$H$143*(BD39-1),0)),0)</f>
        <v>0</v>
      </c>
      <c r="BE85" s="48" t="n">
        <f aca="false">IF(AND(BE38=1,BE39&lt;=ROUNDUP(1/Input!$H$143,0)),MIN($D$48*Input!$H$102*Input!$H$143,MAX($D$48*Input!$H$102-$D$48*Input!$H$102*Input!$H$143*(BE39-1),0)),0)</f>
        <v>0</v>
      </c>
      <c r="BF85" s="48" t="n">
        <f aca="false">IF(AND(BF38=1,BF39&lt;=ROUNDUP(1/Input!$H$143,0)),MIN($D$48*Input!$H$102*Input!$H$143,MAX($D$48*Input!$H$102-$D$48*Input!$H$102*Input!$H$143*(BF39-1),0)),0)</f>
        <v>0</v>
      </c>
      <c r="BG85" s="48" t="n">
        <f aca="false">IF(AND(BG38=1,BG39&lt;=ROUNDUP(1/Input!$H$143,0)),MIN($D$48*Input!$H$102*Input!$H$143,MAX($D$48*Input!$H$102-$D$48*Input!$H$102*Input!$H$143*(BG39-1),0)),0)</f>
        <v>0</v>
      </c>
      <c r="BH85" s="48" t="n">
        <f aca="false">IF(AND(BH38=1,BH39&lt;=ROUNDUP(1/Input!$H$143,0)),MIN($D$48*Input!$H$102*Input!$H$143,MAX($D$48*Input!$H$102-$D$48*Input!$H$102*Input!$H$143*(BH39-1),0)),0)</f>
        <v>0</v>
      </c>
      <c r="BI85" s="48" t="n">
        <f aca="false">IF(AND(BI38=1,BI39&lt;=ROUNDUP(1/Input!$H$143,0)),MIN($D$48*Input!$H$102*Input!$H$143,MAX($D$48*Input!$H$102-$D$48*Input!$H$102*Input!$H$143*(BI39-1),0)),0)</f>
        <v>0</v>
      </c>
      <c r="BJ85" s="48" t="n">
        <f aca="false">IF(AND(BJ38=1,BJ39&lt;=ROUNDUP(1/Input!$H$143,0)),MIN($D$48*Input!$H$102*Input!$H$143,MAX($D$48*Input!$H$102-$D$48*Input!$H$102*Input!$H$143*(BJ39-1),0)),0)</f>
        <v>0</v>
      </c>
      <c r="BK85" s="48" t="n">
        <f aca="false">IF(AND(BK38=1,BK39&lt;=ROUNDUP(1/Input!$H$143,0)),MIN($D$48*Input!$H$102*Input!$H$143,MAX($D$48*Input!$H$102-$D$48*Input!$H$102*Input!$H$143*(BK39-1),0)),0)</f>
        <v>0</v>
      </c>
      <c r="BL85" s="48" t="n">
        <f aca="false">IF(AND(BL38=1,BL39&lt;=ROUNDUP(1/Input!$H$143,0)),MIN($D$48*Input!$H$102*Input!$H$143,MAX($D$48*Input!$H$102-$D$48*Input!$H$102*Input!$H$143*(BL39-1),0)),0)</f>
        <v>0</v>
      </c>
      <c r="BM85" s="48" t="n">
        <f aca="false">IF(AND(BM38=1,BM39&lt;=ROUNDUP(1/Input!$H$143,0)),MIN($D$48*Input!$H$102*Input!$H$143,MAX($D$48*Input!$H$102-$D$48*Input!$H$102*Input!$H$143*(BM39-1),0)),0)</f>
        <v>0</v>
      </c>
      <c r="BN85" s="48" t="n">
        <f aca="false">IF(AND(BN38=1,BN39&lt;=ROUNDUP(1/Input!$H$143,0)),MIN($D$48*Input!$H$102*Input!$H$143,MAX($D$48*Input!$H$102-$D$48*Input!$H$102*Input!$H$143*(BN39-1),0)),0)</f>
        <v>0</v>
      </c>
      <c r="BO85" s="48" t="n">
        <f aca="false">IF(AND(BO38=1,BO39&lt;=ROUNDUP(1/Input!$H$143,0)),MIN($D$48*Input!$H$102*Input!$H$143,MAX($D$48*Input!$H$102-$D$48*Input!$H$102*Input!$H$143*(BO39-1),0)),0)</f>
        <v>0</v>
      </c>
      <c r="BP85" s="48" t="n">
        <f aca="false">IF(AND(BP38=1,BP39&lt;=ROUNDUP(1/Input!$H$143,0)),MIN($D$48*Input!$H$102*Input!$H$143,MAX($D$48*Input!$H$102-$D$48*Input!$H$102*Input!$H$143*(BP39-1),0)),0)</f>
        <v>0</v>
      </c>
      <c r="BQ85" s="48" t="n">
        <f aca="false">IF(AND(BQ38=1,BQ39&lt;=ROUNDUP(1/Input!$H$143,0)),MIN($D$48*Input!$H$102*Input!$H$143,MAX($D$48*Input!$H$102-$D$48*Input!$H$102*Input!$H$143*(BQ39-1),0)),0)</f>
        <v>0</v>
      </c>
      <c r="BR85" s="48" t="n">
        <f aca="false">IF(AND(BR38=1,BR39&lt;=ROUNDUP(1/Input!$H$143,0)),MIN($D$48*Input!$H$102*Input!$H$143,MAX($D$48*Input!$H$102-$D$48*Input!$H$102*Input!$H$143*(BR39-1),0)),0)</f>
        <v>0</v>
      </c>
      <c r="BS85" s="48" t="n">
        <f aca="false">IF(AND(BS38=1,BS39&lt;=ROUNDUP(1/Input!$H$143,0)),MIN($D$48*Input!$H$102*Input!$H$143,MAX($D$48*Input!$H$102-$D$48*Input!$H$102*Input!$H$143*(BS39-1),0)),0)</f>
        <v>0</v>
      </c>
      <c r="BT85" s="48" t="n">
        <f aca="false">IF(AND(BT38=1,BT39&lt;=ROUNDUP(1/Input!$H$143,0)),MIN($D$48*Input!$H$102*Input!$H$143,MAX($D$48*Input!$H$102-$D$48*Input!$H$102*Input!$H$143*(BT39-1),0)),0)</f>
        <v>0</v>
      </c>
      <c r="BU85" s="48" t="n">
        <f aca="false">IF(AND(BU38=1,BU39&lt;=ROUNDUP(1/Input!$H$143,0)),MIN($D$48*Input!$H$102*Input!$H$143,MAX($D$48*Input!$H$102-$D$48*Input!$H$102*Input!$H$143*(BU39-1),0)),0)</f>
        <v>0</v>
      </c>
      <c r="BV85" s="48" t="n">
        <f aca="false">IF(AND(BV38=1,BV39&lt;=ROUNDUP(1/Input!$H$143,0)),MIN($D$48*Input!$H$102*Input!$H$143,MAX($D$48*Input!$H$102-$D$48*Input!$H$102*Input!$H$143*(BV39-1),0)),0)</f>
        <v>0</v>
      </c>
      <c r="BW85" s="48" t="n">
        <f aca="false">IF(AND(BW38=1,BW39&lt;=ROUNDUP(1/Input!$H$143,0)),MIN($D$48*Input!$H$102*Input!$H$143,MAX($D$48*Input!$H$102-$D$48*Input!$H$102*Input!$H$143*(BW39-1),0)),0)</f>
        <v>0</v>
      </c>
      <c r="BX85" s="48" t="n">
        <f aca="false">IF(AND(BX38=1,BX39&lt;=ROUNDUP(1/Input!$H$143,0)),MIN($D$48*Input!$H$102*Input!$H$143,MAX($D$48*Input!$H$102-$D$48*Input!$H$102*Input!$H$143*(BX39-1),0)),0)</f>
        <v>0</v>
      </c>
    </row>
    <row r="86" customFormat="false" ht="15" hidden="false" customHeight="false" outlineLevel="0" collapsed="false">
      <c r="A86" s="1"/>
      <c r="B86" s="8" t="s">
        <v>351</v>
      </c>
      <c r="C86" s="8" t="s">
        <v>126</v>
      </c>
      <c r="D86" s="44" t="n">
        <f aca="false">SUM(G86:BX86)</f>
        <v>1179</v>
      </c>
      <c r="E86" s="1"/>
      <c r="F86" s="1"/>
      <c r="G86" s="48" t="n">
        <f aca="false">IF(AND(G38=1,G39&lt;=ROUNDUP(1/Input!$H$145,0)),MIN($D$48*Input!$H$103*Input!$H$145,MAX($D$48*Input!$H$103-$D$48*Input!$H$103*Input!$H$145*(G39-1),0)),0)</f>
        <v>0</v>
      </c>
      <c r="H86" s="48" t="n">
        <f aca="false">IF(AND(H38=1,H39&lt;=ROUNDUP(1/Input!$H$145,0)),MIN($D$48*Input!$H$103*Input!$H$145,MAX($D$48*Input!$H$103-$D$48*Input!$H$103*Input!$H$145*(H39-1),0)),0)</f>
        <v>0</v>
      </c>
      <c r="I86" s="48" t="n">
        <f aca="false">IF(AND(I38=1,I39&lt;=ROUNDUP(1/Input!$H$145,0)),MIN($D$48*Input!$H$103*Input!$H$145,MAX($D$48*Input!$H$103-$D$48*Input!$H$103*Input!$H$145*(I39-1),0)),0)</f>
        <v>0</v>
      </c>
      <c r="J86" s="48" t="n">
        <f aca="false">IF(AND(J38=1,J39&lt;=ROUNDUP(1/Input!$H$145,0)),MIN($D$48*Input!$H$103*Input!$H$145,MAX($D$48*Input!$H$103-$D$48*Input!$H$103*Input!$H$145*(J39-1),0)),0)</f>
        <v>0</v>
      </c>
      <c r="K86" s="48" t="n">
        <f aca="false">IF(AND(K38=1,K39&lt;=ROUNDUP(1/Input!$H$145,0)),MIN($D$48*Input!$H$103*Input!$H$145,MAX($D$48*Input!$H$103-$D$48*Input!$H$103*Input!$H$145*(K39-1),0)),0)</f>
        <v>82.53</v>
      </c>
      <c r="L86" s="48" t="n">
        <f aca="false">IF(AND(L38=1,L39&lt;=ROUNDUP(1/Input!$H$145,0)),MIN($D$48*Input!$H$103*Input!$H$145,MAX($D$48*Input!$H$103-$D$48*Input!$H$103*Input!$H$145*(L39-1),0)),0)</f>
        <v>82.53</v>
      </c>
      <c r="M86" s="48" t="n">
        <f aca="false">IF(AND(M38=1,M39&lt;=ROUNDUP(1/Input!$H$145,0)),MIN($D$48*Input!$H$103*Input!$H$145,MAX($D$48*Input!$H$103-$D$48*Input!$H$103*Input!$H$145*(M39-1),0)),0)</f>
        <v>82.53</v>
      </c>
      <c r="N86" s="48" t="n">
        <f aca="false">IF(AND(N38=1,N39&lt;=ROUNDUP(1/Input!$H$145,0)),MIN($D$48*Input!$H$103*Input!$H$145,MAX($D$48*Input!$H$103-$D$48*Input!$H$103*Input!$H$145*(N39-1),0)),0)</f>
        <v>82.53</v>
      </c>
      <c r="O86" s="48" t="n">
        <f aca="false">IF(AND(O38=1,O39&lt;=ROUNDUP(1/Input!$H$145,0)),MIN($D$48*Input!$H$103*Input!$H$145,MAX($D$48*Input!$H$103-$D$48*Input!$H$103*Input!$H$145*(O39-1),0)),0)</f>
        <v>82.53</v>
      </c>
      <c r="P86" s="48" t="n">
        <f aca="false">IF(AND(P38=1,P39&lt;=ROUNDUP(1/Input!$H$145,0)),MIN($D$48*Input!$H$103*Input!$H$145,MAX($D$48*Input!$H$103-$D$48*Input!$H$103*Input!$H$145*(P39-1),0)),0)</f>
        <v>82.53</v>
      </c>
      <c r="Q86" s="48" t="n">
        <f aca="false">IF(AND(Q38=1,Q39&lt;=ROUNDUP(1/Input!$H$145,0)),MIN($D$48*Input!$H$103*Input!$H$145,MAX($D$48*Input!$H$103-$D$48*Input!$H$103*Input!$H$145*(Q39-1),0)),0)</f>
        <v>82.53</v>
      </c>
      <c r="R86" s="48" t="n">
        <f aca="false">IF(AND(R38=1,R39&lt;=ROUNDUP(1/Input!$H$145,0)),MIN($D$48*Input!$H$103*Input!$H$145,MAX($D$48*Input!$H$103-$D$48*Input!$H$103*Input!$H$145*(R39-1),0)),0)</f>
        <v>82.53</v>
      </c>
      <c r="S86" s="48" t="n">
        <f aca="false">IF(AND(S38=1,S39&lt;=ROUNDUP(1/Input!$H$145,0)),MIN($D$48*Input!$H$103*Input!$H$145,MAX($D$48*Input!$H$103-$D$48*Input!$H$103*Input!$H$145*(S39-1),0)),0)</f>
        <v>82.53</v>
      </c>
      <c r="T86" s="48" t="n">
        <f aca="false">IF(AND(T38=1,T39&lt;=ROUNDUP(1/Input!$H$145,0)),MIN($D$48*Input!$H$103*Input!$H$145,MAX($D$48*Input!$H$103-$D$48*Input!$H$103*Input!$H$145*(T39-1),0)),0)</f>
        <v>82.53</v>
      </c>
      <c r="U86" s="48" t="n">
        <f aca="false">IF(AND(U38=1,U39&lt;=ROUNDUP(1/Input!$H$145,0)),MIN($D$48*Input!$H$103*Input!$H$145,MAX($D$48*Input!$H$103-$D$48*Input!$H$103*Input!$H$145*(U39-1),0)),0)</f>
        <v>82.53</v>
      </c>
      <c r="V86" s="48" t="n">
        <f aca="false">IF(AND(V38=1,V39&lt;=ROUNDUP(1/Input!$H$145,0)),MIN($D$48*Input!$H$103*Input!$H$145,MAX($D$48*Input!$H$103-$D$48*Input!$H$103*Input!$H$145*(V39-1),0)),0)</f>
        <v>82.53</v>
      </c>
      <c r="W86" s="48" t="n">
        <f aca="false">IF(AND(W38=1,W39&lt;=ROUNDUP(1/Input!$H$145,0)),MIN($D$48*Input!$H$103*Input!$H$145,MAX($D$48*Input!$H$103-$D$48*Input!$H$103*Input!$H$145*(W39-1),0)),0)</f>
        <v>82.53</v>
      </c>
      <c r="X86" s="48" t="n">
        <f aca="false">IF(AND(X38=1,X39&lt;=ROUNDUP(1/Input!$H$145,0)),MIN($D$48*Input!$H$103*Input!$H$145,MAX($D$48*Input!$H$103-$D$48*Input!$H$103*Input!$H$145*(X39-1),0)),0)</f>
        <v>82.53</v>
      </c>
      <c r="Y86" s="48" t="n">
        <f aca="false">IF(AND(Y38=1,Y39&lt;=ROUNDUP(1/Input!$H$145,0)),MIN($D$48*Input!$H$103*Input!$H$145,MAX($D$48*Input!$H$103-$D$48*Input!$H$103*Input!$H$145*(Y39-1),0)),0)</f>
        <v>23.5799999999999</v>
      </c>
      <c r="Z86" s="48" t="n">
        <f aca="false">IF(AND(Z38=1,Z39&lt;=ROUNDUP(1/Input!$H$145,0)),MIN($D$48*Input!$H$103*Input!$H$145,MAX($D$48*Input!$H$103-$D$48*Input!$H$103*Input!$H$145*(Z39-1),0)),0)</f>
        <v>0</v>
      </c>
      <c r="AA86" s="48" t="n">
        <f aca="false">IF(AND(AA38=1,AA39&lt;=ROUNDUP(1/Input!$H$145,0)),MIN($D$48*Input!$H$103*Input!$H$145,MAX($D$48*Input!$H$103-$D$48*Input!$H$103*Input!$H$145*(AA39-1),0)),0)</f>
        <v>0</v>
      </c>
      <c r="AB86" s="48" t="n">
        <f aca="false">IF(AND(AB38=1,AB39&lt;=ROUNDUP(1/Input!$H$145,0)),MIN($D$48*Input!$H$103*Input!$H$145,MAX($D$48*Input!$H$103-$D$48*Input!$H$103*Input!$H$145*(AB39-1),0)),0)</f>
        <v>0</v>
      </c>
      <c r="AC86" s="48" t="n">
        <f aca="false">IF(AND(AC38=1,AC39&lt;=ROUNDUP(1/Input!$H$145,0)),MIN($D$48*Input!$H$103*Input!$H$145,MAX($D$48*Input!$H$103-$D$48*Input!$H$103*Input!$H$145*(AC39-1),0)),0)</f>
        <v>0</v>
      </c>
      <c r="AD86" s="48" t="n">
        <f aca="false">IF(AND(AD38=1,AD39&lt;=ROUNDUP(1/Input!$H$145,0)),MIN($D$48*Input!$H$103*Input!$H$145,MAX($D$48*Input!$H$103-$D$48*Input!$H$103*Input!$H$145*(AD39-1),0)),0)</f>
        <v>0</v>
      </c>
      <c r="AE86" s="48" t="n">
        <f aca="false">IF(AND(AE38=1,AE39&lt;=ROUNDUP(1/Input!$H$145,0)),MIN($D$48*Input!$H$103*Input!$H$145,MAX($D$48*Input!$H$103-$D$48*Input!$H$103*Input!$H$145*(AE39-1),0)),0)</f>
        <v>0</v>
      </c>
      <c r="AF86" s="48" t="n">
        <f aca="false">IF(AND(AF38=1,AF39&lt;=ROUNDUP(1/Input!$H$145,0)),MIN($D$48*Input!$H$103*Input!$H$145,MAX($D$48*Input!$H$103-$D$48*Input!$H$103*Input!$H$145*(AF39-1),0)),0)</f>
        <v>0</v>
      </c>
      <c r="AG86" s="48" t="n">
        <f aca="false">IF(AND(AG38=1,AG39&lt;=ROUNDUP(1/Input!$H$145,0)),MIN($D$48*Input!$H$103*Input!$H$145,MAX($D$48*Input!$H$103-$D$48*Input!$H$103*Input!$H$145*(AG39-1),0)),0)</f>
        <v>0</v>
      </c>
      <c r="AH86" s="48" t="n">
        <f aca="false">IF(AND(AH38=1,AH39&lt;=ROUNDUP(1/Input!$H$145,0)),MIN($D$48*Input!$H$103*Input!$H$145,MAX($D$48*Input!$H$103-$D$48*Input!$H$103*Input!$H$145*(AH39-1),0)),0)</f>
        <v>0</v>
      </c>
      <c r="AI86" s="48" t="n">
        <f aca="false">IF(AND(AI38=1,AI39&lt;=ROUNDUP(1/Input!$H$145,0)),MIN($D$48*Input!$H$103*Input!$H$145,MAX($D$48*Input!$H$103-$D$48*Input!$H$103*Input!$H$145*(AI39-1),0)),0)</f>
        <v>0</v>
      </c>
      <c r="AJ86" s="48" t="n">
        <f aca="false">IF(AND(AJ38=1,AJ39&lt;=ROUNDUP(1/Input!$H$145,0)),MIN($D$48*Input!$H$103*Input!$H$145,MAX($D$48*Input!$H$103-$D$48*Input!$H$103*Input!$H$145*(AJ39-1),0)),0)</f>
        <v>0</v>
      </c>
      <c r="AK86" s="48" t="n">
        <f aca="false">IF(AND(AK38=1,AK39&lt;=ROUNDUP(1/Input!$H$145,0)),MIN($D$48*Input!$H$103*Input!$H$145,MAX($D$48*Input!$H$103-$D$48*Input!$H$103*Input!$H$145*(AK39-1),0)),0)</f>
        <v>0</v>
      </c>
      <c r="AL86" s="48" t="n">
        <f aca="false">IF(AND(AL38=1,AL39&lt;=ROUNDUP(1/Input!$H$145,0)),MIN($D$48*Input!$H$103*Input!$H$145,MAX($D$48*Input!$H$103-$D$48*Input!$H$103*Input!$H$145*(AL39-1),0)),0)</f>
        <v>0</v>
      </c>
      <c r="AM86" s="48" t="n">
        <f aca="false">IF(AND(AM38=1,AM39&lt;=ROUNDUP(1/Input!$H$145,0)),MIN($D$48*Input!$H$103*Input!$H$145,MAX($D$48*Input!$H$103-$D$48*Input!$H$103*Input!$H$145*(AM39-1),0)),0)</f>
        <v>0</v>
      </c>
      <c r="AN86" s="48" t="n">
        <f aca="false">IF(AND(AN38=1,AN39&lt;=ROUNDUP(1/Input!$H$145,0)),MIN($D$48*Input!$H$103*Input!$H$145,MAX($D$48*Input!$H$103-$D$48*Input!$H$103*Input!$H$145*(AN39-1),0)),0)</f>
        <v>0</v>
      </c>
      <c r="AO86" s="48" t="n">
        <f aca="false">IF(AND(AO38=1,AO39&lt;=ROUNDUP(1/Input!$H$145,0)),MIN($D$48*Input!$H$103*Input!$H$145,MAX($D$48*Input!$H$103-$D$48*Input!$H$103*Input!$H$145*(AO39-1),0)),0)</f>
        <v>0</v>
      </c>
      <c r="AP86" s="48" t="n">
        <f aca="false">IF(AND(AP38=1,AP39&lt;=ROUNDUP(1/Input!$H$145,0)),MIN($D$48*Input!$H$103*Input!$H$145,MAX($D$48*Input!$H$103-$D$48*Input!$H$103*Input!$H$145*(AP39-1),0)),0)</f>
        <v>0</v>
      </c>
      <c r="AQ86" s="48" t="n">
        <f aca="false">IF(AND(AQ38=1,AQ39&lt;=ROUNDUP(1/Input!$H$145,0)),MIN($D$48*Input!$H$103*Input!$H$145,MAX($D$48*Input!$H$103-$D$48*Input!$H$103*Input!$H$145*(AQ39-1),0)),0)</f>
        <v>0</v>
      </c>
      <c r="AR86" s="48" t="n">
        <f aca="false">IF(AND(AR38=1,AR39&lt;=ROUNDUP(1/Input!$H$145,0)),MIN($D$48*Input!$H$103*Input!$H$145,MAX($D$48*Input!$H$103-$D$48*Input!$H$103*Input!$H$145*(AR39-1),0)),0)</f>
        <v>0</v>
      </c>
      <c r="AS86" s="48" t="n">
        <f aca="false">IF(AND(AS38=1,AS39&lt;=ROUNDUP(1/Input!$H$145,0)),MIN($D$48*Input!$H$103*Input!$H$145,MAX($D$48*Input!$H$103-$D$48*Input!$H$103*Input!$H$145*(AS39-1),0)),0)</f>
        <v>0</v>
      </c>
      <c r="AT86" s="48" t="n">
        <f aca="false">IF(AND(AT38=1,AT39&lt;=ROUNDUP(1/Input!$H$145,0)),MIN($D$48*Input!$H$103*Input!$H$145,MAX($D$48*Input!$H$103-$D$48*Input!$H$103*Input!$H$145*(AT39-1),0)),0)</f>
        <v>0</v>
      </c>
      <c r="AU86" s="48" t="n">
        <f aca="false">IF(AND(AU38=1,AU39&lt;=ROUNDUP(1/Input!$H$145,0)),MIN($D$48*Input!$H$103*Input!$H$145,MAX($D$48*Input!$H$103-$D$48*Input!$H$103*Input!$H$145*(AU39-1),0)),0)</f>
        <v>0</v>
      </c>
      <c r="AV86" s="48" t="n">
        <f aca="false">IF(AND(AV38=1,AV39&lt;=ROUNDUP(1/Input!$H$145,0)),MIN($D$48*Input!$H$103*Input!$H$145,MAX($D$48*Input!$H$103-$D$48*Input!$H$103*Input!$H$145*(AV39-1),0)),0)</f>
        <v>0</v>
      </c>
      <c r="AW86" s="48" t="n">
        <f aca="false">IF(AND(AW38=1,AW39&lt;=ROUNDUP(1/Input!$H$145,0)),MIN($D$48*Input!$H$103*Input!$H$145,MAX($D$48*Input!$H$103-$D$48*Input!$H$103*Input!$H$145*(AW39-1),0)),0)</f>
        <v>0</v>
      </c>
      <c r="AX86" s="48" t="n">
        <f aca="false">IF(AND(AX38=1,AX39&lt;=ROUNDUP(1/Input!$H$145,0)),MIN($D$48*Input!$H$103*Input!$H$145,MAX($D$48*Input!$H$103-$D$48*Input!$H$103*Input!$H$145*(AX39-1),0)),0)</f>
        <v>0</v>
      </c>
      <c r="AY86" s="48" t="n">
        <f aca="false">IF(AND(AY38=1,AY39&lt;=ROUNDUP(1/Input!$H$145,0)),MIN($D$48*Input!$H$103*Input!$H$145,MAX($D$48*Input!$H$103-$D$48*Input!$H$103*Input!$H$145*(AY39-1),0)),0)</f>
        <v>0</v>
      </c>
      <c r="AZ86" s="48" t="n">
        <f aca="false">IF(AND(AZ38=1,AZ39&lt;=ROUNDUP(1/Input!$H$145,0)),MIN($D$48*Input!$H$103*Input!$H$145,MAX($D$48*Input!$H$103-$D$48*Input!$H$103*Input!$H$145*(AZ39-1),0)),0)</f>
        <v>0</v>
      </c>
      <c r="BA86" s="48" t="n">
        <f aca="false">IF(AND(BA38=1,BA39&lt;=ROUNDUP(1/Input!$H$145,0)),MIN($D$48*Input!$H$103*Input!$H$145,MAX($D$48*Input!$H$103-$D$48*Input!$H$103*Input!$H$145*(BA39-1),0)),0)</f>
        <v>0</v>
      </c>
      <c r="BB86" s="48" t="n">
        <f aca="false">IF(AND(BB38=1,BB39&lt;=ROUNDUP(1/Input!$H$145,0)),MIN($D$48*Input!$H$103*Input!$H$145,MAX($D$48*Input!$H$103-$D$48*Input!$H$103*Input!$H$145*(BB39-1),0)),0)</f>
        <v>0</v>
      </c>
      <c r="BC86" s="48" t="n">
        <f aca="false">IF(AND(BC38=1,BC39&lt;=ROUNDUP(1/Input!$H$145,0)),MIN($D$48*Input!$H$103*Input!$H$145,MAX($D$48*Input!$H$103-$D$48*Input!$H$103*Input!$H$145*(BC39-1),0)),0)</f>
        <v>0</v>
      </c>
      <c r="BD86" s="48" t="n">
        <f aca="false">IF(AND(BD38=1,BD39&lt;=ROUNDUP(1/Input!$H$145,0)),MIN($D$48*Input!$H$103*Input!$H$145,MAX($D$48*Input!$H$103-$D$48*Input!$H$103*Input!$H$145*(BD39-1),0)),0)</f>
        <v>0</v>
      </c>
      <c r="BE86" s="48" t="n">
        <f aca="false">IF(AND(BE38=1,BE39&lt;=ROUNDUP(1/Input!$H$145,0)),MIN($D$48*Input!$H$103*Input!$H$145,MAX($D$48*Input!$H$103-$D$48*Input!$H$103*Input!$H$145*(BE39-1),0)),0)</f>
        <v>0</v>
      </c>
      <c r="BF86" s="48" t="n">
        <f aca="false">IF(AND(BF38=1,BF39&lt;=ROUNDUP(1/Input!$H$145,0)),MIN($D$48*Input!$H$103*Input!$H$145,MAX($D$48*Input!$H$103-$D$48*Input!$H$103*Input!$H$145*(BF39-1),0)),0)</f>
        <v>0</v>
      </c>
      <c r="BG86" s="48" t="n">
        <f aca="false">IF(AND(BG38=1,BG39&lt;=ROUNDUP(1/Input!$H$145,0)),MIN($D$48*Input!$H$103*Input!$H$145,MAX($D$48*Input!$H$103-$D$48*Input!$H$103*Input!$H$145*(BG39-1),0)),0)</f>
        <v>0</v>
      </c>
      <c r="BH86" s="48" t="n">
        <f aca="false">IF(AND(BH38=1,BH39&lt;=ROUNDUP(1/Input!$H$145,0)),MIN($D$48*Input!$H$103*Input!$H$145,MAX($D$48*Input!$H$103-$D$48*Input!$H$103*Input!$H$145*(BH39-1),0)),0)</f>
        <v>0</v>
      </c>
      <c r="BI86" s="48" t="n">
        <f aca="false">IF(AND(BI38=1,BI39&lt;=ROUNDUP(1/Input!$H$145,0)),MIN($D$48*Input!$H$103*Input!$H$145,MAX($D$48*Input!$H$103-$D$48*Input!$H$103*Input!$H$145*(BI39-1),0)),0)</f>
        <v>0</v>
      </c>
      <c r="BJ86" s="48" t="n">
        <f aca="false">IF(AND(BJ38=1,BJ39&lt;=ROUNDUP(1/Input!$H$145,0)),MIN($D$48*Input!$H$103*Input!$H$145,MAX($D$48*Input!$H$103-$D$48*Input!$H$103*Input!$H$145*(BJ39-1),0)),0)</f>
        <v>0</v>
      </c>
      <c r="BK86" s="48" t="n">
        <f aca="false">IF(AND(BK38=1,BK39&lt;=ROUNDUP(1/Input!$H$145,0)),MIN($D$48*Input!$H$103*Input!$H$145,MAX($D$48*Input!$H$103-$D$48*Input!$H$103*Input!$H$145*(BK39-1),0)),0)</f>
        <v>0</v>
      </c>
      <c r="BL86" s="48" t="n">
        <f aca="false">IF(AND(BL38=1,BL39&lt;=ROUNDUP(1/Input!$H$145,0)),MIN($D$48*Input!$H$103*Input!$H$145,MAX($D$48*Input!$H$103-$D$48*Input!$H$103*Input!$H$145*(BL39-1),0)),0)</f>
        <v>0</v>
      </c>
      <c r="BM86" s="48" t="n">
        <f aca="false">IF(AND(BM38=1,BM39&lt;=ROUNDUP(1/Input!$H$145,0)),MIN($D$48*Input!$H$103*Input!$H$145,MAX($D$48*Input!$H$103-$D$48*Input!$H$103*Input!$H$145*(BM39-1),0)),0)</f>
        <v>0</v>
      </c>
      <c r="BN86" s="48" t="n">
        <f aca="false">IF(AND(BN38=1,BN39&lt;=ROUNDUP(1/Input!$H$145,0)),MIN($D$48*Input!$H$103*Input!$H$145,MAX($D$48*Input!$H$103-$D$48*Input!$H$103*Input!$H$145*(BN39-1),0)),0)</f>
        <v>0</v>
      </c>
      <c r="BO86" s="48" t="n">
        <f aca="false">IF(AND(BO38=1,BO39&lt;=ROUNDUP(1/Input!$H$145,0)),MIN($D$48*Input!$H$103*Input!$H$145,MAX($D$48*Input!$H$103-$D$48*Input!$H$103*Input!$H$145*(BO39-1),0)),0)</f>
        <v>0</v>
      </c>
      <c r="BP86" s="48" t="n">
        <f aca="false">IF(AND(BP38=1,BP39&lt;=ROUNDUP(1/Input!$H$145,0)),MIN($D$48*Input!$H$103*Input!$H$145,MAX($D$48*Input!$H$103-$D$48*Input!$H$103*Input!$H$145*(BP39-1),0)),0)</f>
        <v>0</v>
      </c>
      <c r="BQ86" s="48" t="n">
        <f aca="false">IF(AND(BQ38=1,BQ39&lt;=ROUNDUP(1/Input!$H$145,0)),MIN($D$48*Input!$H$103*Input!$H$145,MAX($D$48*Input!$H$103-$D$48*Input!$H$103*Input!$H$145*(BQ39-1),0)),0)</f>
        <v>0</v>
      </c>
      <c r="BR86" s="48" t="n">
        <f aca="false">IF(AND(BR38=1,BR39&lt;=ROUNDUP(1/Input!$H$145,0)),MIN($D$48*Input!$H$103*Input!$H$145,MAX($D$48*Input!$H$103-$D$48*Input!$H$103*Input!$H$145*(BR39-1),0)),0)</f>
        <v>0</v>
      </c>
      <c r="BS86" s="48" t="n">
        <f aca="false">IF(AND(BS38=1,BS39&lt;=ROUNDUP(1/Input!$H$145,0)),MIN($D$48*Input!$H$103*Input!$H$145,MAX($D$48*Input!$H$103-$D$48*Input!$H$103*Input!$H$145*(BS39-1),0)),0)</f>
        <v>0</v>
      </c>
      <c r="BT86" s="48" t="n">
        <f aca="false">IF(AND(BT38=1,BT39&lt;=ROUNDUP(1/Input!$H$145,0)),MIN($D$48*Input!$H$103*Input!$H$145,MAX($D$48*Input!$H$103-$D$48*Input!$H$103*Input!$H$145*(BT39-1),0)),0)</f>
        <v>0</v>
      </c>
      <c r="BU86" s="48" t="n">
        <f aca="false">IF(AND(BU38=1,BU39&lt;=ROUNDUP(1/Input!$H$145,0)),MIN($D$48*Input!$H$103*Input!$H$145,MAX($D$48*Input!$H$103-$D$48*Input!$H$103*Input!$H$145*(BU39-1),0)),0)</f>
        <v>0</v>
      </c>
      <c r="BV86" s="48" t="n">
        <f aca="false">IF(AND(BV38=1,BV39&lt;=ROUNDUP(1/Input!$H$145,0)),MIN($D$48*Input!$H$103*Input!$H$145,MAX($D$48*Input!$H$103-$D$48*Input!$H$103*Input!$H$145*(BV39-1),0)),0)</f>
        <v>0</v>
      </c>
      <c r="BW86" s="48" t="n">
        <f aca="false">IF(AND(BW38=1,BW39&lt;=ROUNDUP(1/Input!$H$145,0)),MIN($D$48*Input!$H$103*Input!$H$145,MAX($D$48*Input!$H$103-$D$48*Input!$H$103*Input!$H$145*(BW39-1),0)),0)</f>
        <v>0</v>
      </c>
      <c r="BX86" s="48" t="n">
        <f aca="false">IF(AND(BX38=1,BX39&lt;=ROUNDUP(1/Input!$H$145,0)),MIN($D$48*Input!$H$103*Input!$H$145,MAX($D$48*Input!$H$103-$D$48*Input!$H$103*Input!$H$145*(BX39-1),0)),0)</f>
        <v>0</v>
      </c>
    </row>
    <row r="87" customFormat="false" ht="15" hidden="false" customHeight="false" outlineLevel="0" collapsed="false">
      <c r="A87" s="1"/>
      <c r="B87" s="8" t="s">
        <v>352</v>
      </c>
      <c r="C87" s="8" t="s">
        <v>126</v>
      </c>
      <c r="D87" s="44" t="n">
        <f aca="false">SUM(G87:BX87)</f>
        <v>294.75</v>
      </c>
      <c r="E87" s="1"/>
      <c r="F87" s="1"/>
      <c r="G87" s="48" t="n">
        <f aca="false">IF(AND(G38=1,G39&lt;=ROUNDUP(1/Input!$H$146,0)),MIN($D$48*Input!$H$104*Input!$H$146,MAX($D$48*Input!$H$104-$D$48*Input!$H$104*Input!$H$146*(G39-1),0)),0)</f>
        <v>0</v>
      </c>
      <c r="H87" s="48" t="n">
        <f aca="false">IF(AND(H38=1,H39&lt;=ROUNDUP(1/Input!$H$146,0)),MIN($D$48*Input!$H$104*Input!$H$146,MAX($D$48*Input!$H$104-$D$48*Input!$H$104*Input!$H$146*(H39-1),0)),0)</f>
        <v>0</v>
      </c>
      <c r="I87" s="48" t="n">
        <f aca="false">IF(AND(I38=1,I39&lt;=ROUNDUP(1/Input!$H$146,0)),MIN($D$48*Input!$H$104*Input!$H$146,MAX($D$48*Input!$H$104-$D$48*Input!$H$104*Input!$H$146*(I39-1),0)),0)</f>
        <v>0</v>
      </c>
      <c r="J87" s="48" t="n">
        <f aca="false">IF(AND(J38=1,J39&lt;=ROUNDUP(1/Input!$H$146,0)),MIN($D$48*Input!$H$104*Input!$H$146,MAX($D$48*Input!$H$104-$D$48*Input!$H$104*Input!$H$146*(J39-1),0)),0)</f>
        <v>0</v>
      </c>
      <c r="K87" s="48" t="n">
        <f aca="false">IF(AND(K38=1,K39&lt;=ROUNDUP(1/Input!$H$146,0)),MIN($D$48*Input!$H$104*Input!$H$146,MAX($D$48*Input!$H$104-$D$48*Input!$H$104*Input!$H$146*(K39-1),0)),0)</f>
        <v>29.475</v>
      </c>
      <c r="L87" s="48" t="n">
        <f aca="false">IF(AND(L38=1,L39&lt;=ROUNDUP(1/Input!$H$146,0)),MIN($D$48*Input!$H$104*Input!$H$146,MAX($D$48*Input!$H$104-$D$48*Input!$H$104*Input!$H$146*(L39-1),0)),0)</f>
        <v>29.475</v>
      </c>
      <c r="M87" s="48" t="n">
        <f aca="false">IF(AND(M38=1,M39&lt;=ROUNDUP(1/Input!$H$146,0)),MIN($D$48*Input!$H$104*Input!$H$146,MAX($D$48*Input!$H$104-$D$48*Input!$H$104*Input!$H$146*(M39-1),0)),0)</f>
        <v>29.475</v>
      </c>
      <c r="N87" s="48" t="n">
        <f aca="false">IF(AND(N38=1,N39&lt;=ROUNDUP(1/Input!$H$146,0)),MIN($D$48*Input!$H$104*Input!$H$146,MAX($D$48*Input!$H$104-$D$48*Input!$H$104*Input!$H$146*(N39-1),0)),0)</f>
        <v>29.475</v>
      </c>
      <c r="O87" s="48" t="n">
        <f aca="false">IF(AND(O38=1,O39&lt;=ROUNDUP(1/Input!$H$146,0)),MIN($D$48*Input!$H$104*Input!$H$146,MAX($D$48*Input!$H$104-$D$48*Input!$H$104*Input!$H$146*(O39-1),0)),0)</f>
        <v>29.475</v>
      </c>
      <c r="P87" s="48" t="n">
        <f aca="false">IF(AND(P38=1,P39&lt;=ROUNDUP(1/Input!$H$146,0)),MIN($D$48*Input!$H$104*Input!$H$146,MAX($D$48*Input!$H$104-$D$48*Input!$H$104*Input!$H$146*(P39-1),0)),0)</f>
        <v>29.475</v>
      </c>
      <c r="Q87" s="48" t="n">
        <f aca="false">IF(AND(Q38=1,Q39&lt;=ROUNDUP(1/Input!$H$146,0)),MIN($D$48*Input!$H$104*Input!$H$146,MAX($D$48*Input!$H$104-$D$48*Input!$H$104*Input!$H$146*(Q39-1),0)),0)</f>
        <v>29.475</v>
      </c>
      <c r="R87" s="48" t="n">
        <f aca="false">IF(AND(R38=1,R39&lt;=ROUNDUP(1/Input!$H$146,0)),MIN($D$48*Input!$H$104*Input!$H$146,MAX($D$48*Input!$H$104-$D$48*Input!$H$104*Input!$H$146*(R39-1),0)),0)</f>
        <v>29.475</v>
      </c>
      <c r="S87" s="48" t="n">
        <f aca="false">IF(AND(S38=1,S39&lt;=ROUNDUP(1/Input!$H$146,0)),MIN($D$48*Input!$H$104*Input!$H$146,MAX($D$48*Input!$H$104-$D$48*Input!$H$104*Input!$H$146*(S39-1),0)),0)</f>
        <v>29.475</v>
      </c>
      <c r="T87" s="48" t="n">
        <f aca="false">IF(AND(T38=1,T39&lt;=ROUNDUP(1/Input!$H$146,0)),MIN($D$48*Input!$H$104*Input!$H$146,MAX($D$48*Input!$H$104-$D$48*Input!$H$104*Input!$H$146*(T39-1),0)),0)</f>
        <v>29.475</v>
      </c>
      <c r="U87" s="48" t="n">
        <f aca="false">IF(AND(U38=1,U39&lt;=ROUNDUP(1/Input!$H$146,0)),MIN($D$48*Input!$H$104*Input!$H$146,MAX($D$48*Input!$H$104-$D$48*Input!$H$104*Input!$H$146*(U39-1),0)),0)</f>
        <v>0</v>
      </c>
      <c r="V87" s="48" t="n">
        <f aca="false">IF(AND(V38=1,V39&lt;=ROUNDUP(1/Input!$H$146,0)),MIN($D$48*Input!$H$104*Input!$H$146,MAX($D$48*Input!$H$104-$D$48*Input!$H$104*Input!$H$146*(V39-1),0)),0)</f>
        <v>0</v>
      </c>
      <c r="W87" s="48" t="n">
        <f aca="false">IF(AND(W38=1,W39&lt;=ROUNDUP(1/Input!$H$146,0)),MIN($D$48*Input!$H$104*Input!$H$146,MAX($D$48*Input!$H$104-$D$48*Input!$H$104*Input!$H$146*(W39-1),0)),0)</f>
        <v>0</v>
      </c>
      <c r="X87" s="48" t="n">
        <f aca="false">IF(AND(X38=1,X39&lt;=ROUNDUP(1/Input!$H$146,0)),MIN($D$48*Input!$H$104*Input!$H$146,MAX($D$48*Input!$H$104-$D$48*Input!$H$104*Input!$H$146*(X39-1),0)),0)</f>
        <v>0</v>
      </c>
      <c r="Y87" s="48" t="n">
        <f aca="false">IF(AND(Y38=1,Y39&lt;=ROUNDUP(1/Input!$H$146,0)),MIN($D$48*Input!$H$104*Input!$H$146,MAX($D$48*Input!$H$104-$D$48*Input!$H$104*Input!$H$146*(Y39-1),0)),0)</f>
        <v>0</v>
      </c>
      <c r="Z87" s="48" t="n">
        <f aca="false">IF(AND(Z38=1,Z39&lt;=ROUNDUP(1/Input!$H$146,0)),MIN($D$48*Input!$H$104*Input!$H$146,MAX($D$48*Input!$H$104-$D$48*Input!$H$104*Input!$H$146*(Z39-1),0)),0)</f>
        <v>0</v>
      </c>
      <c r="AA87" s="48" t="n">
        <f aca="false">IF(AND(AA38=1,AA39&lt;=ROUNDUP(1/Input!$H$146,0)),MIN($D$48*Input!$H$104*Input!$H$146,MAX($D$48*Input!$H$104-$D$48*Input!$H$104*Input!$H$146*(AA39-1),0)),0)</f>
        <v>0</v>
      </c>
      <c r="AB87" s="48" t="n">
        <f aca="false">IF(AND(AB38=1,AB39&lt;=ROUNDUP(1/Input!$H$146,0)),MIN($D$48*Input!$H$104*Input!$H$146,MAX($D$48*Input!$H$104-$D$48*Input!$H$104*Input!$H$146*(AB39-1),0)),0)</f>
        <v>0</v>
      </c>
      <c r="AC87" s="48" t="n">
        <f aca="false">IF(AND(AC38=1,AC39&lt;=ROUNDUP(1/Input!$H$146,0)),MIN($D$48*Input!$H$104*Input!$H$146,MAX($D$48*Input!$H$104-$D$48*Input!$H$104*Input!$H$146*(AC39-1),0)),0)</f>
        <v>0</v>
      </c>
      <c r="AD87" s="48" t="n">
        <f aca="false">IF(AND(AD38=1,AD39&lt;=ROUNDUP(1/Input!$H$146,0)),MIN($D$48*Input!$H$104*Input!$H$146,MAX($D$48*Input!$H$104-$D$48*Input!$H$104*Input!$H$146*(AD39-1),0)),0)</f>
        <v>0</v>
      </c>
      <c r="AE87" s="48" t="n">
        <f aca="false">IF(AND(AE38=1,AE39&lt;=ROUNDUP(1/Input!$H$146,0)),MIN($D$48*Input!$H$104*Input!$H$146,MAX($D$48*Input!$H$104-$D$48*Input!$H$104*Input!$H$146*(AE39-1),0)),0)</f>
        <v>0</v>
      </c>
      <c r="AF87" s="48" t="n">
        <f aca="false">IF(AND(AF38=1,AF39&lt;=ROUNDUP(1/Input!$H$146,0)),MIN($D$48*Input!$H$104*Input!$H$146,MAX($D$48*Input!$H$104-$D$48*Input!$H$104*Input!$H$146*(AF39-1),0)),0)</f>
        <v>0</v>
      </c>
      <c r="AG87" s="48" t="n">
        <f aca="false">IF(AND(AG38=1,AG39&lt;=ROUNDUP(1/Input!$H$146,0)),MIN($D$48*Input!$H$104*Input!$H$146,MAX($D$48*Input!$H$104-$D$48*Input!$H$104*Input!$H$146*(AG39-1),0)),0)</f>
        <v>0</v>
      </c>
      <c r="AH87" s="48" t="n">
        <f aca="false">IF(AND(AH38=1,AH39&lt;=ROUNDUP(1/Input!$H$146,0)),MIN($D$48*Input!$H$104*Input!$H$146,MAX($D$48*Input!$H$104-$D$48*Input!$H$104*Input!$H$146*(AH39-1),0)),0)</f>
        <v>0</v>
      </c>
      <c r="AI87" s="48" t="n">
        <f aca="false">IF(AND(AI38=1,AI39&lt;=ROUNDUP(1/Input!$H$146,0)),MIN($D$48*Input!$H$104*Input!$H$146,MAX($D$48*Input!$H$104-$D$48*Input!$H$104*Input!$H$146*(AI39-1),0)),0)</f>
        <v>0</v>
      </c>
      <c r="AJ87" s="48" t="n">
        <f aca="false">IF(AND(AJ38=1,AJ39&lt;=ROUNDUP(1/Input!$H$146,0)),MIN($D$48*Input!$H$104*Input!$H$146,MAX($D$48*Input!$H$104-$D$48*Input!$H$104*Input!$H$146*(AJ39-1),0)),0)</f>
        <v>0</v>
      </c>
      <c r="AK87" s="48" t="n">
        <f aca="false">IF(AND(AK38=1,AK39&lt;=ROUNDUP(1/Input!$H$146,0)),MIN($D$48*Input!$H$104*Input!$H$146,MAX($D$48*Input!$H$104-$D$48*Input!$H$104*Input!$H$146*(AK39-1),0)),0)</f>
        <v>0</v>
      </c>
      <c r="AL87" s="48" t="n">
        <f aca="false">IF(AND(AL38=1,AL39&lt;=ROUNDUP(1/Input!$H$146,0)),MIN($D$48*Input!$H$104*Input!$H$146,MAX($D$48*Input!$H$104-$D$48*Input!$H$104*Input!$H$146*(AL39-1),0)),0)</f>
        <v>0</v>
      </c>
      <c r="AM87" s="48" t="n">
        <f aca="false">IF(AND(AM38=1,AM39&lt;=ROUNDUP(1/Input!$H$146,0)),MIN($D$48*Input!$H$104*Input!$H$146,MAX($D$48*Input!$H$104-$D$48*Input!$H$104*Input!$H$146*(AM39-1),0)),0)</f>
        <v>0</v>
      </c>
      <c r="AN87" s="48" t="n">
        <f aca="false">IF(AND(AN38=1,AN39&lt;=ROUNDUP(1/Input!$H$146,0)),MIN($D$48*Input!$H$104*Input!$H$146,MAX($D$48*Input!$H$104-$D$48*Input!$H$104*Input!$H$146*(AN39-1),0)),0)</f>
        <v>0</v>
      </c>
      <c r="AO87" s="48" t="n">
        <f aca="false">IF(AND(AO38=1,AO39&lt;=ROUNDUP(1/Input!$H$146,0)),MIN($D$48*Input!$H$104*Input!$H$146,MAX($D$48*Input!$H$104-$D$48*Input!$H$104*Input!$H$146*(AO39-1),0)),0)</f>
        <v>0</v>
      </c>
      <c r="AP87" s="48" t="n">
        <f aca="false">IF(AND(AP38=1,AP39&lt;=ROUNDUP(1/Input!$H$146,0)),MIN($D$48*Input!$H$104*Input!$H$146,MAX($D$48*Input!$H$104-$D$48*Input!$H$104*Input!$H$146*(AP39-1),0)),0)</f>
        <v>0</v>
      </c>
      <c r="AQ87" s="48" t="n">
        <f aca="false">IF(AND(AQ38=1,AQ39&lt;=ROUNDUP(1/Input!$H$146,0)),MIN($D$48*Input!$H$104*Input!$H$146,MAX($D$48*Input!$H$104-$D$48*Input!$H$104*Input!$H$146*(AQ39-1),0)),0)</f>
        <v>0</v>
      </c>
      <c r="AR87" s="48" t="n">
        <f aca="false">IF(AND(AR38=1,AR39&lt;=ROUNDUP(1/Input!$H$146,0)),MIN($D$48*Input!$H$104*Input!$H$146,MAX($D$48*Input!$H$104-$D$48*Input!$H$104*Input!$H$146*(AR39-1),0)),0)</f>
        <v>0</v>
      </c>
      <c r="AS87" s="48" t="n">
        <f aca="false">IF(AND(AS38=1,AS39&lt;=ROUNDUP(1/Input!$H$146,0)),MIN($D$48*Input!$H$104*Input!$H$146,MAX($D$48*Input!$H$104-$D$48*Input!$H$104*Input!$H$146*(AS39-1),0)),0)</f>
        <v>0</v>
      </c>
      <c r="AT87" s="48" t="n">
        <f aca="false">IF(AND(AT38=1,AT39&lt;=ROUNDUP(1/Input!$H$146,0)),MIN($D$48*Input!$H$104*Input!$H$146,MAX($D$48*Input!$H$104-$D$48*Input!$H$104*Input!$H$146*(AT39-1),0)),0)</f>
        <v>0</v>
      </c>
      <c r="AU87" s="48" t="n">
        <f aca="false">IF(AND(AU38=1,AU39&lt;=ROUNDUP(1/Input!$H$146,0)),MIN($D$48*Input!$H$104*Input!$H$146,MAX($D$48*Input!$H$104-$D$48*Input!$H$104*Input!$H$146*(AU39-1),0)),0)</f>
        <v>0</v>
      </c>
      <c r="AV87" s="48" t="n">
        <f aca="false">IF(AND(AV38=1,AV39&lt;=ROUNDUP(1/Input!$H$146,0)),MIN($D$48*Input!$H$104*Input!$H$146,MAX($D$48*Input!$H$104-$D$48*Input!$H$104*Input!$H$146*(AV39-1),0)),0)</f>
        <v>0</v>
      </c>
      <c r="AW87" s="48" t="n">
        <f aca="false">IF(AND(AW38=1,AW39&lt;=ROUNDUP(1/Input!$H$146,0)),MIN($D$48*Input!$H$104*Input!$H$146,MAX($D$48*Input!$H$104-$D$48*Input!$H$104*Input!$H$146*(AW39-1),0)),0)</f>
        <v>0</v>
      </c>
      <c r="AX87" s="48" t="n">
        <f aca="false">IF(AND(AX38=1,AX39&lt;=ROUNDUP(1/Input!$H$146,0)),MIN($D$48*Input!$H$104*Input!$H$146,MAX($D$48*Input!$H$104-$D$48*Input!$H$104*Input!$H$146*(AX39-1),0)),0)</f>
        <v>0</v>
      </c>
      <c r="AY87" s="48" t="n">
        <f aca="false">IF(AND(AY38=1,AY39&lt;=ROUNDUP(1/Input!$H$146,0)),MIN($D$48*Input!$H$104*Input!$H$146,MAX($D$48*Input!$H$104-$D$48*Input!$H$104*Input!$H$146*(AY39-1),0)),0)</f>
        <v>0</v>
      </c>
      <c r="AZ87" s="48" t="n">
        <f aca="false">IF(AND(AZ38=1,AZ39&lt;=ROUNDUP(1/Input!$H$146,0)),MIN($D$48*Input!$H$104*Input!$H$146,MAX($D$48*Input!$H$104-$D$48*Input!$H$104*Input!$H$146*(AZ39-1),0)),0)</f>
        <v>0</v>
      </c>
      <c r="BA87" s="48" t="n">
        <f aca="false">IF(AND(BA38=1,BA39&lt;=ROUNDUP(1/Input!$H$146,0)),MIN($D$48*Input!$H$104*Input!$H$146,MAX($D$48*Input!$H$104-$D$48*Input!$H$104*Input!$H$146*(BA39-1),0)),0)</f>
        <v>0</v>
      </c>
      <c r="BB87" s="48" t="n">
        <f aca="false">IF(AND(BB38=1,BB39&lt;=ROUNDUP(1/Input!$H$146,0)),MIN($D$48*Input!$H$104*Input!$H$146,MAX($D$48*Input!$H$104-$D$48*Input!$H$104*Input!$H$146*(BB39-1),0)),0)</f>
        <v>0</v>
      </c>
      <c r="BC87" s="48" t="n">
        <f aca="false">IF(AND(BC38=1,BC39&lt;=ROUNDUP(1/Input!$H$146,0)),MIN($D$48*Input!$H$104*Input!$H$146,MAX($D$48*Input!$H$104-$D$48*Input!$H$104*Input!$H$146*(BC39-1),0)),0)</f>
        <v>0</v>
      </c>
      <c r="BD87" s="48" t="n">
        <f aca="false">IF(AND(BD38=1,BD39&lt;=ROUNDUP(1/Input!$H$146,0)),MIN($D$48*Input!$H$104*Input!$H$146,MAX($D$48*Input!$H$104-$D$48*Input!$H$104*Input!$H$146*(BD39-1),0)),0)</f>
        <v>0</v>
      </c>
      <c r="BE87" s="48" t="n">
        <f aca="false">IF(AND(BE38=1,BE39&lt;=ROUNDUP(1/Input!$H$146,0)),MIN($D$48*Input!$H$104*Input!$H$146,MAX($D$48*Input!$H$104-$D$48*Input!$H$104*Input!$H$146*(BE39-1),0)),0)</f>
        <v>0</v>
      </c>
      <c r="BF87" s="48" t="n">
        <f aca="false">IF(AND(BF38=1,BF39&lt;=ROUNDUP(1/Input!$H$146,0)),MIN($D$48*Input!$H$104*Input!$H$146,MAX($D$48*Input!$H$104-$D$48*Input!$H$104*Input!$H$146*(BF39-1),0)),0)</f>
        <v>0</v>
      </c>
      <c r="BG87" s="48" t="n">
        <f aca="false">IF(AND(BG38=1,BG39&lt;=ROUNDUP(1/Input!$H$146,0)),MIN($D$48*Input!$H$104*Input!$H$146,MAX($D$48*Input!$H$104-$D$48*Input!$H$104*Input!$H$146*(BG39-1),0)),0)</f>
        <v>0</v>
      </c>
      <c r="BH87" s="48" t="n">
        <f aca="false">IF(AND(BH38=1,BH39&lt;=ROUNDUP(1/Input!$H$146,0)),MIN($D$48*Input!$H$104*Input!$H$146,MAX($D$48*Input!$H$104-$D$48*Input!$H$104*Input!$H$146*(BH39-1),0)),0)</f>
        <v>0</v>
      </c>
      <c r="BI87" s="48" t="n">
        <f aca="false">IF(AND(BI38=1,BI39&lt;=ROUNDUP(1/Input!$H$146,0)),MIN($D$48*Input!$H$104*Input!$H$146,MAX($D$48*Input!$H$104-$D$48*Input!$H$104*Input!$H$146*(BI39-1),0)),0)</f>
        <v>0</v>
      </c>
      <c r="BJ87" s="48" t="n">
        <f aca="false">IF(AND(BJ38=1,BJ39&lt;=ROUNDUP(1/Input!$H$146,0)),MIN($D$48*Input!$H$104*Input!$H$146,MAX($D$48*Input!$H$104-$D$48*Input!$H$104*Input!$H$146*(BJ39-1),0)),0)</f>
        <v>0</v>
      </c>
      <c r="BK87" s="48" t="n">
        <f aca="false">IF(AND(BK38=1,BK39&lt;=ROUNDUP(1/Input!$H$146,0)),MIN($D$48*Input!$H$104*Input!$H$146,MAX($D$48*Input!$H$104-$D$48*Input!$H$104*Input!$H$146*(BK39-1),0)),0)</f>
        <v>0</v>
      </c>
      <c r="BL87" s="48" t="n">
        <f aca="false">IF(AND(BL38=1,BL39&lt;=ROUNDUP(1/Input!$H$146,0)),MIN($D$48*Input!$H$104*Input!$H$146,MAX($D$48*Input!$H$104-$D$48*Input!$H$104*Input!$H$146*(BL39-1),0)),0)</f>
        <v>0</v>
      </c>
      <c r="BM87" s="48" t="n">
        <f aca="false">IF(AND(BM38=1,BM39&lt;=ROUNDUP(1/Input!$H$146,0)),MIN($D$48*Input!$H$104*Input!$H$146,MAX($D$48*Input!$H$104-$D$48*Input!$H$104*Input!$H$146*(BM39-1),0)),0)</f>
        <v>0</v>
      </c>
      <c r="BN87" s="48" t="n">
        <f aca="false">IF(AND(BN38=1,BN39&lt;=ROUNDUP(1/Input!$H$146,0)),MIN($D$48*Input!$H$104*Input!$H$146,MAX($D$48*Input!$H$104-$D$48*Input!$H$104*Input!$H$146*(BN39-1),0)),0)</f>
        <v>0</v>
      </c>
      <c r="BO87" s="48" t="n">
        <f aca="false">IF(AND(BO38=1,BO39&lt;=ROUNDUP(1/Input!$H$146,0)),MIN($D$48*Input!$H$104*Input!$H$146,MAX($D$48*Input!$H$104-$D$48*Input!$H$104*Input!$H$146*(BO39-1),0)),0)</f>
        <v>0</v>
      </c>
      <c r="BP87" s="48" t="n">
        <f aca="false">IF(AND(BP38=1,BP39&lt;=ROUNDUP(1/Input!$H$146,0)),MIN($D$48*Input!$H$104*Input!$H$146,MAX($D$48*Input!$H$104-$D$48*Input!$H$104*Input!$H$146*(BP39-1),0)),0)</f>
        <v>0</v>
      </c>
      <c r="BQ87" s="48" t="n">
        <f aca="false">IF(AND(BQ38=1,BQ39&lt;=ROUNDUP(1/Input!$H$146,0)),MIN($D$48*Input!$H$104*Input!$H$146,MAX($D$48*Input!$H$104-$D$48*Input!$H$104*Input!$H$146*(BQ39-1),0)),0)</f>
        <v>0</v>
      </c>
      <c r="BR87" s="48" t="n">
        <f aca="false">IF(AND(BR38=1,BR39&lt;=ROUNDUP(1/Input!$H$146,0)),MIN($D$48*Input!$H$104*Input!$H$146,MAX($D$48*Input!$H$104-$D$48*Input!$H$104*Input!$H$146*(BR39-1),0)),0)</f>
        <v>0</v>
      </c>
      <c r="BS87" s="48" t="n">
        <f aca="false">IF(AND(BS38=1,BS39&lt;=ROUNDUP(1/Input!$H$146,0)),MIN($D$48*Input!$H$104*Input!$H$146,MAX($D$48*Input!$H$104-$D$48*Input!$H$104*Input!$H$146*(BS39-1),0)),0)</f>
        <v>0</v>
      </c>
      <c r="BT87" s="48" t="n">
        <f aca="false">IF(AND(BT38=1,BT39&lt;=ROUNDUP(1/Input!$H$146,0)),MIN($D$48*Input!$H$104*Input!$H$146,MAX($D$48*Input!$H$104-$D$48*Input!$H$104*Input!$H$146*(BT39-1),0)),0)</f>
        <v>0</v>
      </c>
      <c r="BU87" s="48" t="n">
        <f aca="false">IF(AND(BU38=1,BU39&lt;=ROUNDUP(1/Input!$H$146,0)),MIN($D$48*Input!$H$104*Input!$H$146,MAX($D$48*Input!$H$104-$D$48*Input!$H$104*Input!$H$146*(BU39-1),0)),0)</f>
        <v>0</v>
      </c>
      <c r="BV87" s="48" t="n">
        <f aca="false">IF(AND(BV38=1,BV39&lt;=ROUNDUP(1/Input!$H$146,0)),MIN($D$48*Input!$H$104*Input!$H$146,MAX($D$48*Input!$H$104-$D$48*Input!$H$104*Input!$H$146*(BV39-1),0)),0)</f>
        <v>0</v>
      </c>
      <c r="BW87" s="48" t="n">
        <f aca="false">IF(AND(BW38=1,BW39&lt;=ROUNDUP(1/Input!$H$146,0)),MIN($D$48*Input!$H$104*Input!$H$146,MAX($D$48*Input!$H$104-$D$48*Input!$H$104*Input!$H$146*(BW39-1),0)),0)</f>
        <v>0</v>
      </c>
      <c r="BX87" s="48" t="n">
        <f aca="false">IF(AND(BX38=1,BX39&lt;=ROUNDUP(1/Input!$H$146,0)),MIN($D$48*Input!$H$104*Input!$H$146,MAX($D$48*Input!$H$104-$D$48*Input!$H$104*Input!$H$146*(BX39-1),0)),0)</f>
        <v>0</v>
      </c>
    </row>
    <row r="88" customFormat="false" ht="15" hidden="false" customHeight="false" outlineLevel="0" collapsed="false">
      <c r="A88" s="1"/>
      <c r="B88" s="4" t="s">
        <v>353</v>
      </c>
      <c r="C88" s="8" t="s">
        <v>126</v>
      </c>
      <c r="D88" s="44" t="n">
        <f aca="false">SUM(G88:BX88)</f>
        <v>1891.3125</v>
      </c>
      <c r="E88" s="1"/>
      <c r="F88" s="1"/>
      <c r="G88" s="44" t="n">
        <f aca="false">G84+G85+G86+G87</f>
        <v>0</v>
      </c>
      <c r="H88" s="44" t="n">
        <f aca="false">H84+H85+H86+H87</f>
        <v>0</v>
      </c>
      <c r="I88" s="44" t="n">
        <f aca="false">I84+I85+I86+I87</f>
        <v>0</v>
      </c>
      <c r="J88" s="44" t="n">
        <f aca="false">J84+J85+J86+J87</f>
        <v>0</v>
      </c>
      <c r="K88" s="44" t="n">
        <f aca="false">K84+K85+K86+K87</f>
        <v>128.21625</v>
      </c>
      <c r="L88" s="44" t="n">
        <f aca="false">L84+L85+L86+L87</f>
        <v>128.21625</v>
      </c>
      <c r="M88" s="44" t="n">
        <f aca="false">M84+M85+M86+M87</f>
        <v>128.21625</v>
      </c>
      <c r="N88" s="44" t="n">
        <f aca="false">N84+N85+N86+N87</f>
        <v>128.21625</v>
      </c>
      <c r="O88" s="44" t="n">
        <f aca="false">O84+O85+O86+O87</f>
        <v>128.21625</v>
      </c>
      <c r="P88" s="44" t="n">
        <f aca="false">P84+P85+P86+P87</f>
        <v>128.21625</v>
      </c>
      <c r="Q88" s="44" t="n">
        <f aca="false">Q84+Q85+Q86+Q87</f>
        <v>128.21625</v>
      </c>
      <c r="R88" s="44" t="n">
        <f aca="false">R84+R85+R86+R87</f>
        <v>128.21625</v>
      </c>
      <c r="S88" s="44" t="n">
        <f aca="false">S84+S85+S86+S87</f>
        <v>128.21625</v>
      </c>
      <c r="T88" s="44" t="n">
        <f aca="false">T84+T85+T86+T87</f>
        <v>128.21625</v>
      </c>
      <c r="U88" s="44" t="n">
        <f aca="false">U84+U85+U86+U87</f>
        <v>98.74125</v>
      </c>
      <c r="V88" s="44" t="n">
        <f aca="false">V84+V85+V86+V87</f>
        <v>98.74125</v>
      </c>
      <c r="W88" s="44" t="n">
        <f aca="false">W84+W85+W86+W87</f>
        <v>98.74125</v>
      </c>
      <c r="X88" s="44" t="n">
        <f aca="false">X84+X85+X86+X87</f>
        <v>98.74125</v>
      </c>
      <c r="Y88" s="44" t="n">
        <f aca="false">Y84+Y85+Y86+Y87</f>
        <v>39.7912499999999</v>
      </c>
      <c r="Z88" s="44" t="n">
        <f aca="false">Z84+Z85+Z86+Z87</f>
        <v>16.21125</v>
      </c>
      <c r="AA88" s="44" t="n">
        <f aca="false">AA84+AA85+AA86+AA87</f>
        <v>16.21125</v>
      </c>
      <c r="AB88" s="44" t="n">
        <f aca="false">AB84+AB85+AB86+AB87</f>
        <v>16.21125</v>
      </c>
      <c r="AC88" s="44" t="n">
        <f aca="false">AC84+AC85+AC86+AC87</f>
        <v>16.21125</v>
      </c>
      <c r="AD88" s="44" t="n">
        <f aca="false">AD84+AD85+AD86+AD87</f>
        <v>16.21125</v>
      </c>
      <c r="AE88" s="44" t="n">
        <f aca="false">AE84+AE85+AE86+AE87</f>
        <v>16.21125</v>
      </c>
      <c r="AF88" s="44" t="n">
        <f aca="false">AF84+AF85+AF86+AF87</f>
        <v>16.21125</v>
      </c>
      <c r="AG88" s="44" t="n">
        <f aca="false">AG84+AG85+AG86+AG87</f>
        <v>9.33375</v>
      </c>
      <c r="AH88" s="44" t="n">
        <f aca="false">AH84+AH85+AH86+AH87</f>
        <v>7.36875</v>
      </c>
      <c r="AI88" s="44" t="n">
        <f aca="false">AI84+AI85+AI86+AI87</f>
        <v>7.36875</v>
      </c>
      <c r="AJ88" s="44" t="n">
        <f aca="false">AJ84+AJ85+AJ86+AJ87</f>
        <v>7.36875</v>
      </c>
      <c r="AK88" s="44" t="n">
        <f aca="false">AK84+AK85+AK86+AK87</f>
        <v>7.36875</v>
      </c>
      <c r="AL88" s="44" t="n">
        <f aca="false">AL84+AL85+AL86+AL87</f>
        <v>7.36875</v>
      </c>
      <c r="AM88" s="44" t="n">
        <f aca="false">AM84+AM85+AM86+AM87</f>
        <v>7.36875</v>
      </c>
      <c r="AN88" s="44" t="n">
        <f aca="false">AN84+AN85+AN86+AN87</f>
        <v>7.36875</v>
      </c>
      <c r="AO88" s="44" t="n">
        <f aca="false">AO84+AO85+AO86+AO87</f>
        <v>0</v>
      </c>
      <c r="AP88" s="44" t="n">
        <f aca="false">AP84+AP85+AP86+AP87</f>
        <v>0</v>
      </c>
      <c r="AQ88" s="44" t="n">
        <f aca="false">AQ84+AQ85+AQ86+AQ87</f>
        <v>0</v>
      </c>
      <c r="AR88" s="44" t="n">
        <f aca="false">AR84+AR85+AR86+AR87</f>
        <v>0</v>
      </c>
      <c r="AS88" s="44" t="n">
        <f aca="false">AS84+AS85+AS86+AS87</f>
        <v>0</v>
      </c>
      <c r="AT88" s="44" t="n">
        <f aca="false">AT84+AT85+AT86+AT87</f>
        <v>0</v>
      </c>
      <c r="AU88" s="44" t="n">
        <f aca="false">AU84+AU85+AU86+AU87</f>
        <v>0</v>
      </c>
      <c r="AV88" s="44" t="n">
        <f aca="false">AV84+AV85+AV86+AV87</f>
        <v>0</v>
      </c>
      <c r="AW88" s="44" t="n">
        <f aca="false">AW84+AW85+AW86+AW87</f>
        <v>0</v>
      </c>
      <c r="AX88" s="44" t="n">
        <f aca="false">AX84+AX85+AX86+AX87</f>
        <v>0</v>
      </c>
      <c r="AY88" s="44" t="n">
        <f aca="false">AY84+AY85+AY86+AY87</f>
        <v>0</v>
      </c>
      <c r="AZ88" s="44" t="n">
        <f aca="false">AZ84+AZ85+AZ86+AZ87</f>
        <v>0</v>
      </c>
      <c r="BA88" s="44" t="n">
        <f aca="false">BA84+BA85+BA86+BA87</f>
        <v>0</v>
      </c>
      <c r="BB88" s="44" t="n">
        <f aca="false">BB84+BB85+BB86+BB87</f>
        <v>0</v>
      </c>
      <c r="BC88" s="44" t="n">
        <f aca="false">BC84+BC85+BC86+BC87</f>
        <v>0</v>
      </c>
      <c r="BD88" s="44" t="n">
        <f aca="false">BD84+BD85+BD86+BD87</f>
        <v>0</v>
      </c>
      <c r="BE88" s="44" t="n">
        <f aca="false">BE84+BE85+BE86+BE87</f>
        <v>0</v>
      </c>
      <c r="BF88" s="44" t="n">
        <f aca="false">BF84+BF85+BF86+BF87</f>
        <v>0</v>
      </c>
      <c r="BG88" s="44" t="n">
        <f aca="false">BG84+BG85+BG86+BG87</f>
        <v>0</v>
      </c>
      <c r="BH88" s="44" t="n">
        <f aca="false">BH84+BH85+BH86+BH87</f>
        <v>0</v>
      </c>
      <c r="BI88" s="44" t="n">
        <f aca="false">BI84+BI85+BI86+BI87</f>
        <v>0</v>
      </c>
      <c r="BJ88" s="44" t="n">
        <f aca="false">BJ84+BJ85+BJ86+BJ87</f>
        <v>0</v>
      </c>
      <c r="BK88" s="44" t="n">
        <f aca="false">BK84+BK85+BK86+BK87</f>
        <v>0</v>
      </c>
      <c r="BL88" s="44" t="n">
        <f aca="false">BL84+BL85+BL86+BL87</f>
        <v>0</v>
      </c>
      <c r="BM88" s="44" t="n">
        <f aca="false">BM84+BM85+BM86+BM87</f>
        <v>0</v>
      </c>
      <c r="BN88" s="44" t="n">
        <f aca="false">BN84+BN85+BN86+BN87</f>
        <v>0</v>
      </c>
      <c r="BO88" s="44" t="n">
        <f aca="false">BO84+BO85+BO86+BO87</f>
        <v>0</v>
      </c>
      <c r="BP88" s="44" t="n">
        <f aca="false">BP84+BP85+BP86+BP87</f>
        <v>0</v>
      </c>
      <c r="BQ88" s="44" t="n">
        <f aca="false">BQ84+BQ85+BQ86+BQ87</f>
        <v>0</v>
      </c>
      <c r="BR88" s="44" t="n">
        <f aca="false">BR84+BR85+BR86+BR87</f>
        <v>0</v>
      </c>
      <c r="BS88" s="44" t="n">
        <f aca="false">BS84+BS85+BS86+BS87</f>
        <v>0</v>
      </c>
      <c r="BT88" s="44" t="n">
        <f aca="false">BT84+BT85+BT86+BT87</f>
        <v>0</v>
      </c>
      <c r="BU88" s="44" t="n">
        <f aca="false">BU84+BU85+BU86+BU87</f>
        <v>0</v>
      </c>
      <c r="BV88" s="44" t="n">
        <f aca="false">BV84+BV85+BV86+BV87</f>
        <v>0</v>
      </c>
      <c r="BW88" s="44" t="n">
        <f aca="false">BW84+BW85+BW86+BW87</f>
        <v>0</v>
      </c>
      <c r="BX88" s="44" t="n">
        <f aca="false">BX84+BX85+BX86+BX87</f>
        <v>0</v>
      </c>
    </row>
    <row r="89" customFormat="false" ht="15" hidden="false" customHeight="false" outlineLevel="0" collapsed="false">
      <c r="A89" s="1"/>
      <c r="B89" s="8" t="s">
        <v>354</v>
      </c>
      <c r="C89" s="8" t="s">
        <v>126</v>
      </c>
      <c r="D89" s="44" t="n">
        <f aca="false">SUM(G89:BX89)</f>
        <v>-1836.40011345393</v>
      </c>
      <c r="E89" s="1"/>
      <c r="F89" s="1"/>
      <c r="G89" s="48" t="n">
        <f aca="false">G80-G88-G81</f>
        <v>0</v>
      </c>
      <c r="H89" s="48" t="n">
        <f aca="false">H80-H88-H81</f>
        <v>0</v>
      </c>
      <c r="I89" s="48" t="n">
        <f aca="false">I80-I88-I81</f>
        <v>0</v>
      </c>
      <c r="J89" s="48" t="n">
        <f aca="false">J80-J88-J81</f>
        <v>0</v>
      </c>
      <c r="K89" s="48" t="n">
        <f aca="false">K80-K88-K81</f>
        <v>-79.2454270851196</v>
      </c>
      <c r="L89" s="48" t="n">
        <f aca="false">L80-L88-L81</f>
        <v>-87.8522177919977</v>
      </c>
      <c r="M89" s="48" t="n">
        <f aca="false">M80-M88-M81</f>
        <v>-96.4156333833296</v>
      </c>
      <c r="N89" s="48" t="n">
        <f aca="false">N80-N88-N81</f>
        <v>-104.227276293816</v>
      </c>
      <c r="O89" s="48" t="n">
        <f aca="false">O80-O88-O81</f>
        <v>-110.952709160555</v>
      </c>
      <c r="P89" s="48" t="n">
        <f aca="false">P80-P88-P81</f>
        <v>-114.453290579163</v>
      </c>
      <c r="Q89" s="48" t="n">
        <f aca="false">Q80-Q88-Q81</f>
        <v>-117.719368878249</v>
      </c>
      <c r="R89" s="48" t="n">
        <f aca="false">R80-R88-R81</f>
        <v>-120.806497997042</v>
      </c>
      <c r="S89" s="48" t="n">
        <f aca="false">S80-S88-S81</f>
        <v>-123.729515220644</v>
      </c>
      <c r="T89" s="48" t="n">
        <f aca="false">T80-T88-T81</f>
        <v>-126.404004620574</v>
      </c>
      <c r="U89" s="48" t="n">
        <f aca="false">U80-U88-U81</f>
        <v>-97.6342420444776</v>
      </c>
      <c r="V89" s="48" t="n">
        <f aca="false">V80-V88-V81</f>
        <v>-98.2122105532052</v>
      </c>
      <c r="W89" s="48" t="n">
        <f aca="false">W80-W88-W81</f>
        <v>-98.8705258380299</v>
      </c>
      <c r="X89" s="48" t="n">
        <f aca="false">X80-X88-X81</f>
        <v>-99.4787586116445</v>
      </c>
      <c r="Y89" s="48" t="n">
        <f aca="false">Y80-Y88-Y81</f>
        <v>-41.1320849411657</v>
      </c>
      <c r="Z89" s="48" t="n">
        <f aca="false">Z80-Z88-Z81</f>
        <v>-18.1010415051615</v>
      </c>
      <c r="AA89" s="48" t="n">
        <f aca="false">AA80-AA88-AA81</f>
        <v>-18.6827472218113</v>
      </c>
      <c r="AB89" s="48" t="n">
        <f aca="false">AB80-AB88-AB81</f>
        <v>-19.2305390060981</v>
      </c>
      <c r="AC89" s="48" t="n">
        <f aca="false">AC80-AC88-AC81</f>
        <v>-19.8185704741565</v>
      </c>
      <c r="AD89" s="48" t="n">
        <f aca="false">AD80-AD88-AD81</f>
        <v>-20.3980027423429</v>
      </c>
      <c r="AE89" s="48" t="n">
        <f aca="false">AE80-AE88-AE81</f>
        <v>-20.3174215822503</v>
      </c>
      <c r="AF89" s="48" t="n">
        <f aca="false">AF80-AF88-AF81</f>
        <v>-20.2127141861213</v>
      </c>
      <c r="AG89" s="48" t="n">
        <f aca="false">AG80-AG88-AG81</f>
        <v>-13.25249754576</v>
      </c>
      <c r="AH89" s="48" t="n">
        <f aca="false">AH80-AH88-AH81</f>
        <v>-11.1918279353459</v>
      </c>
      <c r="AI89" s="48" t="n">
        <f aca="false">AI80-AI88-AI81</f>
        <v>-11.1063929342547</v>
      </c>
      <c r="AJ89" s="48" t="n">
        <f aca="false">AJ80-AJ88-AJ81</f>
        <v>-10.9839529601142</v>
      </c>
      <c r="AK89" s="48" t="n">
        <f aca="false">AK80-AK88-AK81</f>
        <v>-10.909380688622</v>
      </c>
      <c r="AL89" s="48" t="n">
        <f aca="false">AL80-AL88-AL81</f>
        <v>-10.7833892466072</v>
      </c>
      <c r="AM89" s="48" t="n">
        <f aca="false">AM80-AM88-AM81</f>
        <v>-10.6970929574672</v>
      </c>
      <c r="AN89" s="48" t="n">
        <f aca="false">AN80-AN88-AN81</f>
        <v>-103.5807794688</v>
      </c>
      <c r="AO89" s="48" t="n">
        <f aca="false">AO80-AO88-AO81</f>
        <v>0</v>
      </c>
      <c r="AP89" s="48" t="n">
        <f aca="false">AP80-AP88-AP81</f>
        <v>0</v>
      </c>
      <c r="AQ89" s="48" t="n">
        <f aca="false">AQ80-AQ88-AQ81</f>
        <v>0</v>
      </c>
      <c r="AR89" s="48" t="n">
        <f aca="false">AR80-AR88-AR81</f>
        <v>0</v>
      </c>
      <c r="AS89" s="48" t="n">
        <f aca="false">AS80-AS88-AS81</f>
        <v>0</v>
      </c>
      <c r="AT89" s="48" t="n">
        <f aca="false">AT80-AT88-AT81</f>
        <v>0</v>
      </c>
      <c r="AU89" s="48" t="n">
        <f aca="false">AU80-AU88-AU81</f>
        <v>0</v>
      </c>
      <c r="AV89" s="48" t="n">
        <f aca="false">AV80-AV88-AV81</f>
        <v>0</v>
      </c>
      <c r="AW89" s="48" t="n">
        <f aca="false">AW80-AW88-AW81</f>
        <v>0</v>
      </c>
      <c r="AX89" s="48" t="n">
        <f aca="false">AX80-AX88-AX81</f>
        <v>0</v>
      </c>
      <c r="AY89" s="48" t="n">
        <f aca="false">AY80-AY88-AY81</f>
        <v>0</v>
      </c>
      <c r="AZ89" s="48" t="n">
        <f aca="false">AZ80-AZ88-AZ81</f>
        <v>0</v>
      </c>
      <c r="BA89" s="48" t="n">
        <f aca="false">BA80-BA88-BA81</f>
        <v>0</v>
      </c>
      <c r="BB89" s="48" t="n">
        <f aca="false">BB80-BB88-BB81</f>
        <v>0</v>
      </c>
      <c r="BC89" s="48" t="n">
        <f aca="false">BC80-BC88-BC81</f>
        <v>0</v>
      </c>
      <c r="BD89" s="48" t="n">
        <f aca="false">BD80-BD88-BD81</f>
        <v>0</v>
      </c>
      <c r="BE89" s="48" t="n">
        <f aca="false">BE80-BE88-BE81</f>
        <v>0</v>
      </c>
      <c r="BF89" s="48" t="n">
        <f aca="false">BF80-BF88-BF81</f>
        <v>0</v>
      </c>
      <c r="BG89" s="48" t="n">
        <f aca="false">BG80-BG88-BG81</f>
        <v>0</v>
      </c>
      <c r="BH89" s="48" t="n">
        <f aca="false">BH80-BH88-BH81</f>
        <v>0</v>
      </c>
      <c r="BI89" s="48" t="n">
        <f aca="false">BI80-BI88-BI81</f>
        <v>0</v>
      </c>
      <c r="BJ89" s="48" t="n">
        <f aca="false">BJ80-BJ88-BJ81</f>
        <v>0</v>
      </c>
      <c r="BK89" s="48" t="n">
        <f aca="false">BK80-BK88-BK81</f>
        <v>0</v>
      </c>
      <c r="BL89" s="48" t="n">
        <f aca="false">BL80-BL88-BL81</f>
        <v>0</v>
      </c>
      <c r="BM89" s="48" t="n">
        <f aca="false">BM80-BM88-BM81</f>
        <v>0</v>
      </c>
      <c r="BN89" s="48" t="n">
        <f aca="false">BN80-BN88-BN81</f>
        <v>0</v>
      </c>
      <c r="BO89" s="48" t="n">
        <f aca="false">BO80-BO88-BO81</f>
        <v>0</v>
      </c>
      <c r="BP89" s="48" t="n">
        <f aca="false">BP80-BP88-BP81</f>
        <v>0</v>
      </c>
      <c r="BQ89" s="48" t="n">
        <f aca="false">BQ80-BQ88-BQ81</f>
        <v>0</v>
      </c>
      <c r="BR89" s="48" t="n">
        <f aca="false">BR80-BR88-BR81</f>
        <v>0</v>
      </c>
      <c r="BS89" s="48" t="n">
        <f aca="false">BS80-BS88-BS81</f>
        <v>0</v>
      </c>
      <c r="BT89" s="48" t="n">
        <f aca="false">BT80-BT88-BT81</f>
        <v>0</v>
      </c>
      <c r="BU89" s="48" t="n">
        <f aca="false">BU80-BU88-BU81</f>
        <v>0</v>
      </c>
      <c r="BV89" s="48" t="n">
        <f aca="false">BV80-BV88-BV81</f>
        <v>0</v>
      </c>
      <c r="BW89" s="48" t="n">
        <f aca="false">BW80-BW88-BW81</f>
        <v>0</v>
      </c>
      <c r="BX89" s="48" t="n">
        <f aca="false">BX80-BX88-BX81</f>
        <v>0</v>
      </c>
    </row>
    <row r="90" customFormat="false" ht="15" hidden="false" customHeight="false" outlineLevel="0" collapsed="false">
      <c r="A90" s="1"/>
      <c r="B90" s="8" t="s">
        <v>355</v>
      </c>
      <c r="C90" s="8" t="s">
        <v>126</v>
      </c>
      <c r="D90" s="1"/>
      <c r="E90" s="1"/>
      <c r="F90" s="1"/>
      <c r="G90" s="48" t="n">
        <f aca="false">0</f>
        <v>0</v>
      </c>
      <c r="H90" s="48" t="n">
        <f aca="false">IF(H89&gt;0,MIN(G91,0.5*H89),0)</f>
        <v>0</v>
      </c>
      <c r="I90" s="48" t="n">
        <f aca="false">IF(I89&gt;0,MIN(H91,0.5*I89),0)</f>
        <v>0</v>
      </c>
      <c r="J90" s="48" t="n">
        <f aca="false">IF(J89&gt;0,MIN(I91,0.5*J89),0)</f>
        <v>0</v>
      </c>
      <c r="K90" s="48" t="n">
        <f aca="false">IF(K89&gt;0,MIN(J91,0.5*K89),0)</f>
        <v>0</v>
      </c>
      <c r="L90" s="48" t="n">
        <f aca="false">IF(L89&gt;0,MIN(K91,0.5*L89),0)</f>
        <v>0</v>
      </c>
      <c r="M90" s="48" t="n">
        <f aca="false">IF(M89&gt;0,MIN(L91,0.5*M89),0)</f>
        <v>0</v>
      </c>
      <c r="N90" s="48" t="n">
        <f aca="false">IF(N89&gt;0,MIN(M91,0.5*N89),0)</f>
        <v>0</v>
      </c>
      <c r="O90" s="48" t="n">
        <f aca="false">IF(O89&gt;0,MIN(N91,0.5*O89),0)</f>
        <v>0</v>
      </c>
      <c r="P90" s="48" t="n">
        <f aca="false">IF(P89&gt;0,MIN(O91,0.5*P89),0)</f>
        <v>0</v>
      </c>
      <c r="Q90" s="48" t="n">
        <f aca="false">IF(Q89&gt;0,MIN(P91,0.5*Q89),0)</f>
        <v>0</v>
      </c>
      <c r="R90" s="48" t="n">
        <f aca="false">IF(R89&gt;0,MIN(Q91,0.5*R89),0)</f>
        <v>0</v>
      </c>
      <c r="S90" s="48" t="n">
        <f aca="false">IF(S89&gt;0,MIN(R91,0.5*S89),0)</f>
        <v>0</v>
      </c>
      <c r="T90" s="48" t="n">
        <f aca="false">IF(T89&gt;0,MIN(S91,0.5*T89),0)</f>
        <v>0</v>
      </c>
      <c r="U90" s="48" t="n">
        <f aca="false">IF(U89&gt;0,MIN(T91,0.5*U89),0)</f>
        <v>0</v>
      </c>
      <c r="V90" s="48" t="n">
        <f aca="false">IF(V89&gt;0,MIN(U91,0.5*V89),0)</f>
        <v>0</v>
      </c>
      <c r="W90" s="48" t="n">
        <f aca="false">IF(W89&gt;0,MIN(V91,0.5*W89),0)</f>
        <v>0</v>
      </c>
      <c r="X90" s="48" t="n">
        <f aca="false">IF(X89&gt;0,MIN(W91,0.5*X89),0)</f>
        <v>0</v>
      </c>
      <c r="Y90" s="48" t="n">
        <f aca="false">IF(Y89&gt;0,MIN(X91,0.5*Y89),0)</f>
        <v>0</v>
      </c>
      <c r="Z90" s="48" t="n">
        <f aca="false">IF(Z89&gt;0,MIN(Y91,0.5*Z89),0)</f>
        <v>0</v>
      </c>
      <c r="AA90" s="48" t="n">
        <f aca="false">IF(AA89&gt;0,MIN(Z91,0.5*AA89),0)</f>
        <v>0</v>
      </c>
      <c r="AB90" s="48" t="n">
        <f aca="false">IF(AB89&gt;0,MIN(AA91,0.5*AB89),0)</f>
        <v>0</v>
      </c>
      <c r="AC90" s="48" t="n">
        <f aca="false">IF(AC89&gt;0,MIN(AB91,0.5*AC89),0)</f>
        <v>0</v>
      </c>
      <c r="AD90" s="48" t="n">
        <f aca="false">IF(AD89&gt;0,MIN(AC91,0.5*AD89),0)</f>
        <v>0</v>
      </c>
      <c r="AE90" s="48" t="n">
        <f aca="false">IF(AE89&gt;0,MIN(AD91,0.5*AE89),0)</f>
        <v>0</v>
      </c>
      <c r="AF90" s="48" t="n">
        <f aca="false">IF(AF89&gt;0,MIN(AE91,0.5*AF89),0)</f>
        <v>0</v>
      </c>
      <c r="AG90" s="48" t="n">
        <f aca="false">IF(AG89&gt;0,MIN(AF91,0.5*AG89),0)</f>
        <v>0</v>
      </c>
      <c r="AH90" s="48" t="n">
        <f aca="false">IF(AH89&gt;0,MIN(AG91,0.5*AH89),0)</f>
        <v>0</v>
      </c>
      <c r="AI90" s="48" t="n">
        <f aca="false">IF(AI89&gt;0,MIN(AH91,0.5*AI89),0)</f>
        <v>0</v>
      </c>
      <c r="AJ90" s="48" t="n">
        <f aca="false">IF(AJ89&gt;0,MIN(AI91,0.5*AJ89),0)</f>
        <v>0</v>
      </c>
      <c r="AK90" s="48" t="n">
        <f aca="false">IF(AK89&gt;0,MIN(AJ91,0.5*AK89),0)</f>
        <v>0</v>
      </c>
      <c r="AL90" s="48" t="n">
        <f aca="false">IF(AL89&gt;0,MIN(AK91,0.5*AL89),0)</f>
        <v>0</v>
      </c>
      <c r="AM90" s="48" t="n">
        <f aca="false">IF(AM89&gt;0,MIN(AL91,0.5*AM89),0)</f>
        <v>0</v>
      </c>
      <c r="AN90" s="48" t="n">
        <f aca="false">IF(AN89&gt;0,MIN(AM91,0.5*AN89),0)</f>
        <v>0</v>
      </c>
      <c r="AO90" s="48" t="n">
        <f aca="false">IF(AO89&gt;0,MIN(AN91,0.5*AO89),0)</f>
        <v>0</v>
      </c>
      <c r="AP90" s="48" t="n">
        <f aca="false">IF(AP89&gt;0,MIN(AO91,0.5*AP89),0)</f>
        <v>0</v>
      </c>
      <c r="AQ90" s="48" t="n">
        <f aca="false">IF(AQ89&gt;0,MIN(AP91,0.5*AQ89),0)</f>
        <v>0</v>
      </c>
      <c r="AR90" s="48" t="n">
        <f aca="false">IF(AR89&gt;0,MIN(AQ91,0.5*AR89),0)</f>
        <v>0</v>
      </c>
      <c r="AS90" s="48" t="n">
        <f aca="false">IF(AS89&gt;0,MIN(AR91,0.5*AS89),0)</f>
        <v>0</v>
      </c>
      <c r="AT90" s="48" t="n">
        <f aca="false">IF(AT89&gt;0,MIN(AS91,0.5*AT89),0)</f>
        <v>0</v>
      </c>
      <c r="AU90" s="48" t="n">
        <f aca="false">IF(AU89&gt;0,MIN(AT91,0.5*AU89),0)</f>
        <v>0</v>
      </c>
      <c r="AV90" s="48" t="n">
        <f aca="false">IF(AV89&gt;0,MIN(AU91,0.5*AV89),0)</f>
        <v>0</v>
      </c>
      <c r="AW90" s="48" t="n">
        <f aca="false">IF(AW89&gt;0,MIN(AV91,0.5*AW89),0)</f>
        <v>0</v>
      </c>
      <c r="AX90" s="48" t="n">
        <f aca="false">IF(AX89&gt;0,MIN(AW91,0.5*AX89),0)</f>
        <v>0</v>
      </c>
      <c r="AY90" s="48" t="n">
        <f aca="false">IF(AY89&gt;0,MIN(AX91,0.5*AY89),0)</f>
        <v>0</v>
      </c>
      <c r="AZ90" s="48" t="n">
        <f aca="false">IF(AZ89&gt;0,MIN(AY91,0.5*AZ89),0)</f>
        <v>0</v>
      </c>
      <c r="BA90" s="48" t="n">
        <f aca="false">IF(BA89&gt;0,MIN(AZ91,0.5*BA89),0)</f>
        <v>0</v>
      </c>
      <c r="BB90" s="48" t="n">
        <f aca="false">IF(BB89&gt;0,MIN(BA91,0.5*BB89),0)</f>
        <v>0</v>
      </c>
      <c r="BC90" s="48" t="n">
        <f aca="false">IF(BC89&gt;0,MIN(BB91,0.5*BC89),0)</f>
        <v>0</v>
      </c>
      <c r="BD90" s="48" t="n">
        <f aca="false">IF(BD89&gt;0,MIN(BC91,0.5*BD89),0)</f>
        <v>0</v>
      </c>
      <c r="BE90" s="48" t="n">
        <f aca="false">IF(BE89&gt;0,MIN(BD91,0.5*BE89),0)</f>
        <v>0</v>
      </c>
      <c r="BF90" s="48" t="n">
        <f aca="false">IF(BF89&gt;0,MIN(BE91,0.5*BF89),0)</f>
        <v>0</v>
      </c>
      <c r="BG90" s="48" t="n">
        <f aca="false">IF(BG89&gt;0,MIN(BF91,0.5*BG89),0)</f>
        <v>0</v>
      </c>
      <c r="BH90" s="48" t="n">
        <f aca="false">IF(BH89&gt;0,MIN(BG91,0.5*BH89),0)</f>
        <v>0</v>
      </c>
      <c r="BI90" s="48" t="n">
        <f aca="false">IF(BI89&gt;0,MIN(BH91,0.5*BI89),0)</f>
        <v>0</v>
      </c>
      <c r="BJ90" s="48" t="n">
        <f aca="false">IF(BJ89&gt;0,MIN(BI91,0.5*BJ89),0)</f>
        <v>0</v>
      </c>
      <c r="BK90" s="48" t="n">
        <f aca="false">IF(BK89&gt;0,MIN(BJ91,0.5*BK89),0)</f>
        <v>0</v>
      </c>
      <c r="BL90" s="48" t="n">
        <f aca="false">IF(BL89&gt;0,MIN(BK91,0.5*BL89),0)</f>
        <v>0</v>
      </c>
      <c r="BM90" s="48" t="n">
        <f aca="false">IF(BM89&gt;0,MIN(BL91,0.5*BM89),0)</f>
        <v>0</v>
      </c>
      <c r="BN90" s="48" t="n">
        <f aca="false">IF(BN89&gt;0,MIN(BM91,0.5*BN89),0)</f>
        <v>0</v>
      </c>
      <c r="BO90" s="48" t="n">
        <f aca="false">IF(BO89&gt;0,MIN(BN91,0.5*BO89),0)</f>
        <v>0</v>
      </c>
      <c r="BP90" s="48" t="n">
        <f aca="false">IF(BP89&gt;0,MIN(BO91,0.5*BP89),0)</f>
        <v>0</v>
      </c>
      <c r="BQ90" s="48" t="n">
        <f aca="false">IF(BQ89&gt;0,MIN(BP91,0.5*BQ89),0)</f>
        <v>0</v>
      </c>
      <c r="BR90" s="48" t="n">
        <f aca="false">IF(BR89&gt;0,MIN(BQ91,0.5*BR89),0)</f>
        <v>0</v>
      </c>
      <c r="BS90" s="48" t="n">
        <f aca="false">IF(BS89&gt;0,MIN(BR91,0.5*BS89),0)</f>
        <v>0</v>
      </c>
      <c r="BT90" s="48" t="n">
        <f aca="false">IF(BT89&gt;0,MIN(BS91,0.5*BT89),0)</f>
        <v>0</v>
      </c>
      <c r="BU90" s="48" t="n">
        <f aca="false">IF(BU89&gt;0,MIN(BT91,0.5*BU89),0)</f>
        <v>0</v>
      </c>
      <c r="BV90" s="48" t="n">
        <f aca="false">IF(BV89&gt;0,MIN(BU91,0.5*BV89),0)</f>
        <v>0</v>
      </c>
      <c r="BW90" s="48" t="n">
        <f aca="false">IF(BW89&gt;0,MIN(BV91,0.5*BW89),0)</f>
        <v>0</v>
      </c>
      <c r="BX90" s="48" t="n">
        <f aca="false">IF(BX89&gt;0,MIN(BW91,0.5*BX89),0)</f>
        <v>0</v>
      </c>
    </row>
    <row r="91" customFormat="false" ht="15" hidden="false" customHeight="false" outlineLevel="0" collapsed="false">
      <c r="A91" s="1"/>
      <c r="B91" s="8" t="s">
        <v>356</v>
      </c>
      <c r="C91" s="8" t="s">
        <v>126</v>
      </c>
      <c r="D91" s="1"/>
      <c r="E91" s="1"/>
      <c r="F91" s="1"/>
      <c r="G91" s="48" t="n">
        <f aca="false">MAX(-G89,0)</f>
        <v>0</v>
      </c>
      <c r="H91" s="48" t="n">
        <f aca="false">MAX(G91-H90+MAX(-H89,0),0)</f>
        <v>0</v>
      </c>
      <c r="I91" s="48" t="n">
        <f aca="false">MAX(H91-I90+MAX(-I89,0),0)</f>
        <v>0</v>
      </c>
      <c r="J91" s="48" t="n">
        <f aca="false">MAX(I91-J90+MAX(-J89,0),0)</f>
        <v>0</v>
      </c>
      <c r="K91" s="48" t="n">
        <f aca="false">MAX(J91-K90+MAX(-K89,0),0)</f>
        <v>79.2454270851196</v>
      </c>
      <c r="L91" s="48" t="n">
        <f aca="false">MAX(K91-L90+MAX(-L89,0),0)</f>
        <v>167.097644877117</v>
      </c>
      <c r="M91" s="48" t="n">
        <f aca="false">MAX(L91-M90+MAX(-M89,0),0)</f>
        <v>263.513278260447</v>
      </c>
      <c r="N91" s="48" t="n">
        <f aca="false">MAX(M91-N90+MAX(-N89,0),0)</f>
        <v>367.740554554263</v>
      </c>
      <c r="O91" s="48" t="n">
        <f aca="false">MAX(N91-O90+MAX(-O89,0),0)</f>
        <v>478.693263714818</v>
      </c>
      <c r="P91" s="48" t="n">
        <f aca="false">MAX(O91-P90+MAX(-P89,0),0)</f>
        <v>593.146554293981</v>
      </c>
      <c r="Q91" s="48" t="n">
        <f aca="false">MAX(P91-Q90+MAX(-Q89,0),0)</f>
        <v>710.865923172231</v>
      </c>
      <c r="R91" s="48" t="n">
        <f aca="false">MAX(Q91-R90+MAX(-R89,0),0)</f>
        <v>831.672421169272</v>
      </c>
      <c r="S91" s="48" t="n">
        <f aca="false">MAX(R91-S90+MAX(-S89,0),0)</f>
        <v>955.401936389916</v>
      </c>
      <c r="T91" s="48" t="n">
        <f aca="false">MAX(S91-T90+MAX(-T89,0),0)</f>
        <v>1081.80594101049</v>
      </c>
      <c r="U91" s="48" t="n">
        <f aca="false">MAX(T91-U90+MAX(-U89,0),0)</f>
        <v>1179.44018305497</v>
      </c>
      <c r="V91" s="48" t="n">
        <f aca="false">MAX(U91-V90+MAX(-V89,0),0)</f>
        <v>1277.65239360817</v>
      </c>
      <c r="W91" s="48" t="n">
        <f aca="false">MAX(V91-W90+MAX(-W89,0),0)</f>
        <v>1376.5229194462</v>
      </c>
      <c r="X91" s="48" t="n">
        <f aca="false">MAX(W91-X90+MAX(-X89,0),0)</f>
        <v>1476.00167805785</v>
      </c>
      <c r="Y91" s="48" t="n">
        <f aca="false">MAX(X91-Y90+MAX(-Y89,0),0)</f>
        <v>1517.13376299901</v>
      </c>
      <c r="Z91" s="48" t="n">
        <f aca="false">MAX(Y91-Z90+MAX(-Z89,0),0)</f>
        <v>1535.23480450417</v>
      </c>
      <c r="AA91" s="48" t="n">
        <f aca="false">MAX(Z91-AA90+MAX(-AA89,0),0)</f>
        <v>1553.91755172599</v>
      </c>
      <c r="AB91" s="48" t="n">
        <f aca="false">MAX(AA91-AB90+MAX(-AB89,0),0)</f>
        <v>1573.14809073208</v>
      </c>
      <c r="AC91" s="48" t="n">
        <f aca="false">MAX(AB91-AC90+MAX(-AC89,0),0)</f>
        <v>1592.96666120624</v>
      </c>
      <c r="AD91" s="48" t="n">
        <f aca="false">MAX(AC91-AD90+MAX(-AD89,0),0)</f>
        <v>1613.36466394858</v>
      </c>
      <c r="AE91" s="48" t="n">
        <f aca="false">MAX(AD91-AE90+MAX(-AE89,0),0)</f>
        <v>1633.68208553083</v>
      </c>
      <c r="AF91" s="48" t="n">
        <f aca="false">MAX(AE91-AF90+MAX(-AF89,0),0)</f>
        <v>1653.89479971695</v>
      </c>
      <c r="AG91" s="48" t="n">
        <f aca="false">MAX(AF91-AG90+MAX(-AG89,0),0)</f>
        <v>1667.14729726271</v>
      </c>
      <c r="AH91" s="48" t="n">
        <f aca="false">MAX(AG91-AH90+MAX(-AH89,0),0)</f>
        <v>1678.33912519806</v>
      </c>
      <c r="AI91" s="48" t="n">
        <f aca="false">MAX(AH91-AI90+MAX(-AI89,0),0)</f>
        <v>1689.44551813231</v>
      </c>
      <c r="AJ91" s="48" t="n">
        <f aca="false">MAX(AI91-AJ90+MAX(-AJ89,0),0)</f>
        <v>1700.42947109243</v>
      </c>
      <c r="AK91" s="48" t="n">
        <f aca="false">MAX(AJ91-AK90+MAX(-AK89,0),0)</f>
        <v>1711.33885178105</v>
      </c>
      <c r="AL91" s="48" t="n">
        <f aca="false">MAX(AK91-AL90+MAX(-AL89,0),0)</f>
        <v>1722.12224102766</v>
      </c>
      <c r="AM91" s="48" t="n">
        <f aca="false">MAX(AL91-AM90+MAX(-AM89,0),0)</f>
        <v>1732.81933398513</v>
      </c>
      <c r="AN91" s="48" t="n">
        <f aca="false">MAX(AM91-AN90+MAX(-AN89,0),0)</f>
        <v>1836.40011345392</v>
      </c>
      <c r="AO91" s="48" t="n">
        <f aca="false">MAX(AN91-AO90+MAX(-AO89,0),0)</f>
        <v>1836.40011345392</v>
      </c>
      <c r="AP91" s="48" t="n">
        <f aca="false">MAX(AO91-AP90+MAX(-AP89,0),0)</f>
        <v>1836.40011345392</v>
      </c>
      <c r="AQ91" s="48" t="n">
        <f aca="false">MAX(AP91-AQ90+MAX(-AQ89,0),0)</f>
        <v>1836.40011345392</v>
      </c>
      <c r="AR91" s="48" t="n">
        <f aca="false">MAX(AQ91-AR90+MAX(-AR89,0),0)</f>
        <v>1836.40011345392</v>
      </c>
      <c r="AS91" s="48" t="n">
        <f aca="false">MAX(AR91-AS90+MAX(-AS89,0),0)</f>
        <v>1836.40011345392</v>
      </c>
      <c r="AT91" s="48" t="n">
        <f aca="false">MAX(AS91-AT90+MAX(-AT89,0),0)</f>
        <v>1836.40011345392</v>
      </c>
      <c r="AU91" s="48" t="n">
        <f aca="false">MAX(AT91-AU90+MAX(-AU89,0),0)</f>
        <v>1836.40011345392</v>
      </c>
      <c r="AV91" s="48" t="n">
        <f aca="false">MAX(AU91-AV90+MAX(-AV89,0),0)</f>
        <v>1836.40011345392</v>
      </c>
      <c r="AW91" s="48" t="n">
        <f aca="false">MAX(AV91-AW90+MAX(-AW89,0),0)</f>
        <v>1836.40011345392</v>
      </c>
      <c r="AX91" s="48" t="n">
        <f aca="false">MAX(AW91-AX90+MAX(-AX89,0),0)</f>
        <v>1836.40011345392</v>
      </c>
      <c r="AY91" s="48" t="n">
        <f aca="false">MAX(AX91-AY90+MAX(-AY89,0),0)</f>
        <v>1836.40011345392</v>
      </c>
      <c r="AZ91" s="48" t="n">
        <f aca="false">MAX(AY91-AZ90+MAX(-AZ89,0),0)</f>
        <v>1836.40011345392</v>
      </c>
      <c r="BA91" s="48" t="n">
        <f aca="false">MAX(AZ91-BA90+MAX(-BA89,0),0)</f>
        <v>1836.40011345392</v>
      </c>
      <c r="BB91" s="48" t="n">
        <f aca="false">MAX(BA91-BB90+MAX(-BB89,0),0)</f>
        <v>1836.40011345392</v>
      </c>
      <c r="BC91" s="48" t="n">
        <f aca="false">MAX(BB91-BC90+MAX(-BC89,0),0)</f>
        <v>1836.40011345392</v>
      </c>
      <c r="BD91" s="48" t="n">
        <f aca="false">MAX(BC91-BD90+MAX(-BD89,0),0)</f>
        <v>1836.40011345392</v>
      </c>
      <c r="BE91" s="48" t="n">
        <f aca="false">MAX(BD91-BE90+MAX(-BE89,0),0)</f>
        <v>1836.40011345392</v>
      </c>
      <c r="BF91" s="48" t="n">
        <f aca="false">MAX(BE91-BF90+MAX(-BF89,0),0)</f>
        <v>1836.40011345392</v>
      </c>
      <c r="BG91" s="48" t="n">
        <f aca="false">MAX(BF91-BG90+MAX(-BG89,0),0)</f>
        <v>1836.40011345392</v>
      </c>
      <c r="BH91" s="48" t="n">
        <f aca="false">MAX(BG91-BH90+MAX(-BH89,0),0)</f>
        <v>1836.40011345392</v>
      </c>
      <c r="BI91" s="48" t="n">
        <f aca="false">MAX(BH91-BI90+MAX(-BI89,0),0)</f>
        <v>1836.40011345392</v>
      </c>
      <c r="BJ91" s="48" t="n">
        <f aca="false">MAX(BI91-BJ90+MAX(-BJ89,0),0)</f>
        <v>1836.40011345392</v>
      </c>
      <c r="BK91" s="48" t="n">
        <f aca="false">MAX(BJ91-BK90+MAX(-BK89,0),0)</f>
        <v>1836.40011345392</v>
      </c>
      <c r="BL91" s="48" t="n">
        <f aca="false">MAX(BK91-BL90+MAX(-BL89,0),0)</f>
        <v>1836.40011345392</v>
      </c>
      <c r="BM91" s="48" t="n">
        <f aca="false">MAX(BL91-BM90+MAX(-BM89,0),0)</f>
        <v>1836.40011345392</v>
      </c>
      <c r="BN91" s="48" t="n">
        <f aca="false">MAX(BM91-BN90+MAX(-BN89,0),0)</f>
        <v>1836.40011345392</v>
      </c>
      <c r="BO91" s="48" t="n">
        <f aca="false">MAX(BN91-BO90+MAX(-BO89,0),0)</f>
        <v>1836.40011345392</v>
      </c>
      <c r="BP91" s="48" t="n">
        <f aca="false">MAX(BO91-BP90+MAX(-BP89,0),0)</f>
        <v>1836.40011345392</v>
      </c>
      <c r="BQ91" s="48" t="n">
        <f aca="false">MAX(BP91-BQ90+MAX(-BQ89,0),0)</f>
        <v>1836.40011345392</v>
      </c>
      <c r="BR91" s="48" t="n">
        <f aca="false">MAX(BQ91-BR90+MAX(-BR89,0),0)</f>
        <v>1836.40011345392</v>
      </c>
      <c r="BS91" s="48" t="n">
        <f aca="false">MAX(BR91-BS90+MAX(-BS89,0),0)</f>
        <v>1836.40011345392</v>
      </c>
      <c r="BT91" s="48" t="n">
        <f aca="false">MAX(BS91-BT90+MAX(-BT89,0),0)</f>
        <v>1836.40011345392</v>
      </c>
      <c r="BU91" s="48" t="n">
        <f aca="false">MAX(BT91-BU90+MAX(-BU89,0),0)</f>
        <v>1836.40011345392</v>
      </c>
      <c r="BV91" s="48" t="n">
        <f aca="false">MAX(BU91-BV90+MAX(-BV89,0),0)</f>
        <v>1836.40011345392</v>
      </c>
      <c r="BW91" s="48" t="n">
        <f aca="false">MAX(BV91-BW90+MAX(-BW89,0),0)</f>
        <v>1836.40011345392</v>
      </c>
      <c r="BX91" s="48" t="n">
        <f aca="false">MAX(BW91-BX90+MAX(-BX89,0),0)</f>
        <v>1836.40011345392</v>
      </c>
    </row>
    <row r="92" customFormat="false" ht="15" hidden="false" customHeight="false" outlineLevel="0" collapsed="false">
      <c r="A92" s="1"/>
      <c r="B92" s="8" t="s">
        <v>357</v>
      </c>
      <c r="C92" s="8" t="s">
        <v>126</v>
      </c>
      <c r="D92" s="44" t="n">
        <f aca="false">SUM(G92:BX92)</f>
        <v>0</v>
      </c>
      <c r="E92" s="1"/>
      <c r="F92" s="1"/>
      <c r="G92" s="48" t="n">
        <f aca="false">MAX(G89-G90,0)</f>
        <v>0</v>
      </c>
      <c r="H92" s="48" t="n">
        <f aca="false">MAX(H89-H90,0)</f>
        <v>0</v>
      </c>
      <c r="I92" s="48" t="n">
        <f aca="false">MAX(I89-I90,0)</f>
        <v>0</v>
      </c>
      <c r="J92" s="48" t="n">
        <f aca="false">MAX(J89-J90,0)</f>
        <v>0</v>
      </c>
      <c r="K92" s="48" t="n">
        <f aca="false">MAX(K89-K90,0)</f>
        <v>0</v>
      </c>
      <c r="L92" s="48" t="n">
        <f aca="false">MAX(L89-L90,0)</f>
        <v>0</v>
      </c>
      <c r="M92" s="48" t="n">
        <f aca="false">MAX(M89-M90,0)</f>
        <v>0</v>
      </c>
      <c r="N92" s="48" t="n">
        <f aca="false">MAX(N89-N90,0)</f>
        <v>0</v>
      </c>
      <c r="O92" s="48" t="n">
        <f aca="false">MAX(O89-O90,0)</f>
        <v>0</v>
      </c>
      <c r="P92" s="48" t="n">
        <f aca="false">MAX(P89-P90,0)</f>
        <v>0</v>
      </c>
      <c r="Q92" s="48" t="n">
        <f aca="false">MAX(Q89-Q90,0)</f>
        <v>0</v>
      </c>
      <c r="R92" s="48" t="n">
        <f aca="false">MAX(R89-R90,0)</f>
        <v>0</v>
      </c>
      <c r="S92" s="48" t="n">
        <f aca="false">MAX(S89-S90,0)</f>
        <v>0</v>
      </c>
      <c r="T92" s="48" t="n">
        <f aca="false">MAX(T89-T90,0)</f>
        <v>0</v>
      </c>
      <c r="U92" s="48" t="n">
        <f aca="false">MAX(U89-U90,0)</f>
        <v>0</v>
      </c>
      <c r="V92" s="48" t="n">
        <f aca="false">MAX(V89-V90,0)</f>
        <v>0</v>
      </c>
      <c r="W92" s="48" t="n">
        <f aca="false">MAX(W89-W90,0)</f>
        <v>0</v>
      </c>
      <c r="X92" s="48" t="n">
        <f aca="false">MAX(X89-X90,0)</f>
        <v>0</v>
      </c>
      <c r="Y92" s="48" t="n">
        <f aca="false">MAX(Y89-Y90,0)</f>
        <v>0</v>
      </c>
      <c r="Z92" s="48" t="n">
        <f aca="false">MAX(Z89-Z90,0)</f>
        <v>0</v>
      </c>
      <c r="AA92" s="48" t="n">
        <f aca="false">MAX(AA89-AA90,0)</f>
        <v>0</v>
      </c>
      <c r="AB92" s="48" t="n">
        <f aca="false">MAX(AB89-AB90,0)</f>
        <v>0</v>
      </c>
      <c r="AC92" s="48" t="n">
        <f aca="false">MAX(AC89-AC90,0)</f>
        <v>0</v>
      </c>
      <c r="AD92" s="48" t="n">
        <f aca="false">MAX(AD89-AD90,0)</f>
        <v>0</v>
      </c>
      <c r="AE92" s="48" t="n">
        <f aca="false">MAX(AE89-AE90,0)</f>
        <v>0</v>
      </c>
      <c r="AF92" s="48" t="n">
        <f aca="false">MAX(AF89-AF90,0)</f>
        <v>0</v>
      </c>
      <c r="AG92" s="48" t="n">
        <f aca="false">MAX(AG89-AG90,0)</f>
        <v>0</v>
      </c>
      <c r="AH92" s="48" t="n">
        <f aca="false">MAX(AH89-AH90,0)</f>
        <v>0</v>
      </c>
      <c r="AI92" s="48" t="n">
        <f aca="false">MAX(AI89-AI90,0)</f>
        <v>0</v>
      </c>
      <c r="AJ92" s="48" t="n">
        <f aca="false">MAX(AJ89-AJ90,0)</f>
        <v>0</v>
      </c>
      <c r="AK92" s="48" t="n">
        <f aca="false">MAX(AK89-AK90,0)</f>
        <v>0</v>
      </c>
      <c r="AL92" s="48" t="n">
        <f aca="false">MAX(AL89-AL90,0)</f>
        <v>0</v>
      </c>
      <c r="AM92" s="48" t="n">
        <f aca="false">MAX(AM89-AM90,0)</f>
        <v>0</v>
      </c>
      <c r="AN92" s="48" t="n">
        <f aca="false">MAX(AN89-AN90,0)</f>
        <v>0</v>
      </c>
      <c r="AO92" s="48" t="n">
        <f aca="false">MAX(AO89-AO90,0)</f>
        <v>0</v>
      </c>
      <c r="AP92" s="48" t="n">
        <f aca="false">MAX(AP89-AP90,0)</f>
        <v>0</v>
      </c>
      <c r="AQ92" s="48" t="n">
        <f aca="false">MAX(AQ89-AQ90,0)</f>
        <v>0</v>
      </c>
      <c r="AR92" s="48" t="n">
        <f aca="false">MAX(AR89-AR90,0)</f>
        <v>0</v>
      </c>
      <c r="AS92" s="48" t="n">
        <f aca="false">MAX(AS89-AS90,0)</f>
        <v>0</v>
      </c>
      <c r="AT92" s="48" t="n">
        <f aca="false">MAX(AT89-AT90,0)</f>
        <v>0</v>
      </c>
      <c r="AU92" s="48" t="n">
        <f aca="false">MAX(AU89-AU90,0)</f>
        <v>0</v>
      </c>
      <c r="AV92" s="48" t="n">
        <f aca="false">MAX(AV89-AV90,0)</f>
        <v>0</v>
      </c>
      <c r="AW92" s="48" t="n">
        <f aca="false">MAX(AW89-AW90,0)</f>
        <v>0</v>
      </c>
      <c r="AX92" s="48" t="n">
        <f aca="false">MAX(AX89-AX90,0)</f>
        <v>0</v>
      </c>
      <c r="AY92" s="48" t="n">
        <f aca="false">MAX(AY89-AY90,0)</f>
        <v>0</v>
      </c>
      <c r="AZ92" s="48" t="n">
        <f aca="false">MAX(AZ89-AZ90,0)</f>
        <v>0</v>
      </c>
      <c r="BA92" s="48" t="n">
        <f aca="false">MAX(BA89-BA90,0)</f>
        <v>0</v>
      </c>
      <c r="BB92" s="48" t="n">
        <f aca="false">MAX(BB89-BB90,0)</f>
        <v>0</v>
      </c>
      <c r="BC92" s="48" t="n">
        <f aca="false">MAX(BC89-BC90,0)</f>
        <v>0</v>
      </c>
      <c r="BD92" s="48" t="n">
        <f aca="false">MAX(BD89-BD90,0)</f>
        <v>0</v>
      </c>
      <c r="BE92" s="48" t="n">
        <f aca="false">MAX(BE89-BE90,0)</f>
        <v>0</v>
      </c>
      <c r="BF92" s="48" t="n">
        <f aca="false">MAX(BF89-BF90,0)</f>
        <v>0</v>
      </c>
      <c r="BG92" s="48" t="n">
        <f aca="false">MAX(BG89-BG90,0)</f>
        <v>0</v>
      </c>
      <c r="BH92" s="48" t="n">
        <f aca="false">MAX(BH89-BH90,0)</f>
        <v>0</v>
      </c>
      <c r="BI92" s="48" t="n">
        <f aca="false">MAX(BI89-BI90,0)</f>
        <v>0</v>
      </c>
      <c r="BJ92" s="48" t="n">
        <f aca="false">MAX(BJ89-BJ90,0)</f>
        <v>0</v>
      </c>
      <c r="BK92" s="48" t="n">
        <f aca="false">MAX(BK89-BK90,0)</f>
        <v>0</v>
      </c>
      <c r="BL92" s="48" t="n">
        <f aca="false">MAX(BL89-BL90,0)</f>
        <v>0</v>
      </c>
      <c r="BM92" s="48" t="n">
        <f aca="false">MAX(BM89-BM90,0)</f>
        <v>0</v>
      </c>
      <c r="BN92" s="48" t="n">
        <f aca="false">MAX(BN89-BN90,0)</f>
        <v>0</v>
      </c>
      <c r="BO92" s="48" t="n">
        <f aca="false">MAX(BO89-BO90,0)</f>
        <v>0</v>
      </c>
      <c r="BP92" s="48" t="n">
        <f aca="false">MAX(BP89-BP90,0)</f>
        <v>0</v>
      </c>
      <c r="BQ92" s="48" t="n">
        <f aca="false">MAX(BQ89-BQ90,0)</f>
        <v>0</v>
      </c>
      <c r="BR92" s="48" t="n">
        <f aca="false">MAX(BR89-BR90,0)</f>
        <v>0</v>
      </c>
      <c r="BS92" s="48" t="n">
        <f aca="false">MAX(BS89-BS90,0)</f>
        <v>0</v>
      </c>
      <c r="BT92" s="48" t="n">
        <f aca="false">MAX(BT89-BT90,0)</f>
        <v>0</v>
      </c>
      <c r="BU92" s="48" t="n">
        <f aca="false">MAX(BU89-BU90,0)</f>
        <v>0</v>
      </c>
      <c r="BV92" s="48" t="n">
        <f aca="false">MAX(BV89-BV90,0)</f>
        <v>0</v>
      </c>
      <c r="BW92" s="48" t="n">
        <f aca="false">MAX(BW89-BW90,0)</f>
        <v>0</v>
      </c>
      <c r="BX92" s="48" t="n">
        <f aca="false">MAX(BX89-BX90,0)</f>
        <v>0</v>
      </c>
    </row>
    <row r="93" customFormat="false" ht="15" hidden="false" customHeight="false" outlineLevel="0" collapsed="false">
      <c r="A93" s="1"/>
      <c r="B93" s="4" t="s">
        <v>358</v>
      </c>
      <c r="C93" s="8" t="s">
        <v>126</v>
      </c>
      <c r="D93" s="44" t="n">
        <f aca="false">SUM(G93:BX93)</f>
        <v>0</v>
      </c>
      <c r="E93" s="1"/>
      <c r="F93" s="1"/>
      <c r="G93" s="44" t="n">
        <f aca="false">G92*$D$17</f>
        <v>0</v>
      </c>
      <c r="H93" s="44" t="n">
        <f aca="false">H92*$D$17</f>
        <v>0</v>
      </c>
      <c r="I93" s="44" t="n">
        <f aca="false">I92*$D$17</f>
        <v>0</v>
      </c>
      <c r="J93" s="44" t="n">
        <f aca="false">J92*$D$17</f>
        <v>0</v>
      </c>
      <c r="K93" s="44" t="n">
        <f aca="false">K92*$D$17</f>
        <v>0</v>
      </c>
      <c r="L93" s="44" t="n">
        <f aca="false">L92*$D$17</f>
        <v>0</v>
      </c>
      <c r="M93" s="44" t="n">
        <f aca="false">M92*$D$17</f>
        <v>0</v>
      </c>
      <c r="N93" s="44" t="n">
        <f aca="false">N92*$D$17</f>
        <v>0</v>
      </c>
      <c r="O93" s="44" t="n">
        <f aca="false">O92*$D$17</f>
        <v>0</v>
      </c>
      <c r="P93" s="44" t="n">
        <f aca="false">P92*$D$17</f>
        <v>0</v>
      </c>
      <c r="Q93" s="44" t="n">
        <f aca="false">Q92*$D$17</f>
        <v>0</v>
      </c>
      <c r="R93" s="44" t="n">
        <f aca="false">R92*$D$17</f>
        <v>0</v>
      </c>
      <c r="S93" s="44" t="n">
        <f aca="false">S92*$D$17</f>
        <v>0</v>
      </c>
      <c r="T93" s="44" t="n">
        <f aca="false">T92*$D$17</f>
        <v>0</v>
      </c>
      <c r="U93" s="44" t="n">
        <f aca="false">U92*$D$17</f>
        <v>0</v>
      </c>
      <c r="V93" s="44" t="n">
        <f aca="false">V92*$D$17</f>
        <v>0</v>
      </c>
      <c r="W93" s="44" t="n">
        <f aca="false">W92*$D$17</f>
        <v>0</v>
      </c>
      <c r="X93" s="44" t="n">
        <f aca="false">X92*$D$17</f>
        <v>0</v>
      </c>
      <c r="Y93" s="44" t="n">
        <f aca="false">Y92*$D$17</f>
        <v>0</v>
      </c>
      <c r="Z93" s="44" t="n">
        <f aca="false">Z92*$D$17</f>
        <v>0</v>
      </c>
      <c r="AA93" s="44" t="n">
        <f aca="false">AA92*$D$17</f>
        <v>0</v>
      </c>
      <c r="AB93" s="44" t="n">
        <f aca="false">AB92*$D$17</f>
        <v>0</v>
      </c>
      <c r="AC93" s="44" t="n">
        <f aca="false">AC92*$D$17</f>
        <v>0</v>
      </c>
      <c r="AD93" s="44" t="n">
        <f aca="false">AD92*$D$17</f>
        <v>0</v>
      </c>
      <c r="AE93" s="44" t="n">
        <f aca="false">AE92*$D$17</f>
        <v>0</v>
      </c>
      <c r="AF93" s="44" t="n">
        <f aca="false">AF92*$D$17</f>
        <v>0</v>
      </c>
      <c r="AG93" s="44" t="n">
        <f aca="false">AG92*$D$17</f>
        <v>0</v>
      </c>
      <c r="AH93" s="44" t="n">
        <f aca="false">AH92*$D$17</f>
        <v>0</v>
      </c>
      <c r="AI93" s="44" t="n">
        <f aca="false">AI92*$D$17</f>
        <v>0</v>
      </c>
      <c r="AJ93" s="44" t="n">
        <f aca="false">AJ92*$D$17</f>
        <v>0</v>
      </c>
      <c r="AK93" s="44" t="n">
        <f aca="false">AK92*$D$17</f>
        <v>0</v>
      </c>
      <c r="AL93" s="44" t="n">
        <f aca="false">AL92*$D$17</f>
        <v>0</v>
      </c>
      <c r="AM93" s="44" t="n">
        <f aca="false">AM92*$D$17</f>
        <v>0</v>
      </c>
      <c r="AN93" s="44" t="n">
        <f aca="false">AN92*$D$17</f>
        <v>0</v>
      </c>
      <c r="AO93" s="44" t="n">
        <f aca="false">AO92*$D$17</f>
        <v>0</v>
      </c>
      <c r="AP93" s="44" t="n">
        <f aca="false">AP92*$D$17</f>
        <v>0</v>
      </c>
      <c r="AQ93" s="44" t="n">
        <f aca="false">AQ92*$D$17</f>
        <v>0</v>
      </c>
      <c r="AR93" s="44" t="n">
        <f aca="false">AR92*$D$17</f>
        <v>0</v>
      </c>
      <c r="AS93" s="44" t="n">
        <f aca="false">AS92*$D$17</f>
        <v>0</v>
      </c>
      <c r="AT93" s="44" t="n">
        <f aca="false">AT92*$D$17</f>
        <v>0</v>
      </c>
      <c r="AU93" s="44" t="n">
        <f aca="false">AU92*$D$17</f>
        <v>0</v>
      </c>
      <c r="AV93" s="44" t="n">
        <f aca="false">AV92*$D$17</f>
        <v>0</v>
      </c>
      <c r="AW93" s="44" t="n">
        <f aca="false">AW92*$D$17</f>
        <v>0</v>
      </c>
      <c r="AX93" s="44" t="n">
        <f aca="false">AX92*$D$17</f>
        <v>0</v>
      </c>
      <c r="AY93" s="44" t="n">
        <f aca="false">AY92*$D$17</f>
        <v>0</v>
      </c>
      <c r="AZ93" s="44" t="n">
        <f aca="false">AZ92*$D$17</f>
        <v>0</v>
      </c>
      <c r="BA93" s="44" t="n">
        <f aca="false">BA92*$D$17</f>
        <v>0</v>
      </c>
      <c r="BB93" s="44" t="n">
        <f aca="false">BB92*$D$17</f>
        <v>0</v>
      </c>
      <c r="BC93" s="44" t="n">
        <f aca="false">BC92*$D$17</f>
        <v>0</v>
      </c>
      <c r="BD93" s="44" t="n">
        <f aca="false">BD92*$D$17</f>
        <v>0</v>
      </c>
      <c r="BE93" s="44" t="n">
        <f aca="false">BE92*$D$17</f>
        <v>0</v>
      </c>
      <c r="BF93" s="44" t="n">
        <f aca="false">BF92*$D$17</f>
        <v>0</v>
      </c>
      <c r="BG93" s="44" t="n">
        <f aca="false">BG92*$D$17</f>
        <v>0</v>
      </c>
      <c r="BH93" s="44" t="n">
        <f aca="false">BH92*$D$17</f>
        <v>0</v>
      </c>
      <c r="BI93" s="44" t="n">
        <f aca="false">BI92*$D$17</f>
        <v>0</v>
      </c>
      <c r="BJ93" s="44" t="n">
        <f aca="false">BJ92*$D$17</f>
        <v>0</v>
      </c>
      <c r="BK93" s="44" t="n">
        <f aca="false">BK92*$D$17</f>
        <v>0</v>
      </c>
      <c r="BL93" s="44" t="n">
        <f aca="false">BL92*$D$17</f>
        <v>0</v>
      </c>
      <c r="BM93" s="44" t="n">
        <f aca="false">BM92*$D$17</f>
        <v>0</v>
      </c>
      <c r="BN93" s="44" t="n">
        <f aca="false">BN92*$D$17</f>
        <v>0</v>
      </c>
      <c r="BO93" s="44" t="n">
        <f aca="false">BO92*$D$17</f>
        <v>0</v>
      </c>
      <c r="BP93" s="44" t="n">
        <f aca="false">BP92*$D$17</f>
        <v>0</v>
      </c>
      <c r="BQ93" s="44" t="n">
        <f aca="false">BQ92*$D$17</f>
        <v>0</v>
      </c>
      <c r="BR93" s="44" t="n">
        <f aca="false">BR92*$D$17</f>
        <v>0</v>
      </c>
      <c r="BS93" s="44" t="n">
        <f aca="false">BS92*$D$17</f>
        <v>0</v>
      </c>
      <c r="BT93" s="44" t="n">
        <f aca="false">BT92*$D$17</f>
        <v>0</v>
      </c>
      <c r="BU93" s="44" t="n">
        <f aca="false">BU92*$D$17</f>
        <v>0</v>
      </c>
      <c r="BV93" s="44" t="n">
        <f aca="false">BV92*$D$17</f>
        <v>0</v>
      </c>
      <c r="BW93" s="44" t="n">
        <f aca="false">BW92*$D$17</f>
        <v>0</v>
      </c>
      <c r="BX93" s="44" t="n">
        <f aca="false">BX92*$D$17</f>
        <v>0</v>
      </c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</row>
    <row r="95" customFormat="false" ht="15" hidden="false" customHeight="false" outlineLevel="0" collapsed="false">
      <c r="A95" s="1"/>
      <c r="B95" s="13" t="s">
        <v>359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</row>
    <row r="96" customFormat="false" ht="15" hidden="false" customHeight="false" outlineLevel="0" collapsed="false">
      <c r="A96" s="1"/>
      <c r="B96" s="8" t="s">
        <v>360</v>
      </c>
      <c r="C96" s="8" t="s">
        <v>126</v>
      </c>
      <c r="D96" s="44" t="n">
        <f aca="false">SUM(G96:BX96)</f>
        <v>-1910.08761345393</v>
      </c>
      <c r="E96" s="1"/>
      <c r="F96" s="1"/>
      <c r="G96" s="48" t="n">
        <f aca="false">G80-G48-G81</f>
        <v>-589.5</v>
      </c>
      <c r="H96" s="48" t="n">
        <f aca="false">H80-H48-H81</f>
        <v>-884.25</v>
      </c>
      <c r="I96" s="48" t="n">
        <f aca="false">I80-I48-I81</f>
        <v>-245.625</v>
      </c>
      <c r="J96" s="48" t="n">
        <f aca="false">J80-J48-J81</f>
        <v>-245.625</v>
      </c>
      <c r="K96" s="48" t="n">
        <f aca="false">K80-K48-K81</f>
        <v>48.9708229148804</v>
      </c>
      <c r="L96" s="48" t="n">
        <f aca="false">L80-L48-L81</f>
        <v>40.3640322080023</v>
      </c>
      <c r="M96" s="48" t="n">
        <f aca="false">M80-M48-M81</f>
        <v>31.8006166166704</v>
      </c>
      <c r="N96" s="48" t="n">
        <f aca="false">N80-N48-N81</f>
        <v>23.9889737061838</v>
      </c>
      <c r="O96" s="48" t="n">
        <f aca="false">O80-O48-O81</f>
        <v>17.263540839445</v>
      </c>
      <c r="P96" s="48" t="n">
        <f aca="false">P80-P48-P81</f>
        <v>13.7629594208368</v>
      </c>
      <c r="Q96" s="48" t="n">
        <f aca="false">Q80-Q48-Q81</f>
        <v>10.4968811217508</v>
      </c>
      <c r="R96" s="48" t="n">
        <f aca="false">R80-R48-R81</f>
        <v>7.40975200295827</v>
      </c>
      <c r="S96" s="48" t="n">
        <f aca="false">S80-S48-S81</f>
        <v>4.48673477935608</v>
      </c>
      <c r="T96" s="48" t="n">
        <f aca="false">T80-T48-T81</f>
        <v>1.81224537942643</v>
      </c>
      <c r="U96" s="48" t="n">
        <f aca="false">U80-U48-U81</f>
        <v>1.10700795552242</v>
      </c>
      <c r="V96" s="48" t="n">
        <f aca="false">V80-V48-V81</f>
        <v>0.529039446794855</v>
      </c>
      <c r="W96" s="48" t="n">
        <f aca="false">W80-W48-W81</f>
        <v>-0.129275838029912</v>
      </c>
      <c r="X96" s="48" t="n">
        <f aca="false">X80-X48-X81</f>
        <v>-0.737508611644444</v>
      </c>
      <c r="Y96" s="48" t="n">
        <f aca="false">Y80-Y48-Y81</f>
        <v>-1.34083494116575</v>
      </c>
      <c r="Z96" s="48" t="n">
        <f aca="false">Z80-Z48-Z81</f>
        <v>-1.8897915051615</v>
      </c>
      <c r="AA96" s="48" t="n">
        <f aca="false">AA80-AA48-AA81</f>
        <v>-2.47149722181126</v>
      </c>
      <c r="AB96" s="48" t="n">
        <f aca="false">AB80-AB48-AB81</f>
        <v>-3.01928900609809</v>
      </c>
      <c r="AC96" s="48" t="n">
        <f aca="false">AC80-AC48-AC81</f>
        <v>-3.60732047415652</v>
      </c>
      <c r="AD96" s="48" t="n">
        <f aca="false">AD80-AD48-AD81</f>
        <v>-4.18675274234295</v>
      </c>
      <c r="AE96" s="48" t="n">
        <f aca="false">AE80-AE48-AE81</f>
        <v>-4.10617158225028</v>
      </c>
      <c r="AF96" s="48" t="n">
        <f aca="false">AF80-AF48-AF81</f>
        <v>-4.0014641861213</v>
      </c>
      <c r="AG96" s="48" t="n">
        <f aca="false">AG80-AG48-AG81</f>
        <v>-3.91874754575997</v>
      </c>
      <c r="AH96" s="48" t="n">
        <f aca="false">AH80-AH48-AH81</f>
        <v>-3.82307793534585</v>
      </c>
      <c r="AI96" s="48" t="n">
        <f aca="false">AI80-AI48-AI81</f>
        <v>-3.73764293425472</v>
      </c>
      <c r="AJ96" s="48" t="n">
        <f aca="false">AJ80-AJ48-AJ81</f>
        <v>-3.61520296011418</v>
      </c>
      <c r="AK96" s="48" t="n">
        <f aca="false">AK80-AK48-AK81</f>
        <v>-3.54063068862197</v>
      </c>
      <c r="AL96" s="48" t="n">
        <f aca="false">AL80-AL48-AL81</f>
        <v>-3.41463924660718</v>
      </c>
      <c r="AM96" s="48" t="n">
        <f aca="false">AM80-AM48-AM81</f>
        <v>-3.32834295746716</v>
      </c>
      <c r="AN96" s="48" t="n">
        <f aca="false">AN80-AN48-AN81</f>
        <v>-96.2120294687997</v>
      </c>
      <c r="AO96" s="48" t="n">
        <f aca="false">AO80-AO48-AO81</f>
        <v>0</v>
      </c>
      <c r="AP96" s="48" t="n">
        <f aca="false">AP80-AP48-AP81</f>
        <v>0</v>
      </c>
      <c r="AQ96" s="48" t="n">
        <f aca="false">AQ80-AQ48-AQ81</f>
        <v>0</v>
      </c>
      <c r="AR96" s="48" t="n">
        <f aca="false">AR80-AR48-AR81</f>
        <v>0</v>
      </c>
      <c r="AS96" s="48" t="n">
        <f aca="false">AS80-AS48-AS81</f>
        <v>0</v>
      </c>
      <c r="AT96" s="48" t="n">
        <f aca="false">AT80-AT48-AT81</f>
        <v>0</v>
      </c>
      <c r="AU96" s="48" t="n">
        <f aca="false">AU80-AU48-AU81</f>
        <v>0</v>
      </c>
      <c r="AV96" s="48" t="n">
        <f aca="false">AV80-AV48-AV81</f>
        <v>0</v>
      </c>
      <c r="AW96" s="48" t="n">
        <f aca="false">AW80-AW48-AW81</f>
        <v>0</v>
      </c>
      <c r="AX96" s="48" t="n">
        <f aca="false">AX80-AX48-AX81</f>
        <v>0</v>
      </c>
      <c r="AY96" s="48" t="n">
        <f aca="false">AY80-AY48-AY81</f>
        <v>0</v>
      </c>
      <c r="AZ96" s="48" t="n">
        <f aca="false">AZ80-AZ48-AZ81</f>
        <v>0</v>
      </c>
      <c r="BA96" s="48" t="n">
        <f aca="false">BA80-BA48-BA81</f>
        <v>0</v>
      </c>
      <c r="BB96" s="48" t="n">
        <f aca="false">BB80-BB48-BB81</f>
        <v>0</v>
      </c>
      <c r="BC96" s="48" t="n">
        <f aca="false">BC80-BC48-BC81</f>
        <v>0</v>
      </c>
      <c r="BD96" s="48" t="n">
        <f aca="false">BD80-BD48-BD81</f>
        <v>0</v>
      </c>
      <c r="BE96" s="48" t="n">
        <f aca="false">BE80-BE48-BE81</f>
        <v>0</v>
      </c>
      <c r="BF96" s="48" t="n">
        <f aca="false">BF80-BF48-BF81</f>
        <v>0</v>
      </c>
      <c r="BG96" s="48" t="n">
        <f aca="false">BG80-BG48-BG81</f>
        <v>0</v>
      </c>
      <c r="BH96" s="48" t="n">
        <f aca="false">BH80-BH48-BH81</f>
        <v>0</v>
      </c>
      <c r="BI96" s="48" t="n">
        <f aca="false">BI80-BI48-BI81</f>
        <v>0</v>
      </c>
      <c r="BJ96" s="48" t="n">
        <f aca="false">BJ80-BJ48-BJ81</f>
        <v>0</v>
      </c>
      <c r="BK96" s="48" t="n">
        <f aca="false">BK80-BK48-BK81</f>
        <v>0</v>
      </c>
      <c r="BL96" s="48" t="n">
        <f aca="false">BL80-BL48-BL81</f>
        <v>0</v>
      </c>
      <c r="BM96" s="48" t="n">
        <f aca="false">BM80-BM48-BM81</f>
        <v>0</v>
      </c>
      <c r="BN96" s="48" t="n">
        <f aca="false">BN80-BN48-BN81</f>
        <v>0</v>
      </c>
      <c r="BO96" s="48" t="n">
        <f aca="false">BO80-BO48-BO81</f>
        <v>0</v>
      </c>
      <c r="BP96" s="48" t="n">
        <f aca="false">BP80-BP48-BP81</f>
        <v>0</v>
      </c>
      <c r="BQ96" s="48" t="n">
        <f aca="false">BQ80-BQ48-BQ81</f>
        <v>0</v>
      </c>
      <c r="BR96" s="48" t="n">
        <f aca="false">BR80-BR48-BR81</f>
        <v>0</v>
      </c>
      <c r="BS96" s="48" t="n">
        <f aca="false">BS80-BS48-BS81</f>
        <v>0</v>
      </c>
      <c r="BT96" s="48" t="n">
        <f aca="false">BT80-BT48-BT81</f>
        <v>0</v>
      </c>
      <c r="BU96" s="48" t="n">
        <f aca="false">BU80-BU48-BU81</f>
        <v>0</v>
      </c>
      <c r="BV96" s="48" t="n">
        <f aca="false">BV80-BV48-BV81</f>
        <v>0</v>
      </c>
      <c r="BW96" s="48" t="n">
        <f aca="false">BW80-BW48-BW81</f>
        <v>0</v>
      </c>
      <c r="BX96" s="48" t="n">
        <f aca="false">BX80-BX48-BX81</f>
        <v>0</v>
      </c>
    </row>
    <row r="97" customFormat="false" ht="15" hidden="false" customHeight="false" outlineLevel="0" collapsed="false">
      <c r="A97" s="1"/>
      <c r="B97" s="4" t="s">
        <v>361</v>
      </c>
      <c r="C97" s="8" t="s">
        <v>126</v>
      </c>
      <c r="D97" s="44" t="n">
        <f aca="false">SUM(G97:BX97)</f>
        <v>-1910.08761345393</v>
      </c>
      <c r="E97" s="1"/>
      <c r="F97" s="1"/>
      <c r="G97" s="44" t="n">
        <f aca="false">G96-G93</f>
        <v>-589.5</v>
      </c>
      <c r="H97" s="44" t="n">
        <f aca="false">H96-H93</f>
        <v>-884.25</v>
      </c>
      <c r="I97" s="44" t="n">
        <f aca="false">I96-I93</f>
        <v>-245.625</v>
      </c>
      <c r="J97" s="44" t="n">
        <f aca="false">J96-J93</f>
        <v>-245.625</v>
      </c>
      <c r="K97" s="44" t="n">
        <f aca="false">K96-K93</f>
        <v>48.9708229148804</v>
      </c>
      <c r="L97" s="44" t="n">
        <f aca="false">L96-L93</f>
        <v>40.3640322080023</v>
      </c>
      <c r="M97" s="44" t="n">
        <f aca="false">M96-M93</f>
        <v>31.8006166166704</v>
      </c>
      <c r="N97" s="44" t="n">
        <f aca="false">N96-N93</f>
        <v>23.9889737061838</v>
      </c>
      <c r="O97" s="44" t="n">
        <f aca="false">O96-O93</f>
        <v>17.263540839445</v>
      </c>
      <c r="P97" s="44" t="n">
        <f aca="false">P96-P93</f>
        <v>13.7629594208368</v>
      </c>
      <c r="Q97" s="44" t="n">
        <f aca="false">Q96-Q93</f>
        <v>10.4968811217508</v>
      </c>
      <c r="R97" s="44" t="n">
        <f aca="false">R96-R93</f>
        <v>7.40975200295827</v>
      </c>
      <c r="S97" s="44" t="n">
        <f aca="false">S96-S93</f>
        <v>4.48673477935608</v>
      </c>
      <c r="T97" s="44" t="n">
        <f aca="false">T96-T93</f>
        <v>1.81224537942643</v>
      </c>
      <c r="U97" s="44" t="n">
        <f aca="false">U96-U93</f>
        <v>1.10700795552242</v>
      </c>
      <c r="V97" s="44" t="n">
        <f aca="false">V96-V93</f>
        <v>0.529039446794855</v>
      </c>
      <c r="W97" s="44" t="n">
        <f aca="false">W96-W93</f>
        <v>-0.129275838029912</v>
      </c>
      <c r="X97" s="44" t="n">
        <f aca="false">X96-X93</f>
        <v>-0.737508611644444</v>
      </c>
      <c r="Y97" s="44" t="n">
        <f aca="false">Y96-Y93</f>
        <v>-1.34083494116575</v>
      </c>
      <c r="Z97" s="44" t="n">
        <f aca="false">Z96-Z93</f>
        <v>-1.8897915051615</v>
      </c>
      <c r="AA97" s="44" t="n">
        <f aca="false">AA96-AA93</f>
        <v>-2.47149722181126</v>
      </c>
      <c r="AB97" s="44" t="n">
        <f aca="false">AB96-AB93</f>
        <v>-3.01928900609809</v>
      </c>
      <c r="AC97" s="44" t="n">
        <f aca="false">AC96-AC93</f>
        <v>-3.60732047415652</v>
      </c>
      <c r="AD97" s="44" t="n">
        <f aca="false">AD96-AD93</f>
        <v>-4.18675274234295</v>
      </c>
      <c r="AE97" s="44" t="n">
        <f aca="false">AE96-AE93</f>
        <v>-4.10617158225028</v>
      </c>
      <c r="AF97" s="44" t="n">
        <f aca="false">AF96-AF93</f>
        <v>-4.0014641861213</v>
      </c>
      <c r="AG97" s="44" t="n">
        <f aca="false">AG96-AG93</f>
        <v>-3.91874754575997</v>
      </c>
      <c r="AH97" s="44" t="n">
        <f aca="false">AH96-AH93</f>
        <v>-3.82307793534585</v>
      </c>
      <c r="AI97" s="44" t="n">
        <f aca="false">AI96-AI93</f>
        <v>-3.73764293425472</v>
      </c>
      <c r="AJ97" s="44" t="n">
        <f aca="false">AJ96-AJ93</f>
        <v>-3.61520296011418</v>
      </c>
      <c r="AK97" s="44" t="n">
        <f aca="false">AK96-AK93</f>
        <v>-3.54063068862197</v>
      </c>
      <c r="AL97" s="44" t="n">
        <f aca="false">AL96-AL93</f>
        <v>-3.41463924660718</v>
      </c>
      <c r="AM97" s="44" t="n">
        <f aca="false">AM96-AM93</f>
        <v>-3.32834295746716</v>
      </c>
      <c r="AN97" s="44" t="n">
        <f aca="false">AN96-AN93</f>
        <v>-96.2120294687997</v>
      </c>
      <c r="AO97" s="44" t="n">
        <f aca="false">AO96-AO93</f>
        <v>0</v>
      </c>
      <c r="AP97" s="44" t="n">
        <f aca="false">AP96-AP93</f>
        <v>0</v>
      </c>
      <c r="AQ97" s="44" t="n">
        <f aca="false">AQ96-AQ93</f>
        <v>0</v>
      </c>
      <c r="AR97" s="44" t="n">
        <f aca="false">AR96-AR93</f>
        <v>0</v>
      </c>
      <c r="AS97" s="44" t="n">
        <f aca="false">AS96-AS93</f>
        <v>0</v>
      </c>
      <c r="AT97" s="44" t="n">
        <f aca="false">AT96-AT93</f>
        <v>0</v>
      </c>
      <c r="AU97" s="44" t="n">
        <f aca="false">AU96-AU93</f>
        <v>0</v>
      </c>
      <c r="AV97" s="44" t="n">
        <f aca="false">AV96-AV93</f>
        <v>0</v>
      </c>
      <c r="AW97" s="44" t="n">
        <f aca="false">AW96-AW93</f>
        <v>0</v>
      </c>
      <c r="AX97" s="44" t="n">
        <f aca="false">AX96-AX93</f>
        <v>0</v>
      </c>
      <c r="AY97" s="44" t="n">
        <f aca="false">AY96-AY93</f>
        <v>0</v>
      </c>
      <c r="AZ97" s="44" t="n">
        <f aca="false">AZ96-AZ93</f>
        <v>0</v>
      </c>
      <c r="BA97" s="44" t="n">
        <f aca="false">BA96-BA93</f>
        <v>0</v>
      </c>
      <c r="BB97" s="44" t="n">
        <f aca="false">BB96-BB93</f>
        <v>0</v>
      </c>
      <c r="BC97" s="44" t="n">
        <f aca="false">BC96-BC93</f>
        <v>0</v>
      </c>
      <c r="BD97" s="44" t="n">
        <f aca="false">BD96-BD93</f>
        <v>0</v>
      </c>
      <c r="BE97" s="44" t="n">
        <f aca="false">BE96-BE93</f>
        <v>0</v>
      </c>
      <c r="BF97" s="44" t="n">
        <f aca="false">BF96-BF93</f>
        <v>0</v>
      </c>
      <c r="BG97" s="44" t="n">
        <f aca="false">BG96-BG93</f>
        <v>0</v>
      </c>
      <c r="BH97" s="44" t="n">
        <f aca="false">BH96-BH93</f>
        <v>0</v>
      </c>
      <c r="BI97" s="44" t="n">
        <f aca="false">BI96-BI93</f>
        <v>0</v>
      </c>
      <c r="BJ97" s="44" t="n">
        <f aca="false">BJ96-BJ93</f>
        <v>0</v>
      </c>
      <c r="BK97" s="44" t="n">
        <f aca="false">BK96-BK93</f>
        <v>0</v>
      </c>
      <c r="BL97" s="44" t="n">
        <f aca="false">BL96-BL93</f>
        <v>0</v>
      </c>
      <c r="BM97" s="44" t="n">
        <f aca="false">BM96-BM93</f>
        <v>0</v>
      </c>
      <c r="BN97" s="44" t="n">
        <f aca="false">BN96-BN93</f>
        <v>0</v>
      </c>
      <c r="BO97" s="44" t="n">
        <f aca="false">BO96-BO93</f>
        <v>0</v>
      </c>
      <c r="BP97" s="44" t="n">
        <f aca="false">BP96-BP93</f>
        <v>0</v>
      </c>
      <c r="BQ97" s="44" t="n">
        <f aca="false">BQ96-BQ93</f>
        <v>0</v>
      </c>
      <c r="BR97" s="44" t="n">
        <f aca="false">BR96-BR93</f>
        <v>0</v>
      </c>
      <c r="BS97" s="44" t="n">
        <f aca="false">BS96-BS93</f>
        <v>0</v>
      </c>
      <c r="BT97" s="44" t="n">
        <f aca="false">BT96-BT93</f>
        <v>0</v>
      </c>
      <c r="BU97" s="44" t="n">
        <f aca="false">BU96-BU93</f>
        <v>0</v>
      </c>
      <c r="BV97" s="44" t="n">
        <f aca="false">BV96-BV93</f>
        <v>0</v>
      </c>
      <c r="BW97" s="44" t="n">
        <f aca="false">BW96-BW93</f>
        <v>0</v>
      </c>
      <c r="BX97" s="44" t="n">
        <f aca="false">BX96-BX93</f>
        <v>0</v>
      </c>
    </row>
    <row r="98" customFormat="false" ht="15" hidden="false" customHeight="false" outlineLevel="0" collapsed="false">
      <c r="A98" s="1"/>
      <c r="B98" s="8" t="s">
        <v>362</v>
      </c>
      <c r="C98" s="8" t="s">
        <v>126</v>
      </c>
      <c r="D98" s="1"/>
      <c r="E98" s="1"/>
      <c r="F98" s="1"/>
      <c r="G98" s="48" t="n">
        <f aca="false">G97</f>
        <v>-589.5</v>
      </c>
      <c r="H98" s="48" t="n">
        <f aca="false">G98+H97</f>
        <v>-1473.75</v>
      </c>
      <c r="I98" s="48" t="n">
        <f aca="false">H98+I97</f>
        <v>-1719.375</v>
      </c>
      <c r="J98" s="48" t="n">
        <f aca="false">I98+J97</f>
        <v>-1965</v>
      </c>
      <c r="K98" s="48" t="n">
        <f aca="false">J98+K97</f>
        <v>-1916.02917708512</v>
      </c>
      <c r="L98" s="48" t="n">
        <f aca="false">K98+L97</f>
        <v>-1875.66514487712</v>
      </c>
      <c r="M98" s="48" t="n">
        <f aca="false">L98+M97</f>
        <v>-1843.86452826045</v>
      </c>
      <c r="N98" s="48" t="n">
        <f aca="false">M98+N97</f>
        <v>-1819.87555455426</v>
      </c>
      <c r="O98" s="48" t="n">
        <f aca="false">N98+O97</f>
        <v>-1802.61201371482</v>
      </c>
      <c r="P98" s="48" t="n">
        <f aca="false">O98+P97</f>
        <v>-1788.84905429398</v>
      </c>
      <c r="Q98" s="48" t="n">
        <f aca="false">P98+Q97</f>
        <v>-1778.35217317223</v>
      </c>
      <c r="R98" s="48" t="n">
        <f aca="false">Q98+R97</f>
        <v>-1770.94242116927</v>
      </c>
      <c r="S98" s="48" t="n">
        <f aca="false">R98+S97</f>
        <v>-1766.45568638992</v>
      </c>
      <c r="T98" s="48" t="n">
        <f aca="false">S98+T97</f>
        <v>-1764.64344101049</v>
      </c>
      <c r="U98" s="48" t="n">
        <f aca="false">T98+U97</f>
        <v>-1763.53643305497</v>
      </c>
      <c r="V98" s="48" t="n">
        <f aca="false">U98+V97</f>
        <v>-1763.00739360817</v>
      </c>
      <c r="W98" s="48" t="n">
        <f aca="false">V98+W97</f>
        <v>-1763.1366694462</v>
      </c>
      <c r="X98" s="48" t="n">
        <f aca="false">W98+X97</f>
        <v>-1763.87417805785</v>
      </c>
      <c r="Y98" s="48" t="n">
        <f aca="false">X98+Y97</f>
        <v>-1765.21501299901</v>
      </c>
      <c r="Z98" s="48" t="n">
        <f aca="false">Y98+Z97</f>
        <v>-1767.10480450417</v>
      </c>
      <c r="AA98" s="48" t="n">
        <f aca="false">Z98+AA97</f>
        <v>-1769.57630172599</v>
      </c>
      <c r="AB98" s="48" t="n">
        <f aca="false">AA98+AB97</f>
        <v>-1772.59559073208</v>
      </c>
      <c r="AC98" s="48" t="n">
        <f aca="false">AB98+AC97</f>
        <v>-1776.20291120624</v>
      </c>
      <c r="AD98" s="48" t="n">
        <f aca="false">AC98+AD97</f>
        <v>-1780.38966394858</v>
      </c>
      <c r="AE98" s="48" t="n">
        <f aca="false">AD98+AE97</f>
        <v>-1784.49583553083</v>
      </c>
      <c r="AF98" s="48" t="n">
        <f aca="false">AE98+AF97</f>
        <v>-1788.49729971695</v>
      </c>
      <c r="AG98" s="48" t="n">
        <f aca="false">AF98+AG97</f>
        <v>-1792.41604726271</v>
      </c>
      <c r="AH98" s="48" t="n">
        <f aca="false">AG98+AH97</f>
        <v>-1796.23912519806</v>
      </c>
      <c r="AI98" s="48" t="n">
        <f aca="false">AH98+AI97</f>
        <v>-1799.97676813232</v>
      </c>
      <c r="AJ98" s="48" t="n">
        <f aca="false">AI98+AJ97</f>
        <v>-1803.59197109243</v>
      </c>
      <c r="AK98" s="48" t="n">
        <f aca="false">AJ98+AK97</f>
        <v>-1807.13260178105</v>
      </c>
      <c r="AL98" s="48" t="n">
        <f aca="false">AK98+AL97</f>
        <v>-1810.54724102766</v>
      </c>
      <c r="AM98" s="48" t="n">
        <f aca="false">AL98+AM97</f>
        <v>-1813.87558398513</v>
      </c>
      <c r="AN98" s="48" t="n">
        <f aca="false">AM98+AN97</f>
        <v>-1910.08761345393</v>
      </c>
      <c r="AO98" s="48" t="n">
        <f aca="false">AN98+AO97</f>
        <v>-1910.08761345393</v>
      </c>
      <c r="AP98" s="48" t="n">
        <f aca="false">AO98+AP97</f>
        <v>-1910.08761345393</v>
      </c>
      <c r="AQ98" s="48" t="n">
        <f aca="false">AP98+AQ97</f>
        <v>-1910.08761345393</v>
      </c>
      <c r="AR98" s="48" t="n">
        <f aca="false">AQ98+AR97</f>
        <v>-1910.08761345393</v>
      </c>
      <c r="AS98" s="48" t="n">
        <f aca="false">AR98+AS97</f>
        <v>-1910.08761345393</v>
      </c>
      <c r="AT98" s="48" t="n">
        <f aca="false">AS98+AT97</f>
        <v>-1910.08761345393</v>
      </c>
      <c r="AU98" s="48" t="n">
        <f aca="false">AT98+AU97</f>
        <v>-1910.08761345393</v>
      </c>
      <c r="AV98" s="48" t="n">
        <f aca="false">AU98+AV97</f>
        <v>-1910.08761345393</v>
      </c>
      <c r="AW98" s="48" t="n">
        <f aca="false">AV98+AW97</f>
        <v>-1910.08761345393</v>
      </c>
      <c r="AX98" s="48" t="n">
        <f aca="false">AW98+AX97</f>
        <v>-1910.08761345393</v>
      </c>
      <c r="AY98" s="48" t="n">
        <f aca="false">AX98+AY97</f>
        <v>-1910.08761345393</v>
      </c>
      <c r="AZ98" s="48" t="n">
        <f aca="false">AY98+AZ97</f>
        <v>-1910.08761345393</v>
      </c>
      <c r="BA98" s="48" t="n">
        <f aca="false">AZ98+BA97</f>
        <v>-1910.08761345393</v>
      </c>
      <c r="BB98" s="48" t="n">
        <f aca="false">BA98+BB97</f>
        <v>-1910.08761345393</v>
      </c>
      <c r="BC98" s="48" t="n">
        <f aca="false">BB98+BC97</f>
        <v>-1910.08761345393</v>
      </c>
      <c r="BD98" s="48" t="n">
        <f aca="false">BC98+BD97</f>
        <v>-1910.08761345393</v>
      </c>
      <c r="BE98" s="48" t="n">
        <f aca="false">BD98+BE97</f>
        <v>-1910.08761345393</v>
      </c>
      <c r="BF98" s="48" t="n">
        <f aca="false">BE98+BF97</f>
        <v>-1910.08761345393</v>
      </c>
      <c r="BG98" s="48" t="n">
        <f aca="false">BF98+BG97</f>
        <v>-1910.08761345393</v>
      </c>
      <c r="BH98" s="48" t="n">
        <f aca="false">BG98+BH97</f>
        <v>-1910.08761345393</v>
      </c>
      <c r="BI98" s="48" t="n">
        <f aca="false">BH98+BI97</f>
        <v>-1910.08761345393</v>
      </c>
      <c r="BJ98" s="48" t="n">
        <f aca="false">BI98+BJ97</f>
        <v>-1910.08761345393</v>
      </c>
      <c r="BK98" s="48" t="n">
        <f aca="false">BJ98+BK97</f>
        <v>-1910.08761345393</v>
      </c>
      <c r="BL98" s="48" t="n">
        <f aca="false">BK98+BL97</f>
        <v>-1910.08761345393</v>
      </c>
      <c r="BM98" s="48" t="n">
        <f aca="false">BL98+BM97</f>
        <v>-1910.08761345393</v>
      </c>
      <c r="BN98" s="48" t="n">
        <f aca="false">BM98+BN97</f>
        <v>-1910.08761345393</v>
      </c>
      <c r="BO98" s="48" t="n">
        <f aca="false">BN98+BO97</f>
        <v>-1910.08761345393</v>
      </c>
      <c r="BP98" s="48" t="n">
        <f aca="false">BO98+BP97</f>
        <v>-1910.08761345393</v>
      </c>
      <c r="BQ98" s="48" t="n">
        <f aca="false">BP98+BQ97</f>
        <v>-1910.08761345393</v>
      </c>
      <c r="BR98" s="48" t="n">
        <f aca="false">BQ98+BR97</f>
        <v>-1910.08761345393</v>
      </c>
      <c r="BS98" s="48" t="n">
        <f aca="false">BR98+BS97</f>
        <v>-1910.08761345393</v>
      </c>
      <c r="BT98" s="48" t="n">
        <f aca="false">BS98+BT97</f>
        <v>-1910.08761345393</v>
      </c>
      <c r="BU98" s="48" t="n">
        <f aca="false">BT98+BU97</f>
        <v>-1910.08761345393</v>
      </c>
      <c r="BV98" s="48" t="n">
        <f aca="false">BU98+BV97</f>
        <v>-1910.08761345393</v>
      </c>
      <c r="BW98" s="48" t="n">
        <f aca="false">BV98+BW97</f>
        <v>-1910.08761345393</v>
      </c>
      <c r="BX98" s="48" t="n">
        <f aca="false">BW98+BX97</f>
        <v>-1910.08761345393</v>
      </c>
    </row>
    <row r="99" customFormat="false" ht="15" hidden="false" customHeight="false" outlineLevel="0" collapsed="false">
      <c r="A99" s="1"/>
      <c r="B99" s="8" t="s">
        <v>363</v>
      </c>
      <c r="C99" s="8" t="s">
        <v>126</v>
      </c>
      <c r="D99" s="44" t="n">
        <f aca="false">SUM(G99:BX99)</f>
        <v>-1718.67272154651</v>
      </c>
      <c r="E99" s="1"/>
      <c r="F99" s="1"/>
      <c r="G99" s="48" t="n">
        <f aca="false">G97*G41</f>
        <v>-589.5</v>
      </c>
      <c r="H99" s="48" t="n">
        <f aca="false">H97*H41</f>
        <v>-826.401869158879</v>
      </c>
      <c r="I99" s="48" t="n">
        <f aca="false">I97*I41</f>
        <v>-214.538387632108</v>
      </c>
      <c r="J99" s="48" t="n">
        <f aca="false">J97*J41</f>
        <v>-200.503166011316</v>
      </c>
      <c r="K99" s="48" t="n">
        <f aca="false">K97*K41</f>
        <v>37.3596063317895</v>
      </c>
      <c r="L99" s="48" t="n">
        <f aca="false">L97*L41</f>
        <v>28.7789971125393</v>
      </c>
      <c r="M99" s="48" t="n">
        <f aca="false">M97*M41</f>
        <v>21.1900935950885</v>
      </c>
      <c r="N99" s="48" t="n">
        <f aca="false">N97*N41</f>
        <v>14.9391271836022</v>
      </c>
      <c r="O99" s="48" t="n">
        <f aca="false">O97*O41</f>
        <v>10.0475379455874</v>
      </c>
      <c r="P99" s="48" t="n">
        <f aca="false">P97*P41</f>
        <v>7.48613802680949</v>
      </c>
      <c r="Q99" s="48" t="n">
        <f aca="false">Q97*Q41</f>
        <v>5.33608208786429</v>
      </c>
      <c r="R99" s="48" t="n">
        <f aca="false">R97*R41</f>
        <v>3.52031979962396</v>
      </c>
      <c r="S99" s="48" t="n">
        <f aca="false">S97*S41</f>
        <v>1.99216389997544</v>
      </c>
      <c r="T99" s="48" t="n">
        <f aca="false">T97*T41</f>
        <v>0.752017403312241</v>
      </c>
      <c r="U99" s="48" t="n">
        <f aca="false">U97*U41</f>
        <v>0.429316771094934</v>
      </c>
      <c r="V99" s="48" t="n">
        <f aca="false">V97*V41</f>
        <v>0.191748241724591</v>
      </c>
      <c r="W99" s="48" t="n">
        <f aca="false">W97*W41</f>
        <v>-0.0437901989998803</v>
      </c>
      <c r="X99" s="48" t="n">
        <f aca="false">X97*X41</f>
        <v>-0.233476339193372</v>
      </c>
      <c r="Y99" s="48" t="n">
        <f aca="false">Y97*Y41</f>
        <v>-0.396704676834139</v>
      </c>
      <c r="Z99" s="48" t="n">
        <f aca="false">Z97*Z41</f>
        <v>-0.52254309883025</v>
      </c>
      <c r="AA99" s="48" t="n">
        <f aca="false">AA97*AA41</f>
        <v>-0.638681847517713</v>
      </c>
      <c r="AB99" s="48" t="n">
        <f aca="false">AB97*AB41</f>
        <v>-0.729197807628733</v>
      </c>
      <c r="AC99" s="48" t="n">
        <f aca="false">AC97*AC41</f>
        <v>-0.814219722038239</v>
      </c>
      <c r="AD99" s="48" t="n">
        <f aca="false">AD97*AD41</f>
        <v>-0.883182442334264</v>
      </c>
      <c r="AE99" s="48" t="n">
        <f aca="false">AE97*AE41</f>
        <v>-0.809517848370443</v>
      </c>
      <c r="AF99" s="48" t="n">
        <f aca="false">AF97*AF41</f>
        <v>-0.737266485177546</v>
      </c>
      <c r="AG99" s="48" t="n">
        <f aca="false">AG97*AG41</f>
        <v>-0.674790665629503</v>
      </c>
      <c r="AH99" s="48" t="n">
        <f aca="false">AH97*AH41</f>
        <v>-0.615249336353301</v>
      </c>
      <c r="AI99" s="48" t="n">
        <f aca="false">AI97*AI41</f>
        <v>-0.56214976658635</v>
      </c>
      <c r="AJ99" s="48" t="n">
        <f aca="false">AJ97*AJ41</f>
        <v>-0.508163106154864</v>
      </c>
      <c r="AK99" s="48" t="n">
        <f aca="false">AK97*AK41</f>
        <v>-0.465122446473338</v>
      </c>
      <c r="AL99" s="48" t="n">
        <f aca="false">AL97*AL41</f>
        <v>-0.419225527055799</v>
      </c>
      <c r="AM99" s="48" t="n">
        <f aca="false">AM97*AM41</f>
        <v>-0.381897824459989</v>
      </c>
      <c r="AN99" s="48" t="n">
        <f aca="false">AN97*AN41</f>
        <v>-10.3172680035792</v>
      </c>
      <c r="AO99" s="48" t="n">
        <f aca="false">AO97*AO41</f>
        <v>0</v>
      </c>
      <c r="AP99" s="48" t="n">
        <f aca="false">AP97*AP41</f>
        <v>0</v>
      </c>
      <c r="AQ99" s="48" t="n">
        <f aca="false">AQ97*AQ41</f>
        <v>0</v>
      </c>
      <c r="AR99" s="48" t="n">
        <f aca="false">AR97*AR41</f>
        <v>0</v>
      </c>
      <c r="AS99" s="48" t="n">
        <f aca="false">AS97*AS41</f>
        <v>0</v>
      </c>
      <c r="AT99" s="48" t="n">
        <f aca="false">AT97*AT41</f>
        <v>0</v>
      </c>
      <c r="AU99" s="48" t="n">
        <f aca="false">AU97*AU41</f>
        <v>0</v>
      </c>
      <c r="AV99" s="48" t="n">
        <f aca="false">AV97*AV41</f>
        <v>0</v>
      </c>
      <c r="AW99" s="48" t="n">
        <f aca="false">AW97*AW41</f>
        <v>0</v>
      </c>
      <c r="AX99" s="48" t="n">
        <f aca="false">AX97*AX41</f>
        <v>0</v>
      </c>
      <c r="AY99" s="48" t="n">
        <f aca="false">AY97*AY41</f>
        <v>0</v>
      </c>
      <c r="AZ99" s="48" t="n">
        <f aca="false">AZ97*AZ41</f>
        <v>0</v>
      </c>
      <c r="BA99" s="48" t="n">
        <f aca="false">BA97*BA41</f>
        <v>0</v>
      </c>
      <c r="BB99" s="48" t="n">
        <f aca="false">BB97*BB41</f>
        <v>0</v>
      </c>
      <c r="BC99" s="48" t="n">
        <f aca="false">BC97*BC41</f>
        <v>0</v>
      </c>
      <c r="BD99" s="48" t="n">
        <f aca="false">BD97*BD41</f>
        <v>0</v>
      </c>
      <c r="BE99" s="48" t="n">
        <f aca="false">BE97*BE41</f>
        <v>0</v>
      </c>
      <c r="BF99" s="48" t="n">
        <f aca="false">BF97*BF41</f>
        <v>0</v>
      </c>
      <c r="BG99" s="48" t="n">
        <f aca="false">BG97*BG41</f>
        <v>0</v>
      </c>
      <c r="BH99" s="48" t="n">
        <f aca="false">BH97*BH41</f>
        <v>0</v>
      </c>
      <c r="BI99" s="48" t="n">
        <f aca="false">BI97*BI41</f>
        <v>0</v>
      </c>
      <c r="BJ99" s="48" t="n">
        <f aca="false">BJ97*BJ41</f>
        <v>0</v>
      </c>
      <c r="BK99" s="48" t="n">
        <f aca="false">BK97*BK41</f>
        <v>0</v>
      </c>
      <c r="BL99" s="48" t="n">
        <f aca="false">BL97*BL41</f>
        <v>0</v>
      </c>
      <c r="BM99" s="48" t="n">
        <f aca="false">BM97*BM41</f>
        <v>0</v>
      </c>
      <c r="BN99" s="48" t="n">
        <f aca="false">BN97*BN41</f>
        <v>0</v>
      </c>
      <c r="BO99" s="48" t="n">
        <f aca="false">BO97*BO41</f>
        <v>0</v>
      </c>
      <c r="BP99" s="48" t="n">
        <f aca="false">BP97*BP41</f>
        <v>0</v>
      </c>
      <c r="BQ99" s="48" t="n">
        <f aca="false">BQ97*BQ41</f>
        <v>0</v>
      </c>
      <c r="BR99" s="48" t="n">
        <f aca="false">BR97*BR41</f>
        <v>0</v>
      </c>
      <c r="BS99" s="48" t="n">
        <f aca="false">BS97*BS41</f>
        <v>0</v>
      </c>
      <c r="BT99" s="48" t="n">
        <f aca="false">BT97*BT41</f>
        <v>0</v>
      </c>
      <c r="BU99" s="48" t="n">
        <f aca="false">BU97*BU41</f>
        <v>0</v>
      </c>
      <c r="BV99" s="48" t="n">
        <f aca="false">BV97*BV41</f>
        <v>0</v>
      </c>
      <c r="BW99" s="48" t="n">
        <f aca="false">BW97*BW41</f>
        <v>0</v>
      </c>
      <c r="BX99" s="48" t="n">
        <f aca="false">BX97*BX41</f>
        <v>0</v>
      </c>
    </row>
    <row r="100" customFormat="false" ht="15" hidden="false" customHeight="false" outlineLevel="0" collapsed="false">
      <c r="A100" s="1"/>
      <c r="B100" s="4" t="s">
        <v>364</v>
      </c>
      <c r="C100" s="1"/>
      <c r="D100" s="44" t="n">
        <f aca="false">SUMPRODUCT($G$97:$BX$97,$G$41:$BX$41)</f>
        <v>-1718.67272154651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</row>
    <row r="101" customFormat="false" ht="15" hidden="false" customHeight="false" outlineLevel="0" collapsed="false">
      <c r="A101" s="1"/>
      <c r="B101" s="4" t="s">
        <v>365</v>
      </c>
      <c r="C101" s="1"/>
      <c r="D101" s="44" t="n">
        <f aca="false">SUMPRODUCT($G$96:$BX$96,$G$41:$BX$41)</f>
        <v>-1718.67272154651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</row>
    <row r="102" customFormat="false" ht="15" hidden="false" customHeight="false" outlineLevel="0" collapsed="false">
      <c r="A102" s="1"/>
      <c r="B102" s="4" t="s">
        <v>366</v>
      </c>
      <c r="C102" s="1"/>
      <c r="D102" s="50" t="str">
        <f aca="true">IFERROR(IRR(OFFSET(G97,0,$D$12-2027,1,$D$11+$D$9),0.05),"n/a")</f>
        <v>n/a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</row>
    <row r="103" customFormat="false" ht="15" hidden="false" customHeight="false" outlineLevel="0" collapsed="false">
      <c r="A103" s="1"/>
      <c r="B103" s="4" t="s">
        <v>367</v>
      </c>
      <c r="C103" s="1"/>
      <c r="D103" s="44" t="n">
        <f aca="false">SUMPRODUCT($G$57:$BX$57,$G$41:$BX$41)</f>
        <v>5276565.7322584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</row>
    <row r="104" customFormat="false" ht="15" hidden="false" customHeight="false" outlineLevel="0" collapsed="false">
      <c r="A104" s="1"/>
      <c r="B104" s="4" t="s">
        <v>368</v>
      </c>
      <c r="C104" s="1"/>
      <c r="D104" s="44" t="n">
        <f aca="false">SUMPRODUCT($G$48:$BX$48,$G$41:$BX$41)+SUMPRODUCT($G$79:$BX$79,$G$41:$BX$41)+SUMPRODUCT($G$81:$BX$81,$G$41:$BX$41)</f>
        <v>5059.64597174712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</row>
    <row r="105" customFormat="false" ht="15" hidden="false" customHeight="false" outlineLevel="0" collapsed="false">
      <c r="A105" s="1"/>
      <c r="B105" s="8" t="s">
        <v>369</v>
      </c>
      <c r="C105" s="1"/>
      <c r="D105" s="48" t="n">
        <f aca="false">SUMPRODUCT($G$48:$BX$48,$G$41:$BX$41)</f>
        <v>1830.9434228023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</row>
    <row r="106" customFormat="false" ht="15" hidden="false" customHeight="false" outlineLevel="0" collapsed="false">
      <c r="A106" s="1"/>
      <c r="B106" s="8" t="s">
        <v>370</v>
      </c>
      <c r="C106" s="1"/>
      <c r="D106" s="48" t="n">
        <f aca="false">SUMPRODUCT($G$73:$BX$73,$G$41:$BX$41)</f>
        <v>303.884219170409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</row>
    <row r="107" customFormat="false" ht="15" hidden="false" customHeight="false" outlineLevel="0" collapsed="false">
      <c r="A107" s="1"/>
      <c r="B107" s="8" t="s">
        <v>371</v>
      </c>
      <c r="C107" s="1"/>
      <c r="D107" s="48" t="n">
        <f aca="false">SUMPRODUCT($G$67:$BX$67,$G$41:$BX$41)</f>
        <v>1245.6841943191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</row>
    <row r="108" customFormat="false" ht="15" hidden="false" customHeight="false" outlineLevel="0" collapsed="false">
      <c r="A108" s="1"/>
      <c r="B108" s="8" t="s">
        <v>372</v>
      </c>
      <c r="C108" s="1"/>
      <c r="D108" s="48" t="n">
        <f aca="false">SUMPRODUCT($G$69:$BX$69,$G$41:$BX$41)</f>
        <v>1122.07513307733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</row>
    <row r="109" customFormat="false" ht="15" hidden="false" customHeight="false" outlineLevel="0" collapsed="false">
      <c r="A109" s="1"/>
      <c r="B109" s="8" t="s">
        <v>373</v>
      </c>
      <c r="C109" s="1"/>
      <c r="D109" s="48" t="n">
        <f aca="false">SUMPRODUCT($G$70:$BX$70,$G$41:$BX$41)+SUMPRODUCT($G$71:$BX$71,$G$41:$BX$41)</f>
        <v>297.605997251578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</row>
    <row r="110" customFormat="false" ht="15" hidden="false" customHeight="false" outlineLevel="0" collapsed="false">
      <c r="A110" s="1"/>
      <c r="B110" s="8" t="s">
        <v>374</v>
      </c>
      <c r="C110" s="1"/>
      <c r="D110" s="48" t="n">
        <f aca="false">SUMPRODUCT($G$72:$BX$72,$G$41:$BX$41)+SUMPRODUCT($G$81:$BX$81,$G$41:$BX$41)</f>
        <v>9.97282699087038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</row>
    <row r="111" customFormat="false" ht="15" hidden="false" customHeight="false" outlineLevel="0" collapsed="false">
      <c r="A111" s="1"/>
      <c r="B111" s="8" t="s">
        <v>375</v>
      </c>
      <c r="C111" s="1"/>
      <c r="D111" s="48" t="n">
        <f aca="false">SUMPRODUCT($G$75:$BX$75,$G$41:$BX$41)</f>
        <v>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</row>
    <row r="112" customFormat="false" ht="15" hidden="false" customHeight="false" outlineLevel="0" collapsed="false">
      <c r="A112" s="1"/>
      <c r="B112" s="8" t="s">
        <v>376</v>
      </c>
      <c r="C112" s="1"/>
      <c r="D112" s="48" t="n">
        <f aca="false">SUMPRODUCT($G$77:$BX$77,$G$41:$BX$41)+SUMPRODUCT($G$78:$BX$78,$G$41:$BX$41)+SUMPRODUCT($G$76:$BX$76,$G$41:$BX$41)</f>
        <v>249.480178135536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</row>
    <row r="113" customFormat="false" ht="15" hidden="false" customHeight="false" outlineLevel="0" collapsed="false">
      <c r="A113" s="1"/>
      <c r="B113" s="4" t="s">
        <v>377</v>
      </c>
      <c r="C113" s="1"/>
      <c r="D113" s="44" t="n">
        <f aca="false">SUMPRODUCT($G$63:$BX$63,$G$41:$BX$41)</f>
        <v>3340.97325020062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</row>
    <row r="114" customFormat="false" ht="15" hidden="false" customHeight="false" outlineLevel="0" collapsed="false">
      <c r="A114" s="1"/>
      <c r="B114" s="4" t="s">
        <v>10</v>
      </c>
      <c r="C114" s="1"/>
      <c r="D114" s="46" t="n">
        <f aca="false">IFERROR($D$104*1000000/$D$103,0)</f>
        <v>958.889972850119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</row>
    <row r="115" customFormat="false" ht="15" hidden="false" customHeight="false" outlineLevel="0" collapsed="false">
      <c r="A115" s="1"/>
      <c r="B115" s="4" t="s">
        <v>11</v>
      </c>
      <c r="C115" s="1"/>
      <c r="D115" s="46" t="n">
        <f aca="false">IFERROR($D$113*1000000/$D$103,0)</f>
        <v>633.171918957724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</row>
    <row r="116" customFormat="false" ht="15" hidden="false" customHeight="false" outlineLevel="0" collapsed="false">
      <c r="A116" s="1"/>
      <c r="B116" s="4" t="s">
        <v>378</v>
      </c>
      <c r="C116" s="1"/>
      <c r="D116" s="50" t="n">
        <f aca="false">IFERROR(AVERAGEIF($G$38:$BX$38,1,$G$56:$BX$56),0)</f>
        <v>0.171919767884323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</row>
    <row r="117" customFormat="false" ht="15" hidden="false" customHeight="false" outlineLevel="0" collapsed="false">
      <c r="A117" s="1"/>
      <c r="B117" s="4" t="s">
        <v>379</v>
      </c>
      <c r="C117" s="1"/>
      <c r="D117" s="44" t="n">
        <f aca="false">SUMPRODUCT($G$60:$BX$60,$G$41:$BX$41)+SUMPRODUCT($G$61:$BX$61,$G$41:$BX$41)</f>
        <v>0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</row>
    <row r="118" customFormat="false" ht="15" hidden="false" customHeight="false" outlineLevel="0" collapsed="false">
      <c r="A118" s="1"/>
      <c r="B118" s="4" t="s">
        <v>409</v>
      </c>
      <c r="C118" s="1"/>
      <c r="D118" s="46" t="n">
        <f aca="false">-$D$100/((1-$D$17)*$D$103/1000000)</f>
        <v>402.121054188142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</row>
    <row r="120" customFormat="false" ht="15" hidden="false" customHeight="false" outlineLevel="0" collapsed="false">
      <c r="A120" s="1"/>
      <c r="B120" s="13" t="s">
        <v>381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</row>
    <row r="121" customFormat="false" ht="15" hidden="false" customHeight="false" outlineLevel="0" collapsed="false">
      <c r="A121" s="1"/>
      <c r="B121" s="8" t="s">
        <v>382</v>
      </c>
      <c r="C121" s="8" t="s">
        <v>126</v>
      </c>
      <c r="D121" s="44" t="n">
        <f aca="false">SUM(G121:BX121)</f>
        <v>167.4</v>
      </c>
      <c r="E121" s="1"/>
      <c r="F121" s="1"/>
      <c r="G121" s="48" t="n">
        <f aca="false">G77*$D$23</f>
        <v>0</v>
      </c>
      <c r="H121" s="48" t="n">
        <f aca="false">H77*$D$23</f>
        <v>0</v>
      </c>
      <c r="I121" s="48" t="n">
        <f aca="false">I77*$D$23</f>
        <v>0</v>
      </c>
      <c r="J121" s="48" t="n">
        <f aca="false">J77*$D$23</f>
        <v>0</v>
      </c>
      <c r="K121" s="48" t="n">
        <f aca="false">K77*$D$23</f>
        <v>5.58</v>
      </c>
      <c r="L121" s="48" t="n">
        <f aca="false">L77*$D$23</f>
        <v>5.58</v>
      </c>
      <c r="M121" s="48" t="n">
        <f aca="false">M77*$D$23</f>
        <v>5.58</v>
      </c>
      <c r="N121" s="48" t="n">
        <f aca="false">N77*$D$23</f>
        <v>5.58</v>
      </c>
      <c r="O121" s="48" t="n">
        <f aca="false">O77*$D$23</f>
        <v>5.58</v>
      </c>
      <c r="P121" s="48" t="n">
        <f aca="false">P77*$D$23</f>
        <v>5.58</v>
      </c>
      <c r="Q121" s="48" t="n">
        <f aca="false">Q77*$D$23</f>
        <v>5.58</v>
      </c>
      <c r="R121" s="48" t="n">
        <f aca="false">R77*$D$23</f>
        <v>5.58</v>
      </c>
      <c r="S121" s="48" t="n">
        <f aca="false">S77*$D$23</f>
        <v>5.58</v>
      </c>
      <c r="T121" s="48" t="n">
        <f aca="false">T77*$D$23</f>
        <v>5.58</v>
      </c>
      <c r="U121" s="48" t="n">
        <f aca="false">U77*$D$23</f>
        <v>5.58</v>
      </c>
      <c r="V121" s="48" t="n">
        <f aca="false">V77*$D$23</f>
        <v>5.58</v>
      </c>
      <c r="W121" s="48" t="n">
        <f aca="false">W77*$D$23</f>
        <v>5.58</v>
      </c>
      <c r="X121" s="48" t="n">
        <f aca="false">X77*$D$23</f>
        <v>5.58</v>
      </c>
      <c r="Y121" s="48" t="n">
        <f aca="false">Y77*$D$23</f>
        <v>5.58</v>
      </c>
      <c r="Z121" s="48" t="n">
        <f aca="false">Z77*$D$23</f>
        <v>5.58</v>
      </c>
      <c r="AA121" s="48" t="n">
        <f aca="false">AA77*$D$23</f>
        <v>5.58</v>
      </c>
      <c r="AB121" s="48" t="n">
        <f aca="false">AB77*$D$23</f>
        <v>5.58</v>
      </c>
      <c r="AC121" s="48" t="n">
        <f aca="false">AC77*$D$23</f>
        <v>5.58</v>
      </c>
      <c r="AD121" s="48" t="n">
        <f aca="false">AD77*$D$23</f>
        <v>5.58</v>
      </c>
      <c r="AE121" s="48" t="n">
        <f aca="false">AE77*$D$23</f>
        <v>5.58</v>
      </c>
      <c r="AF121" s="48" t="n">
        <f aca="false">AF77*$D$23</f>
        <v>5.58</v>
      </c>
      <c r="AG121" s="48" t="n">
        <f aca="false">AG77*$D$23</f>
        <v>5.58</v>
      </c>
      <c r="AH121" s="48" t="n">
        <f aca="false">AH77*$D$23</f>
        <v>5.58</v>
      </c>
      <c r="AI121" s="48" t="n">
        <f aca="false">AI77*$D$23</f>
        <v>5.58</v>
      </c>
      <c r="AJ121" s="48" t="n">
        <f aca="false">AJ77*$D$23</f>
        <v>5.58</v>
      </c>
      <c r="AK121" s="48" t="n">
        <f aca="false">AK77*$D$23</f>
        <v>5.58</v>
      </c>
      <c r="AL121" s="48" t="n">
        <f aca="false">AL77*$D$23</f>
        <v>5.58</v>
      </c>
      <c r="AM121" s="48" t="n">
        <f aca="false">AM77*$D$23</f>
        <v>5.58</v>
      </c>
      <c r="AN121" s="48" t="n">
        <f aca="false">AN77*$D$23</f>
        <v>5.58</v>
      </c>
      <c r="AO121" s="48" t="n">
        <f aca="false">AO77*$D$23</f>
        <v>0</v>
      </c>
      <c r="AP121" s="48" t="n">
        <f aca="false">AP77*$D$23</f>
        <v>0</v>
      </c>
      <c r="AQ121" s="48" t="n">
        <f aca="false">AQ77*$D$23</f>
        <v>0</v>
      </c>
      <c r="AR121" s="48" t="n">
        <f aca="false">AR77*$D$23</f>
        <v>0</v>
      </c>
      <c r="AS121" s="48" t="n">
        <f aca="false">AS77*$D$23</f>
        <v>0</v>
      </c>
      <c r="AT121" s="48" t="n">
        <f aca="false">AT77*$D$23</f>
        <v>0</v>
      </c>
      <c r="AU121" s="48" t="n">
        <f aca="false">AU77*$D$23</f>
        <v>0</v>
      </c>
      <c r="AV121" s="48" t="n">
        <f aca="false">AV77*$D$23</f>
        <v>0</v>
      </c>
      <c r="AW121" s="48" t="n">
        <f aca="false">AW77*$D$23</f>
        <v>0</v>
      </c>
      <c r="AX121" s="48" t="n">
        <f aca="false">AX77*$D$23</f>
        <v>0</v>
      </c>
      <c r="AY121" s="48" t="n">
        <f aca="false">AY77*$D$23</f>
        <v>0</v>
      </c>
      <c r="AZ121" s="48" t="n">
        <f aca="false">AZ77*$D$23</f>
        <v>0</v>
      </c>
      <c r="BA121" s="48" t="n">
        <f aca="false">BA77*$D$23</f>
        <v>0</v>
      </c>
      <c r="BB121" s="48" t="n">
        <f aca="false">BB77*$D$23</f>
        <v>0</v>
      </c>
      <c r="BC121" s="48" t="n">
        <f aca="false">BC77*$D$23</f>
        <v>0</v>
      </c>
      <c r="BD121" s="48" t="n">
        <f aca="false">BD77*$D$23</f>
        <v>0</v>
      </c>
      <c r="BE121" s="48" t="n">
        <f aca="false">BE77*$D$23</f>
        <v>0</v>
      </c>
      <c r="BF121" s="48" t="n">
        <f aca="false">BF77*$D$23</f>
        <v>0</v>
      </c>
      <c r="BG121" s="48" t="n">
        <f aca="false">BG77*$D$23</f>
        <v>0</v>
      </c>
      <c r="BH121" s="48" t="n">
        <f aca="false">BH77*$D$23</f>
        <v>0</v>
      </c>
      <c r="BI121" s="48" t="n">
        <f aca="false">BI77*$D$23</f>
        <v>0</v>
      </c>
      <c r="BJ121" s="48" t="n">
        <f aca="false">BJ77*$D$23</f>
        <v>0</v>
      </c>
      <c r="BK121" s="48" t="n">
        <f aca="false">BK77*$D$23</f>
        <v>0</v>
      </c>
      <c r="BL121" s="48" t="n">
        <f aca="false">BL77*$D$23</f>
        <v>0</v>
      </c>
      <c r="BM121" s="48" t="n">
        <f aca="false">BM77*$D$23</f>
        <v>0</v>
      </c>
      <c r="BN121" s="48" t="n">
        <f aca="false">BN77*$D$23</f>
        <v>0</v>
      </c>
      <c r="BO121" s="48" t="n">
        <f aca="false">BO77*$D$23</f>
        <v>0</v>
      </c>
      <c r="BP121" s="48" t="n">
        <f aca="false">BP77*$D$23</f>
        <v>0</v>
      </c>
      <c r="BQ121" s="48" t="n">
        <f aca="false">BQ77*$D$23</f>
        <v>0</v>
      </c>
      <c r="BR121" s="48" t="n">
        <f aca="false">BR77*$D$23</f>
        <v>0</v>
      </c>
      <c r="BS121" s="48" t="n">
        <f aca="false">BS77*$D$23</f>
        <v>0</v>
      </c>
      <c r="BT121" s="48" t="n">
        <f aca="false">BT77*$D$23</f>
        <v>0</v>
      </c>
      <c r="BU121" s="48" t="n">
        <f aca="false">BU77*$D$23</f>
        <v>0</v>
      </c>
      <c r="BV121" s="48" t="n">
        <f aca="false">BV77*$D$23</f>
        <v>0</v>
      </c>
      <c r="BW121" s="48" t="n">
        <f aca="false">BW77*$D$23</f>
        <v>0</v>
      </c>
      <c r="BX121" s="48" t="n">
        <f aca="false">BX77*$D$23</f>
        <v>0</v>
      </c>
    </row>
    <row r="122" customFormat="false" ht="15" hidden="false" customHeight="false" outlineLevel="0" collapsed="false">
      <c r="A122" s="1"/>
      <c r="B122" s="8" t="s">
        <v>383</v>
      </c>
      <c r="C122" s="8" t="s">
        <v>126</v>
      </c>
      <c r="D122" s="44" t="n">
        <f aca="false">SUM(G122:BX122)</f>
        <v>0</v>
      </c>
      <c r="E122" s="1"/>
      <c r="F122" s="1"/>
      <c r="G122" s="48" t="n">
        <f aca="false">G77*(1-$D$23)</f>
        <v>0</v>
      </c>
      <c r="H122" s="48" t="n">
        <f aca="false">H77*(1-$D$23)</f>
        <v>0</v>
      </c>
      <c r="I122" s="48" t="n">
        <f aca="false">I77*(1-$D$23)</f>
        <v>0</v>
      </c>
      <c r="J122" s="48" t="n">
        <f aca="false">J77*(1-$D$23)</f>
        <v>0</v>
      </c>
      <c r="K122" s="48" t="n">
        <f aca="false">K77*(1-$D$23)</f>
        <v>0</v>
      </c>
      <c r="L122" s="48" t="n">
        <f aca="false">L77*(1-$D$23)</f>
        <v>0</v>
      </c>
      <c r="M122" s="48" t="n">
        <f aca="false">M77*(1-$D$23)</f>
        <v>0</v>
      </c>
      <c r="N122" s="48" t="n">
        <f aca="false">N77*(1-$D$23)</f>
        <v>0</v>
      </c>
      <c r="O122" s="48" t="n">
        <f aca="false">O77*(1-$D$23)</f>
        <v>0</v>
      </c>
      <c r="P122" s="48" t="n">
        <f aca="false">P77*(1-$D$23)</f>
        <v>0</v>
      </c>
      <c r="Q122" s="48" t="n">
        <f aca="false">Q77*(1-$D$23)</f>
        <v>0</v>
      </c>
      <c r="R122" s="48" t="n">
        <f aca="false">R77*(1-$D$23)</f>
        <v>0</v>
      </c>
      <c r="S122" s="48" t="n">
        <f aca="false">S77*(1-$D$23)</f>
        <v>0</v>
      </c>
      <c r="T122" s="48" t="n">
        <f aca="false">T77*(1-$D$23)</f>
        <v>0</v>
      </c>
      <c r="U122" s="48" t="n">
        <f aca="false">U77*(1-$D$23)</f>
        <v>0</v>
      </c>
      <c r="V122" s="48" t="n">
        <f aca="false">V77*(1-$D$23)</f>
        <v>0</v>
      </c>
      <c r="W122" s="48" t="n">
        <f aca="false">W77*(1-$D$23)</f>
        <v>0</v>
      </c>
      <c r="X122" s="48" t="n">
        <f aca="false">X77*(1-$D$23)</f>
        <v>0</v>
      </c>
      <c r="Y122" s="48" t="n">
        <f aca="false">Y77*(1-$D$23)</f>
        <v>0</v>
      </c>
      <c r="Z122" s="48" t="n">
        <f aca="false">Z77*(1-$D$23)</f>
        <v>0</v>
      </c>
      <c r="AA122" s="48" t="n">
        <f aca="false">AA77*(1-$D$23)</f>
        <v>0</v>
      </c>
      <c r="AB122" s="48" t="n">
        <f aca="false">AB77*(1-$D$23)</f>
        <v>0</v>
      </c>
      <c r="AC122" s="48" t="n">
        <f aca="false">AC77*(1-$D$23)</f>
        <v>0</v>
      </c>
      <c r="AD122" s="48" t="n">
        <f aca="false">AD77*(1-$D$23)</f>
        <v>0</v>
      </c>
      <c r="AE122" s="48" t="n">
        <f aca="false">AE77*(1-$D$23)</f>
        <v>0</v>
      </c>
      <c r="AF122" s="48" t="n">
        <f aca="false">AF77*(1-$D$23)</f>
        <v>0</v>
      </c>
      <c r="AG122" s="48" t="n">
        <f aca="false">AG77*(1-$D$23)</f>
        <v>0</v>
      </c>
      <c r="AH122" s="48" t="n">
        <f aca="false">AH77*(1-$D$23)</f>
        <v>0</v>
      </c>
      <c r="AI122" s="48" t="n">
        <f aca="false">AI77*(1-$D$23)</f>
        <v>0</v>
      </c>
      <c r="AJ122" s="48" t="n">
        <f aca="false">AJ77*(1-$D$23)</f>
        <v>0</v>
      </c>
      <c r="AK122" s="48" t="n">
        <f aca="false">AK77*(1-$D$23)</f>
        <v>0</v>
      </c>
      <c r="AL122" s="48" t="n">
        <f aca="false">AL77*(1-$D$23)</f>
        <v>0</v>
      </c>
      <c r="AM122" s="48" t="n">
        <f aca="false">AM77*(1-$D$23)</f>
        <v>0</v>
      </c>
      <c r="AN122" s="48" t="n">
        <f aca="false">AN77*(1-$D$23)</f>
        <v>0</v>
      </c>
      <c r="AO122" s="48" t="n">
        <f aca="false">AO77*(1-$D$23)</f>
        <v>0</v>
      </c>
      <c r="AP122" s="48" t="n">
        <f aca="false">AP77*(1-$D$23)</f>
        <v>0</v>
      </c>
      <c r="AQ122" s="48" t="n">
        <f aca="false">AQ77*(1-$D$23)</f>
        <v>0</v>
      </c>
      <c r="AR122" s="48" t="n">
        <f aca="false">AR77*(1-$D$23)</f>
        <v>0</v>
      </c>
      <c r="AS122" s="48" t="n">
        <f aca="false">AS77*(1-$D$23)</f>
        <v>0</v>
      </c>
      <c r="AT122" s="48" t="n">
        <f aca="false">AT77*(1-$D$23)</f>
        <v>0</v>
      </c>
      <c r="AU122" s="48" t="n">
        <f aca="false">AU77*(1-$D$23)</f>
        <v>0</v>
      </c>
      <c r="AV122" s="48" t="n">
        <f aca="false">AV77*(1-$D$23)</f>
        <v>0</v>
      </c>
      <c r="AW122" s="48" t="n">
        <f aca="false">AW77*(1-$D$23)</f>
        <v>0</v>
      </c>
      <c r="AX122" s="48" t="n">
        <f aca="false">AX77*(1-$D$23)</f>
        <v>0</v>
      </c>
      <c r="AY122" s="48" t="n">
        <f aca="false">AY77*(1-$D$23)</f>
        <v>0</v>
      </c>
      <c r="AZ122" s="48" t="n">
        <f aca="false">AZ77*(1-$D$23)</f>
        <v>0</v>
      </c>
      <c r="BA122" s="48" t="n">
        <f aca="false">BA77*(1-$D$23)</f>
        <v>0</v>
      </c>
      <c r="BB122" s="48" t="n">
        <f aca="false">BB77*(1-$D$23)</f>
        <v>0</v>
      </c>
      <c r="BC122" s="48" t="n">
        <f aca="false">BC77*(1-$D$23)</f>
        <v>0</v>
      </c>
      <c r="BD122" s="48" t="n">
        <f aca="false">BD77*(1-$D$23)</f>
        <v>0</v>
      </c>
      <c r="BE122" s="48" t="n">
        <f aca="false">BE77*(1-$D$23)</f>
        <v>0</v>
      </c>
      <c r="BF122" s="48" t="n">
        <f aca="false">BF77*(1-$D$23)</f>
        <v>0</v>
      </c>
      <c r="BG122" s="48" t="n">
        <f aca="false">BG77*(1-$D$23)</f>
        <v>0</v>
      </c>
      <c r="BH122" s="48" t="n">
        <f aca="false">BH77*(1-$D$23)</f>
        <v>0</v>
      </c>
      <c r="BI122" s="48" t="n">
        <f aca="false">BI77*(1-$D$23)</f>
        <v>0</v>
      </c>
      <c r="BJ122" s="48" t="n">
        <f aca="false">BJ77*(1-$D$23)</f>
        <v>0</v>
      </c>
      <c r="BK122" s="48" t="n">
        <f aca="false">BK77*(1-$D$23)</f>
        <v>0</v>
      </c>
      <c r="BL122" s="48" t="n">
        <f aca="false">BL77*(1-$D$23)</f>
        <v>0</v>
      </c>
      <c r="BM122" s="48" t="n">
        <f aca="false">BM77*(1-$D$23)</f>
        <v>0</v>
      </c>
      <c r="BN122" s="48" t="n">
        <f aca="false">BN77*(1-$D$23)</f>
        <v>0</v>
      </c>
      <c r="BO122" s="48" t="n">
        <f aca="false">BO77*(1-$D$23)</f>
        <v>0</v>
      </c>
      <c r="BP122" s="48" t="n">
        <f aca="false">BP77*(1-$D$23)</f>
        <v>0</v>
      </c>
      <c r="BQ122" s="48" t="n">
        <f aca="false">BQ77*(1-$D$23)</f>
        <v>0</v>
      </c>
      <c r="BR122" s="48" t="n">
        <f aca="false">BR77*(1-$D$23)</f>
        <v>0</v>
      </c>
      <c r="BS122" s="48" t="n">
        <f aca="false">BS77*(1-$D$23)</f>
        <v>0</v>
      </c>
      <c r="BT122" s="48" t="n">
        <f aca="false">BT77*(1-$D$23)</f>
        <v>0</v>
      </c>
      <c r="BU122" s="48" t="n">
        <f aca="false">BU77*(1-$D$23)</f>
        <v>0</v>
      </c>
      <c r="BV122" s="48" t="n">
        <f aca="false">BV77*(1-$D$23)</f>
        <v>0</v>
      </c>
      <c r="BW122" s="48" t="n">
        <f aca="false">BW77*(1-$D$23)</f>
        <v>0</v>
      </c>
      <c r="BX122" s="48" t="n">
        <f aca="false">BX77*(1-$D$23)</f>
        <v>0</v>
      </c>
    </row>
    <row r="123" customFormat="false" ht="15" hidden="false" customHeight="false" outlineLevel="0" collapsed="false">
      <c r="A123" s="1"/>
      <c r="B123" s="8" t="s">
        <v>384</v>
      </c>
      <c r="C123" s="8" t="s">
        <v>126</v>
      </c>
      <c r="D123" s="44" t="n">
        <f aca="false">SUM(G123:BX123)</f>
        <v>0</v>
      </c>
      <c r="E123" s="1"/>
      <c r="F123" s="1"/>
      <c r="G123" s="48" t="n">
        <f aca="false">G92*Input!$H$147</f>
        <v>0</v>
      </c>
      <c r="H123" s="48" t="n">
        <f aca="false">H92*Input!$H$147</f>
        <v>0</v>
      </c>
      <c r="I123" s="48" t="n">
        <f aca="false">I92*Input!$H$147</f>
        <v>0</v>
      </c>
      <c r="J123" s="48" t="n">
        <f aca="false">J92*Input!$H$147</f>
        <v>0</v>
      </c>
      <c r="K123" s="48" t="n">
        <f aca="false">K92*Input!$H$147</f>
        <v>0</v>
      </c>
      <c r="L123" s="48" t="n">
        <f aca="false">L92*Input!$H$147</f>
        <v>0</v>
      </c>
      <c r="M123" s="48" t="n">
        <f aca="false">M92*Input!$H$147</f>
        <v>0</v>
      </c>
      <c r="N123" s="48" t="n">
        <f aca="false">N92*Input!$H$147</f>
        <v>0</v>
      </c>
      <c r="O123" s="48" t="n">
        <f aca="false">O92*Input!$H$147</f>
        <v>0</v>
      </c>
      <c r="P123" s="48" t="n">
        <f aca="false">P92*Input!$H$147</f>
        <v>0</v>
      </c>
      <c r="Q123" s="48" t="n">
        <f aca="false">Q92*Input!$H$147</f>
        <v>0</v>
      </c>
      <c r="R123" s="48" t="n">
        <f aca="false">R92*Input!$H$147</f>
        <v>0</v>
      </c>
      <c r="S123" s="48" t="n">
        <f aca="false">S92*Input!$H$147</f>
        <v>0</v>
      </c>
      <c r="T123" s="48" t="n">
        <f aca="false">T92*Input!$H$147</f>
        <v>0</v>
      </c>
      <c r="U123" s="48" t="n">
        <f aca="false">U92*Input!$H$147</f>
        <v>0</v>
      </c>
      <c r="V123" s="48" t="n">
        <f aca="false">V92*Input!$H$147</f>
        <v>0</v>
      </c>
      <c r="W123" s="48" t="n">
        <f aca="false">W92*Input!$H$147</f>
        <v>0</v>
      </c>
      <c r="X123" s="48" t="n">
        <f aca="false">X92*Input!$H$147</f>
        <v>0</v>
      </c>
      <c r="Y123" s="48" t="n">
        <f aca="false">Y92*Input!$H$147</f>
        <v>0</v>
      </c>
      <c r="Z123" s="48" t="n">
        <f aca="false">Z92*Input!$H$147</f>
        <v>0</v>
      </c>
      <c r="AA123" s="48" t="n">
        <f aca="false">AA92*Input!$H$147</f>
        <v>0</v>
      </c>
      <c r="AB123" s="48" t="n">
        <f aca="false">AB92*Input!$H$147</f>
        <v>0</v>
      </c>
      <c r="AC123" s="48" t="n">
        <f aca="false">AC92*Input!$H$147</f>
        <v>0</v>
      </c>
      <c r="AD123" s="48" t="n">
        <f aca="false">AD92*Input!$H$147</f>
        <v>0</v>
      </c>
      <c r="AE123" s="48" t="n">
        <f aca="false">AE92*Input!$H$147</f>
        <v>0</v>
      </c>
      <c r="AF123" s="48" t="n">
        <f aca="false">AF92*Input!$H$147</f>
        <v>0</v>
      </c>
      <c r="AG123" s="48" t="n">
        <f aca="false">AG92*Input!$H$147</f>
        <v>0</v>
      </c>
      <c r="AH123" s="48" t="n">
        <f aca="false">AH92*Input!$H$147</f>
        <v>0</v>
      </c>
      <c r="AI123" s="48" t="n">
        <f aca="false">AI92*Input!$H$147</f>
        <v>0</v>
      </c>
      <c r="AJ123" s="48" t="n">
        <f aca="false">AJ92*Input!$H$147</f>
        <v>0</v>
      </c>
      <c r="AK123" s="48" t="n">
        <f aca="false">AK92*Input!$H$147</f>
        <v>0</v>
      </c>
      <c r="AL123" s="48" t="n">
        <f aca="false">AL92*Input!$H$147</f>
        <v>0</v>
      </c>
      <c r="AM123" s="48" t="n">
        <f aca="false">AM92*Input!$H$147</f>
        <v>0</v>
      </c>
      <c r="AN123" s="48" t="n">
        <f aca="false">AN92*Input!$H$147</f>
        <v>0</v>
      </c>
      <c r="AO123" s="48" t="n">
        <f aca="false">AO92*Input!$H$147</f>
        <v>0</v>
      </c>
      <c r="AP123" s="48" t="n">
        <f aca="false">AP92*Input!$H$147</f>
        <v>0</v>
      </c>
      <c r="AQ123" s="48" t="n">
        <f aca="false">AQ92*Input!$H$147</f>
        <v>0</v>
      </c>
      <c r="AR123" s="48" t="n">
        <f aca="false">AR92*Input!$H$147</f>
        <v>0</v>
      </c>
      <c r="AS123" s="48" t="n">
        <f aca="false">AS92*Input!$H$147</f>
        <v>0</v>
      </c>
      <c r="AT123" s="48" t="n">
        <f aca="false">AT92*Input!$H$147</f>
        <v>0</v>
      </c>
      <c r="AU123" s="48" t="n">
        <f aca="false">AU92*Input!$H$147</f>
        <v>0</v>
      </c>
      <c r="AV123" s="48" t="n">
        <f aca="false">AV92*Input!$H$147</f>
        <v>0</v>
      </c>
      <c r="AW123" s="48" t="n">
        <f aca="false">AW92*Input!$H$147</f>
        <v>0</v>
      </c>
      <c r="AX123" s="48" t="n">
        <f aca="false">AX92*Input!$H$147</f>
        <v>0</v>
      </c>
      <c r="AY123" s="48" t="n">
        <f aca="false">AY92*Input!$H$147</f>
        <v>0</v>
      </c>
      <c r="AZ123" s="48" t="n">
        <f aca="false">AZ92*Input!$H$147</f>
        <v>0</v>
      </c>
      <c r="BA123" s="48" t="n">
        <f aca="false">BA92*Input!$H$147</f>
        <v>0</v>
      </c>
      <c r="BB123" s="48" t="n">
        <f aca="false">BB92*Input!$H$147</f>
        <v>0</v>
      </c>
      <c r="BC123" s="48" t="n">
        <f aca="false">BC92*Input!$H$147</f>
        <v>0</v>
      </c>
      <c r="BD123" s="48" t="n">
        <f aca="false">BD92*Input!$H$147</f>
        <v>0</v>
      </c>
      <c r="BE123" s="48" t="n">
        <f aca="false">BE92*Input!$H$147</f>
        <v>0</v>
      </c>
      <c r="BF123" s="48" t="n">
        <f aca="false">BF92*Input!$H$147</f>
        <v>0</v>
      </c>
      <c r="BG123" s="48" t="n">
        <f aca="false">BG92*Input!$H$147</f>
        <v>0</v>
      </c>
      <c r="BH123" s="48" t="n">
        <f aca="false">BH92*Input!$H$147</f>
        <v>0</v>
      </c>
      <c r="BI123" s="48" t="n">
        <f aca="false">BI92*Input!$H$147</f>
        <v>0</v>
      </c>
      <c r="BJ123" s="48" t="n">
        <f aca="false">BJ92*Input!$H$147</f>
        <v>0</v>
      </c>
      <c r="BK123" s="48" t="n">
        <f aca="false">BK92*Input!$H$147</f>
        <v>0</v>
      </c>
      <c r="BL123" s="48" t="n">
        <f aca="false">BL92*Input!$H$147</f>
        <v>0</v>
      </c>
      <c r="BM123" s="48" t="n">
        <f aca="false">BM92*Input!$H$147</f>
        <v>0</v>
      </c>
      <c r="BN123" s="48" t="n">
        <f aca="false">BN92*Input!$H$147</f>
        <v>0</v>
      </c>
      <c r="BO123" s="48" t="n">
        <f aca="false">BO92*Input!$H$147</f>
        <v>0</v>
      </c>
      <c r="BP123" s="48" t="n">
        <f aca="false">BP92*Input!$H$147</f>
        <v>0</v>
      </c>
      <c r="BQ123" s="48" t="n">
        <f aca="false">BQ92*Input!$H$147</f>
        <v>0</v>
      </c>
      <c r="BR123" s="48" t="n">
        <f aca="false">BR92*Input!$H$147</f>
        <v>0</v>
      </c>
      <c r="BS123" s="48" t="n">
        <f aca="false">BS92*Input!$H$147</f>
        <v>0</v>
      </c>
      <c r="BT123" s="48" t="n">
        <f aca="false">BT92*Input!$H$147</f>
        <v>0</v>
      </c>
      <c r="BU123" s="48" t="n">
        <f aca="false">BU92*Input!$H$147</f>
        <v>0</v>
      </c>
      <c r="BV123" s="48" t="n">
        <f aca="false">BV92*Input!$H$147</f>
        <v>0</v>
      </c>
      <c r="BW123" s="48" t="n">
        <f aca="false">BW92*Input!$H$147</f>
        <v>0</v>
      </c>
      <c r="BX123" s="48" t="n">
        <f aca="false">BX92*Input!$H$147</f>
        <v>0</v>
      </c>
    </row>
    <row r="124" customFormat="false" ht="15" hidden="false" customHeight="false" outlineLevel="0" collapsed="false">
      <c r="A124" s="1"/>
      <c r="B124" s="8" t="s">
        <v>385</v>
      </c>
      <c r="C124" s="8" t="s">
        <v>126</v>
      </c>
      <c r="D124" s="44" t="n">
        <f aca="false">SUM(G124:BX124)</f>
        <v>0</v>
      </c>
      <c r="E124" s="1"/>
      <c r="F124" s="1"/>
      <c r="G124" s="48" t="n">
        <f aca="false">G92*Input!$H$148</f>
        <v>0</v>
      </c>
      <c r="H124" s="48" t="n">
        <f aca="false">H92*Input!$H$148</f>
        <v>0</v>
      </c>
      <c r="I124" s="48" t="n">
        <f aca="false">I92*Input!$H$148</f>
        <v>0</v>
      </c>
      <c r="J124" s="48" t="n">
        <f aca="false">J92*Input!$H$148</f>
        <v>0</v>
      </c>
      <c r="K124" s="48" t="n">
        <f aca="false">K92*Input!$H$148</f>
        <v>0</v>
      </c>
      <c r="L124" s="48" t="n">
        <f aca="false">L92*Input!$H$148</f>
        <v>0</v>
      </c>
      <c r="M124" s="48" t="n">
        <f aca="false">M92*Input!$H$148</f>
        <v>0</v>
      </c>
      <c r="N124" s="48" t="n">
        <f aca="false">N92*Input!$H$148</f>
        <v>0</v>
      </c>
      <c r="O124" s="48" t="n">
        <f aca="false">O92*Input!$H$148</f>
        <v>0</v>
      </c>
      <c r="P124" s="48" t="n">
        <f aca="false">P92*Input!$H$148</f>
        <v>0</v>
      </c>
      <c r="Q124" s="48" t="n">
        <f aca="false">Q92*Input!$H$148</f>
        <v>0</v>
      </c>
      <c r="R124" s="48" t="n">
        <f aca="false">R92*Input!$H$148</f>
        <v>0</v>
      </c>
      <c r="S124" s="48" t="n">
        <f aca="false">S92*Input!$H$148</f>
        <v>0</v>
      </c>
      <c r="T124" s="48" t="n">
        <f aca="false">T92*Input!$H$148</f>
        <v>0</v>
      </c>
      <c r="U124" s="48" t="n">
        <f aca="false">U92*Input!$H$148</f>
        <v>0</v>
      </c>
      <c r="V124" s="48" t="n">
        <f aca="false">V92*Input!$H$148</f>
        <v>0</v>
      </c>
      <c r="W124" s="48" t="n">
        <f aca="false">W92*Input!$H$148</f>
        <v>0</v>
      </c>
      <c r="X124" s="48" t="n">
        <f aca="false">X92*Input!$H$148</f>
        <v>0</v>
      </c>
      <c r="Y124" s="48" t="n">
        <f aca="false">Y92*Input!$H$148</f>
        <v>0</v>
      </c>
      <c r="Z124" s="48" t="n">
        <f aca="false">Z92*Input!$H$148</f>
        <v>0</v>
      </c>
      <c r="AA124" s="48" t="n">
        <f aca="false">AA92*Input!$H$148</f>
        <v>0</v>
      </c>
      <c r="AB124" s="48" t="n">
        <f aca="false">AB92*Input!$H$148</f>
        <v>0</v>
      </c>
      <c r="AC124" s="48" t="n">
        <f aca="false">AC92*Input!$H$148</f>
        <v>0</v>
      </c>
      <c r="AD124" s="48" t="n">
        <f aca="false">AD92*Input!$H$148</f>
        <v>0</v>
      </c>
      <c r="AE124" s="48" t="n">
        <f aca="false">AE92*Input!$H$148</f>
        <v>0</v>
      </c>
      <c r="AF124" s="48" t="n">
        <f aca="false">AF92*Input!$H$148</f>
        <v>0</v>
      </c>
      <c r="AG124" s="48" t="n">
        <f aca="false">AG92*Input!$H$148</f>
        <v>0</v>
      </c>
      <c r="AH124" s="48" t="n">
        <f aca="false">AH92*Input!$H$148</f>
        <v>0</v>
      </c>
      <c r="AI124" s="48" t="n">
        <f aca="false">AI92*Input!$H$148</f>
        <v>0</v>
      </c>
      <c r="AJ124" s="48" t="n">
        <f aca="false">AJ92*Input!$H$148</f>
        <v>0</v>
      </c>
      <c r="AK124" s="48" t="n">
        <f aca="false">AK92*Input!$H$148</f>
        <v>0</v>
      </c>
      <c r="AL124" s="48" t="n">
        <f aca="false">AL92*Input!$H$148</f>
        <v>0</v>
      </c>
      <c r="AM124" s="48" t="n">
        <f aca="false">AM92*Input!$H$148</f>
        <v>0</v>
      </c>
      <c r="AN124" s="48" t="n">
        <f aca="false">AN92*Input!$H$148</f>
        <v>0</v>
      </c>
      <c r="AO124" s="48" t="n">
        <f aca="false">AO92*Input!$H$148</f>
        <v>0</v>
      </c>
      <c r="AP124" s="48" t="n">
        <f aca="false">AP92*Input!$H$148</f>
        <v>0</v>
      </c>
      <c r="AQ124" s="48" t="n">
        <f aca="false">AQ92*Input!$H$148</f>
        <v>0</v>
      </c>
      <c r="AR124" s="48" t="n">
        <f aca="false">AR92*Input!$H$148</f>
        <v>0</v>
      </c>
      <c r="AS124" s="48" t="n">
        <f aca="false">AS92*Input!$H$148</f>
        <v>0</v>
      </c>
      <c r="AT124" s="48" t="n">
        <f aca="false">AT92*Input!$H$148</f>
        <v>0</v>
      </c>
      <c r="AU124" s="48" t="n">
        <f aca="false">AU92*Input!$H$148</f>
        <v>0</v>
      </c>
      <c r="AV124" s="48" t="n">
        <f aca="false">AV92*Input!$H$148</f>
        <v>0</v>
      </c>
      <c r="AW124" s="48" t="n">
        <f aca="false">AW92*Input!$H$148</f>
        <v>0</v>
      </c>
      <c r="AX124" s="48" t="n">
        <f aca="false">AX92*Input!$H$148</f>
        <v>0</v>
      </c>
      <c r="AY124" s="48" t="n">
        <f aca="false">AY92*Input!$H$148</f>
        <v>0</v>
      </c>
      <c r="AZ124" s="48" t="n">
        <f aca="false">AZ92*Input!$H$148</f>
        <v>0</v>
      </c>
      <c r="BA124" s="48" t="n">
        <f aca="false">BA92*Input!$H$148</f>
        <v>0</v>
      </c>
      <c r="BB124" s="48" t="n">
        <f aca="false">BB92*Input!$H$148</f>
        <v>0</v>
      </c>
      <c r="BC124" s="48" t="n">
        <f aca="false">BC92*Input!$H$148</f>
        <v>0</v>
      </c>
      <c r="BD124" s="48" t="n">
        <f aca="false">BD92*Input!$H$148</f>
        <v>0</v>
      </c>
      <c r="BE124" s="48" t="n">
        <f aca="false">BE92*Input!$H$148</f>
        <v>0</v>
      </c>
      <c r="BF124" s="48" t="n">
        <f aca="false">BF92*Input!$H$148</f>
        <v>0</v>
      </c>
      <c r="BG124" s="48" t="n">
        <f aca="false">BG92*Input!$H$148</f>
        <v>0</v>
      </c>
      <c r="BH124" s="48" t="n">
        <f aca="false">BH92*Input!$H$148</f>
        <v>0</v>
      </c>
      <c r="BI124" s="48" t="n">
        <f aca="false">BI92*Input!$H$148</f>
        <v>0</v>
      </c>
      <c r="BJ124" s="48" t="n">
        <f aca="false">BJ92*Input!$H$148</f>
        <v>0</v>
      </c>
      <c r="BK124" s="48" t="n">
        <f aca="false">BK92*Input!$H$148</f>
        <v>0</v>
      </c>
      <c r="BL124" s="48" t="n">
        <f aca="false">BL92*Input!$H$148</f>
        <v>0</v>
      </c>
      <c r="BM124" s="48" t="n">
        <f aca="false">BM92*Input!$H$148</f>
        <v>0</v>
      </c>
      <c r="BN124" s="48" t="n">
        <f aca="false">BN92*Input!$H$148</f>
        <v>0</v>
      </c>
      <c r="BO124" s="48" t="n">
        <f aca="false">BO92*Input!$H$148</f>
        <v>0</v>
      </c>
      <c r="BP124" s="48" t="n">
        <f aca="false">BP92*Input!$H$148</f>
        <v>0</v>
      </c>
      <c r="BQ124" s="48" t="n">
        <f aca="false">BQ92*Input!$H$148</f>
        <v>0</v>
      </c>
      <c r="BR124" s="48" t="n">
        <f aca="false">BR92*Input!$H$148</f>
        <v>0</v>
      </c>
      <c r="BS124" s="48" t="n">
        <f aca="false">BS92*Input!$H$148</f>
        <v>0</v>
      </c>
      <c r="BT124" s="48" t="n">
        <f aca="false">BT92*Input!$H$148</f>
        <v>0</v>
      </c>
      <c r="BU124" s="48" t="n">
        <f aca="false">BU92*Input!$H$148</f>
        <v>0</v>
      </c>
      <c r="BV124" s="48" t="n">
        <f aca="false">BV92*Input!$H$148</f>
        <v>0</v>
      </c>
      <c r="BW124" s="48" t="n">
        <f aca="false">BW92*Input!$H$148</f>
        <v>0</v>
      </c>
      <c r="BX124" s="48" t="n">
        <f aca="false">BX92*Input!$H$148</f>
        <v>0</v>
      </c>
    </row>
    <row r="125" customFormat="false" ht="15" hidden="false" customHeight="false" outlineLevel="0" collapsed="false">
      <c r="A125" s="1"/>
      <c r="B125" s="8" t="s">
        <v>386</v>
      </c>
      <c r="C125" s="8" t="s">
        <v>126</v>
      </c>
      <c r="D125" s="44" t="n">
        <f aca="false">SUM(G125:BX125)</f>
        <v>0</v>
      </c>
      <c r="E125" s="1"/>
      <c r="F125" s="1"/>
      <c r="G125" s="48" t="n">
        <f aca="false">G92*Input!$H$149</f>
        <v>0</v>
      </c>
      <c r="H125" s="48" t="n">
        <f aca="false">H92*Input!$H$149</f>
        <v>0</v>
      </c>
      <c r="I125" s="48" t="n">
        <f aca="false">I92*Input!$H$149</f>
        <v>0</v>
      </c>
      <c r="J125" s="48" t="n">
        <f aca="false">J92*Input!$H$149</f>
        <v>0</v>
      </c>
      <c r="K125" s="48" t="n">
        <f aca="false">K92*Input!$H$149</f>
        <v>0</v>
      </c>
      <c r="L125" s="48" t="n">
        <f aca="false">L92*Input!$H$149</f>
        <v>0</v>
      </c>
      <c r="M125" s="48" t="n">
        <f aca="false">M92*Input!$H$149</f>
        <v>0</v>
      </c>
      <c r="N125" s="48" t="n">
        <f aca="false">N92*Input!$H$149</f>
        <v>0</v>
      </c>
      <c r="O125" s="48" t="n">
        <f aca="false">O92*Input!$H$149</f>
        <v>0</v>
      </c>
      <c r="P125" s="48" t="n">
        <f aca="false">P92*Input!$H$149</f>
        <v>0</v>
      </c>
      <c r="Q125" s="48" t="n">
        <f aca="false">Q92*Input!$H$149</f>
        <v>0</v>
      </c>
      <c r="R125" s="48" t="n">
        <f aca="false">R92*Input!$H$149</f>
        <v>0</v>
      </c>
      <c r="S125" s="48" t="n">
        <f aca="false">S92*Input!$H$149</f>
        <v>0</v>
      </c>
      <c r="T125" s="48" t="n">
        <f aca="false">T92*Input!$H$149</f>
        <v>0</v>
      </c>
      <c r="U125" s="48" t="n">
        <f aca="false">U92*Input!$H$149</f>
        <v>0</v>
      </c>
      <c r="V125" s="48" t="n">
        <f aca="false">V92*Input!$H$149</f>
        <v>0</v>
      </c>
      <c r="W125" s="48" t="n">
        <f aca="false">W92*Input!$H$149</f>
        <v>0</v>
      </c>
      <c r="X125" s="48" t="n">
        <f aca="false">X92*Input!$H$149</f>
        <v>0</v>
      </c>
      <c r="Y125" s="48" t="n">
        <f aca="false">Y92*Input!$H$149</f>
        <v>0</v>
      </c>
      <c r="Z125" s="48" t="n">
        <f aca="false">Z92*Input!$H$149</f>
        <v>0</v>
      </c>
      <c r="AA125" s="48" t="n">
        <f aca="false">AA92*Input!$H$149</f>
        <v>0</v>
      </c>
      <c r="AB125" s="48" t="n">
        <f aca="false">AB92*Input!$H$149</f>
        <v>0</v>
      </c>
      <c r="AC125" s="48" t="n">
        <f aca="false">AC92*Input!$H$149</f>
        <v>0</v>
      </c>
      <c r="AD125" s="48" t="n">
        <f aca="false">AD92*Input!$H$149</f>
        <v>0</v>
      </c>
      <c r="AE125" s="48" t="n">
        <f aca="false">AE92*Input!$H$149</f>
        <v>0</v>
      </c>
      <c r="AF125" s="48" t="n">
        <f aca="false">AF92*Input!$H$149</f>
        <v>0</v>
      </c>
      <c r="AG125" s="48" t="n">
        <f aca="false">AG92*Input!$H$149</f>
        <v>0</v>
      </c>
      <c r="AH125" s="48" t="n">
        <f aca="false">AH92*Input!$H$149</f>
        <v>0</v>
      </c>
      <c r="AI125" s="48" t="n">
        <f aca="false">AI92*Input!$H$149</f>
        <v>0</v>
      </c>
      <c r="AJ125" s="48" t="n">
        <f aca="false">AJ92*Input!$H$149</f>
        <v>0</v>
      </c>
      <c r="AK125" s="48" t="n">
        <f aca="false">AK92*Input!$H$149</f>
        <v>0</v>
      </c>
      <c r="AL125" s="48" t="n">
        <f aca="false">AL92*Input!$H$149</f>
        <v>0</v>
      </c>
      <c r="AM125" s="48" t="n">
        <f aca="false">AM92*Input!$H$149</f>
        <v>0</v>
      </c>
      <c r="AN125" s="48" t="n">
        <f aca="false">AN92*Input!$H$149</f>
        <v>0</v>
      </c>
      <c r="AO125" s="48" t="n">
        <f aca="false">AO92*Input!$H$149</f>
        <v>0</v>
      </c>
      <c r="AP125" s="48" t="n">
        <f aca="false">AP92*Input!$H$149</f>
        <v>0</v>
      </c>
      <c r="AQ125" s="48" t="n">
        <f aca="false">AQ92*Input!$H$149</f>
        <v>0</v>
      </c>
      <c r="AR125" s="48" t="n">
        <f aca="false">AR92*Input!$H$149</f>
        <v>0</v>
      </c>
      <c r="AS125" s="48" t="n">
        <f aca="false">AS92*Input!$H$149</f>
        <v>0</v>
      </c>
      <c r="AT125" s="48" t="n">
        <f aca="false">AT92*Input!$H$149</f>
        <v>0</v>
      </c>
      <c r="AU125" s="48" t="n">
        <f aca="false">AU92*Input!$H$149</f>
        <v>0</v>
      </c>
      <c r="AV125" s="48" t="n">
        <f aca="false">AV92*Input!$H$149</f>
        <v>0</v>
      </c>
      <c r="AW125" s="48" t="n">
        <f aca="false">AW92*Input!$H$149</f>
        <v>0</v>
      </c>
      <c r="AX125" s="48" t="n">
        <f aca="false">AX92*Input!$H$149</f>
        <v>0</v>
      </c>
      <c r="AY125" s="48" t="n">
        <f aca="false">AY92*Input!$H$149</f>
        <v>0</v>
      </c>
      <c r="AZ125" s="48" t="n">
        <f aca="false">AZ92*Input!$H$149</f>
        <v>0</v>
      </c>
      <c r="BA125" s="48" t="n">
        <f aca="false">BA92*Input!$H$149</f>
        <v>0</v>
      </c>
      <c r="BB125" s="48" t="n">
        <f aca="false">BB92*Input!$H$149</f>
        <v>0</v>
      </c>
      <c r="BC125" s="48" t="n">
        <f aca="false">BC92*Input!$H$149</f>
        <v>0</v>
      </c>
      <c r="BD125" s="48" t="n">
        <f aca="false">BD92*Input!$H$149</f>
        <v>0</v>
      </c>
      <c r="BE125" s="48" t="n">
        <f aca="false">BE92*Input!$H$149</f>
        <v>0</v>
      </c>
      <c r="BF125" s="48" t="n">
        <f aca="false">BF92*Input!$H$149</f>
        <v>0</v>
      </c>
      <c r="BG125" s="48" t="n">
        <f aca="false">BG92*Input!$H$149</f>
        <v>0</v>
      </c>
      <c r="BH125" s="48" t="n">
        <f aca="false">BH92*Input!$H$149</f>
        <v>0</v>
      </c>
      <c r="BI125" s="48" t="n">
        <f aca="false">BI92*Input!$H$149</f>
        <v>0</v>
      </c>
      <c r="BJ125" s="48" t="n">
        <f aca="false">BJ92*Input!$H$149</f>
        <v>0</v>
      </c>
      <c r="BK125" s="48" t="n">
        <f aca="false">BK92*Input!$H$149</f>
        <v>0</v>
      </c>
      <c r="BL125" s="48" t="n">
        <f aca="false">BL92*Input!$H$149</f>
        <v>0</v>
      </c>
      <c r="BM125" s="48" t="n">
        <f aca="false">BM92*Input!$H$149</f>
        <v>0</v>
      </c>
      <c r="BN125" s="48" t="n">
        <f aca="false">BN92*Input!$H$149</f>
        <v>0</v>
      </c>
      <c r="BO125" s="48" t="n">
        <f aca="false">BO92*Input!$H$149</f>
        <v>0</v>
      </c>
      <c r="BP125" s="48" t="n">
        <f aca="false">BP92*Input!$H$149</f>
        <v>0</v>
      </c>
      <c r="BQ125" s="48" t="n">
        <f aca="false">BQ92*Input!$H$149</f>
        <v>0</v>
      </c>
      <c r="BR125" s="48" t="n">
        <f aca="false">BR92*Input!$H$149</f>
        <v>0</v>
      </c>
      <c r="BS125" s="48" t="n">
        <f aca="false">BS92*Input!$H$149</f>
        <v>0</v>
      </c>
      <c r="BT125" s="48" t="n">
        <f aca="false">BT92*Input!$H$149</f>
        <v>0</v>
      </c>
      <c r="BU125" s="48" t="n">
        <f aca="false">BU92*Input!$H$149</f>
        <v>0</v>
      </c>
      <c r="BV125" s="48" t="n">
        <f aca="false">BV92*Input!$H$149</f>
        <v>0</v>
      </c>
      <c r="BW125" s="48" t="n">
        <f aca="false">BW92*Input!$H$149</f>
        <v>0</v>
      </c>
      <c r="BX125" s="48" t="n">
        <f aca="false">BX92*Input!$H$149</f>
        <v>0</v>
      </c>
    </row>
    <row r="126" customFormat="false" ht="15" hidden="false" customHeight="false" outlineLevel="0" collapsed="false">
      <c r="A126" s="1"/>
      <c r="B126" s="8" t="s">
        <v>387</v>
      </c>
      <c r="C126" s="1"/>
      <c r="D126" s="48" t="n">
        <f aca="false">$D$20*1000/(1+Input!$H$154)</f>
        <v>166002.656042497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</row>
    <row r="127" customFormat="false" ht="15" hidden="false" customHeight="false" outlineLevel="0" collapsed="false">
      <c r="A127" s="1"/>
      <c r="B127" s="8" t="s">
        <v>388</v>
      </c>
      <c r="C127" s="1"/>
      <c r="D127" s="48" t="n">
        <f aca="false">$D$126*(1-Input!$H$153)</f>
        <v>143243.69189907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</row>
    <row r="128" customFormat="false" ht="15" hidden="false" customHeight="false" outlineLevel="0" collapsed="false">
      <c r="A128" s="1"/>
      <c r="B128" s="8" t="s">
        <v>389</v>
      </c>
      <c r="C128" s="1"/>
      <c r="D128" s="48" t="n">
        <f aca="false">MAX(Input!$H$156*MIN($D$127,Input!$H$155)+Input!$H$157*MAX($D$127-Input!$H$155,0)-Input!$H$158,0)</f>
        <v>18237.9814077025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</row>
    <row r="129" customFormat="false" ht="15" hidden="false" customHeight="false" outlineLevel="0" collapsed="false">
      <c r="A129" s="1"/>
      <c r="B129" s="8" t="s">
        <v>390</v>
      </c>
      <c r="C129" s="1"/>
      <c r="D129" s="48" t="n">
        <f aca="false">Input!$H$160*12*(1-Input!$H$153)</f>
        <v>93193.2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</row>
    <row r="130" customFormat="false" ht="15" hidden="false" customHeight="false" outlineLevel="0" collapsed="false">
      <c r="A130" s="1"/>
      <c r="B130" s="8" t="s">
        <v>391</v>
      </c>
      <c r="C130" s="8" t="s">
        <v>126</v>
      </c>
      <c r="D130" s="44" t="n">
        <f aca="false">SUM(G130:BX130)</f>
        <v>11.9164771075697</v>
      </c>
      <c r="E130" s="1"/>
      <c r="F130" s="1"/>
      <c r="G130" s="48" t="n">
        <f aca="false">(G38*$D$19*$D$127*Input!$H$159+G37*$D$32*G43/MAX($G$43:$BX$43)*$D$129*Input!$H$161)*Input!$H$150/1000000</f>
        <v>0.3261762</v>
      </c>
      <c r="H130" s="48" t="n">
        <f aca="false">(H38*$D$19*$D$127*Input!$H$159+H37*$D$32*H43/MAX($G$43:$BX$43)*$D$129*Input!$H$161)*Input!$H$150/1000000</f>
        <v>0.4892643</v>
      </c>
      <c r="I130" s="48" t="n">
        <f aca="false">(I38*$D$19*$D$127*Input!$H$159+I37*$D$32*I43/MAX($G$43:$BX$43)*$D$129*Input!$H$161)*Input!$H$150/1000000</f>
        <v>0.13590675</v>
      </c>
      <c r="J130" s="48" t="n">
        <f aca="false">(J38*$D$19*$D$127*Input!$H$159+J37*$D$32*J43/MAX($G$43:$BX$43)*$D$129*Input!$H$161)*Input!$H$150/1000000</f>
        <v>0.13590675</v>
      </c>
      <c r="K130" s="48" t="n">
        <f aca="false">(K38*$D$19*$D$127*Input!$H$159+K37*$D$32*K43/MAX($G$43:$BX$43)*$D$129*Input!$H$161)*Input!$H$150/1000000</f>
        <v>0.360974103585657</v>
      </c>
      <c r="L130" s="48" t="n">
        <f aca="false">(L38*$D$19*$D$127*Input!$H$159+L37*$D$32*L43/MAX($G$43:$BX$43)*$D$129*Input!$H$161)*Input!$H$150/1000000</f>
        <v>0.360974103585657</v>
      </c>
      <c r="M130" s="48" t="n">
        <f aca="false">(M38*$D$19*$D$127*Input!$H$159+M37*$D$32*M43/MAX($G$43:$BX$43)*$D$129*Input!$H$161)*Input!$H$150/1000000</f>
        <v>0.360974103585657</v>
      </c>
      <c r="N130" s="48" t="n">
        <f aca="false">(N38*$D$19*$D$127*Input!$H$159+N37*$D$32*N43/MAX($G$43:$BX$43)*$D$129*Input!$H$161)*Input!$H$150/1000000</f>
        <v>0.360974103585657</v>
      </c>
      <c r="O130" s="48" t="n">
        <f aca="false">(O38*$D$19*$D$127*Input!$H$159+O37*$D$32*O43/MAX($G$43:$BX$43)*$D$129*Input!$H$161)*Input!$H$150/1000000</f>
        <v>0.360974103585657</v>
      </c>
      <c r="P130" s="48" t="n">
        <f aca="false">(P38*$D$19*$D$127*Input!$H$159+P37*$D$32*P43/MAX($G$43:$BX$43)*$D$129*Input!$H$161)*Input!$H$150/1000000</f>
        <v>0.360974103585657</v>
      </c>
      <c r="Q130" s="48" t="n">
        <f aca="false">(Q38*$D$19*$D$127*Input!$H$159+Q37*$D$32*Q43/MAX($G$43:$BX$43)*$D$129*Input!$H$161)*Input!$H$150/1000000</f>
        <v>0.360974103585657</v>
      </c>
      <c r="R130" s="48" t="n">
        <f aca="false">(R38*$D$19*$D$127*Input!$H$159+R37*$D$32*R43/MAX($G$43:$BX$43)*$D$129*Input!$H$161)*Input!$H$150/1000000</f>
        <v>0.360974103585657</v>
      </c>
      <c r="S130" s="48" t="n">
        <f aca="false">(S38*$D$19*$D$127*Input!$H$159+S37*$D$32*S43/MAX($G$43:$BX$43)*$D$129*Input!$H$161)*Input!$H$150/1000000</f>
        <v>0.360974103585657</v>
      </c>
      <c r="T130" s="48" t="n">
        <f aca="false">(T38*$D$19*$D$127*Input!$H$159+T37*$D$32*T43/MAX($G$43:$BX$43)*$D$129*Input!$H$161)*Input!$H$150/1000000</f>
        <v>0.360974103585657</v>
      </c>
      <c r="U130" s="48" t="n">
        <f aca="false">(U38*$D$19*$D$127*Input!$H$159+U37*$D$32*U43/MAX($G$43:$BX$43)*$D$129*Input!$H$161)*Input!$H$150/1000000</f>
        <v>0.360974103585657</v>
      </c>
      <c r="V130" s="48" t="n">
        <f aca="false">(V38*$D$19*$D$127*Input!$H$159+V37*$D$32*V43/MAX($G$43:$BX$43)*$D$129*Input!$H$161)*Input!$H$150/1000000</f>
        <v>0.360974103585657</v>
      </c>
      <c r="W130" s="48" t="n">
        <f aca="false">(W38*$D$19*$D$127*Input!$H$159+W37*$D$32*W43/MAX($G$43:$BX$43)*$D$129*Input!$H$161)*Input!$H$150/1000000</f>
        <v>0.360974103585657</v>
      </c>
      <c r="X130" s="48" t="n">
        <f aca="false">(X38*$D$19*$D$127*Input!$H$159+X37*$D$32*X43/MAX($G$43:$BX$43)*$D$129*Input!$H$161)*Input!$H$150/1000000</f>
        <v>0.360974103585657</v>
      </c>
      <c r="Y130" s="48" t="n">
        <f aca="false">(Y38*$D$19*$D$127*Input!$H$159+Y37*$D$32*Y43/MAX($G$43:$BX$43)*$D$129*Input!$H$161)*Input!$H$150/1000000</f>
        <v>0.360974103585657</v>
      </c>
      <c r="Z130" s="48" t="n">
        <f aca="false">(Z38*$D$19*$D$127*Input!$H$159+Z37*$D$32*Z43/MAX($G$43:$BX$43)*$D$129*Input!$H$161)*Input!$H$150/1000000</f>
        <v>0.360974103585657</v>
      </c>
      <c r="AA130" s="48" t="n">
        <f aca="false">(AA38*$D$19*$D$127*Input!$H$159+AA37*$D$32*AA43/MAX($G$43:$BX$43)*$D$129*Input!$H$161)*Input!$H$150/1000000</f>
        <v>0.360974103585657</v>
      </c>
      <c r="AB130" s="48" t="n">
        <f aca="false">(AB38*$D$19*$D$127*Input!$H$159+AB37*$D$32*AB43/MAX($G$43:$BX$43)*$D$129*Input!$H$161)*Input!$H$150/1000000</f>
        <v>0.360974103585657</v>
      </c>
      <c r="AC130" s="48" t="n">
        <f aca="false">(AC38*$D$19*$D$127*Input!$H$159+AC37*$D$32*AC43/MAX($G$43:$BX$43)*$D$129*Input!$H$161)*Input!$H$150/1000000</f>
        <v>0.360974103585657</v>
      </c>
      <c r="AD130" s="48" t="n">
        <f aca="false">(AD38*$D$19*$D$127*Input!$H$159+AD37*$D$32*AD43/MAX($G$43:$BX$43)*$D$129*Input!$H$161)*Input!$H$150/1000000</f>
        <v>0.360974103585657</v>
      </c>
      <c r="AE130" s="48" t="n">
        <f aca="false">(AE38*$D$19*$D$127*Input!$H$159+AE37*$D$32*AE43/MAX($G$43:$BX$43)*$D$129*Input!$H$161)*Input!$H$150/1000000</f>
        <v>0.360974103585657</v>
      </c>
      <c r="AF130" s="48" t="n">
        <f aca="false">(AF38*$D$19*$D$127*Input!$H$159+AF37*$D$32*AF43/MAX($G$43:$BX$43)*$D$129*Input!$H$161)*Input!$H$150/1000000</f>
        <v>0.360974103585657</v>
      </c>
      <c r="AG130" s="48" t="n">
        <f aca="false">(AG38*$D$19*$D$127*Input!$H$159+AG37*$D$32*AG43/MAX($G$43:$BX$43)*$D$129*Input!$H$161)*Input!$H$150/1000000</f>
        <v>0.360974103585657</v>
      </c>
      <c r="AH130" s="48" t="n">
        <f aca="false">(AH38*$D$19*$D$127*Input!$H$159+AH37*$D$32*AH43/MAX($G$43:$BX$43)*$D$129*Input!$H$161)*Input!$H$150/1000000</f>
        <v>0.360974103585657</v>
      </c>
      <c r="AI130" s="48" t="n">
        <f aca="false">(AI38*$D$19*$D$127*Input!$H$159+AI37*$D$32*AI43/MAX($G$43:$BX$43)*$D$129*Input!$H$161)*Input!$H$150/1000000</f>
        <v>0.360974103585657</v>
      </c>
      <c r="AJ130" s="48" t="n">
        <f aca="false">(AJ38*$D$19*$D$127*Input!$H$159+AJ37*$D$32*AJ43/MAX($G$43:$BX$43)*$D$129*Input!$H$161)*Input!$H$150/1000000</f>
        <v>0.360974103585657</v>
      </c>
      <c r="AK130" s="48" t="n">
        <f aca="false">(AK38*$D$19*$D$127*Input!$H$159+AK37*$D$32*AK43/MAX($G$43:$BX$43)*$D$129*Input!$H$161)*Input!$H$150/1000000</f>
        <v>0.360974103585657</v>
      </c>
      <c r="AL130" s="48" t="n">
        <f aca="false">(AL38*$D$19*$D$127*Input!$H$159+AL37*$D$32*AL43/MAX($G$43:$BX$43)*$D$129*Input!$H$161)*Input!$H$150/1000000</f>
        <v>0.360974103585657</v>
      </c>
      <c r="AM130" s="48" t="n">
        <f aca="false">(AM38*$D$19*$D$127*Input!$H$159+AM37*$D$32*AM43/MAX($G$43:$BX$43)*$D$129*Input!$H$161)*Input!$H$150/1000000</f>
        <v>0.360974103585657</v>
      </c>
      <c r="AN130" s="48" t="n">
        <f aca="false">(AN38*$D$19*$D$127*Input!$H$159+AN37*$D$32*AN43/MAX($G$43:$BX$43)*$D$129*Input!$H$161)*Input!$H$150/1000000</f>
        <v>0.360974103585657</v>
      </c>
      <c r="AO130" s="48" t="n">
        <f aca="false">(AO38*$D$19*$D$127*Input!$H$159+AO37*$D$32*AO43/MAX($G$43:$BX$43)*$D$129*Input!$H$161)*Input!$H$150/1000000</f>
        <v>0</v>
      </c>
      <c r="AP130" s="48" t="n">
        <f aca="false">(AP38*$D$19*$D$127*Input!$H$159+AP37*$D$32*AP43/MAX($G$43:$BX$43)*$D$129*Input!$H$161)*Input!$H$150/1000000</f>
        <v>0</v>
      </c>
      <c r="AQ130" s="48" t="n">
        <f aca="false">(AQ38*$D$19*$D$127*Input!$H$159+AQ37*$D$32*AQ43/MAX($G$43:$BX$43)*$D$129*Input!$H$161)*Input!$H$150/1000000</f>
        <v>0</v>
      </c>
      <c r="AR130" s="48" t="n">
        <f aca="false">(AR38*$D$19*$D$127*Input!$H$159+AR37*$D$32*AR43/MAX($G$43:$BX$43)*$D$129*Input!$H$161)*Input!$H$150/1000000</f>
        <v>0</v>
      </c>
      <c r="AS130" s="48" t="n">
        <f aca="false">(AS38*$D$19*$D$127*Input!$H$159+AS37*$D$32*AS43/MAX($G$43:$BX$43)*$D$129*Input!$H$161)*Input!$H$150/1000000</f>
        <v>0</v>
      </c>
      <c r="AT130" s="48" t="n">
        <f aca="false">(AT38*$D$19*$D$127*Input!$H$159+AT37*$D$32*AT43/MAX($G$43:$BX$43)*$D$129*Input!$H$161)*Input!$H$150/1000000</f>
        <v>0</v>
      </c>
      <c r="AU130" s="48" t="n">
        <f aca="false">(AU38*$D$19*$D$127*Input!$H$159+AU37*$D$32*AU43/MAX($G$43:$BX$43)*$D$129*Input!$H$161)*Input!$H$150/1000000</f>
        <v>0</v>
      </c>
      <c r="AV130" s="48" t="n">
        <f aca="false">(AV38*$D$19*$D$127*Input!$H$159+AV37*$D$32*AV43/MAX($G$43:$BX$43)*$D$129*Input!$H$161)*Input!$H$150/1000000</f>
        <v>0</v>
      </c>
      <c r="AW130" s="48" t="n">
        <f aca="false">(AW38*$D$19*$D$127*Input!$H$159+AW37*$D$32*AW43/MAX($G$43:$BX$43)*$D$129*Input!$H$161)*Input!$H$150/1000000</f>
        <v>0</v>
      </c>
      <c r="AX130" s="48" t="n">
        <f aca="false">(AX38*$D$19*$D$127*Input!$H$159+AX37*$D$32*AX43/MAX($G$43:$BX$43)*$D$129*Input!$H$161)*Input!$H$150/1000000</f>
        <v>0</v>
      </c>
      <c r="AY130" s="48" t="n">
        <f aca="false">(AY38*$D$19*$D$127*Input!$H$159+AY37*$D$32*AY43/MAX($G$43:$BX$43)*$D$129*Input!$H$161)*Input!$H$150/1000000</f>
        <v>0</v>
      </c>
      <c r="AZ130" s="48" t="n">
        <f aca="false">(AZ38*$D$19*$D$127*Input!$H$159+AZ37*$D$32*AZ43/MAX($G$43:$BX$43)*$D$129*Input!$H$161)*Input!$H$150/1000000</f>
        <v>0</v>
      </c>
      <c r="BA130" s="48" t="n">
        <f aca="false">(BA38*$D$19*$D$127*Input!$H$159+BA37*$D$32*BA43/MAX($G$43:$BX$43)*$D$129*Input!$H$161)*Input!$H$150/1000000</f>
        <v>0</v>
      </c>
      <c r="BB130" s="48" t="n">
        <f aca="false">(BB38*$D$19*$D$127*Input!$H$159+BB37*$D$32*BB43/MAX($G$43:$BX$43)*$D$129*Input!$H$161)*Input!$H$150/1000000</f>
        <v>0</v>
      </c>
      <c r="BC130" s="48" t="n">
        <f aca="false">(BC38*$D$19*$D$127*Input!$H$159+BC37*$D$32*BC43/MAX($G$43:$BX$43)*$D$129*Input!$H$161)*Input!$H$150/1000000</f>
        <v>0</v>
      </c>
      <c r="BD130" s="48" t="n">
        <f aca="false">(BD38*$D$19*$D$127*Input!$H$159+BD37*$D$32*BD43/MAX($G$43:$BX$43)*$D$129*Input!$H$161)*Input!$H$150/1000000</f>
        <v>0</v>
      </c>
      <c r="BE130" s="48" t="n">
        <f aca="false">(BE38*$D$19*$D$127*Input!$H$159+BE37*$D$32*BE43/MAX($G$43:$BX$43)*$D$129*Input!$H$161)*Input!$H$150/1000000</f>
        <v>0</v>
      </c>
      <c r="BF130" s="48" t="n">
        <f aca="false">(BF38*$D$19*$D$127*Input!$H$159+BF37*$D$32*BF43/MAX($G$43:$BX$43)*$D$129*Input!$H$161)*Input!$H$150/1000000</f>
        <v>0</v>
      </c>
      <c r="BG130" s="48" t="n">
        <f aca="false">(BG38*$D$19*$D$127*Input!$H$159+BG37*$D$32*BG43/MAX($G$43:$BX$43)*$D$129*Input!$H$161)*Input!$H$150/1000000</f>
        <v>0</v>
      </c>
      <c r="BH130" s="48" t="n">
        <f aca="false">(BH38*$D$19*$D$127*Input!$H$159+BH37*$D$32*BH43/MAX($G$43:$BX$43)*$D$129*Input!$H$161)*Input!$H$150/1000000</f>
        <v>0</v>
      </c>
      <c r="BI130" s="48" t="n">
        <f aca="false">(BI38*$D$19*$D$127*Input!$H$159+BI37*$D$32*BI43/MAX($G$43:$BX$43)*$D$129*Input!$H$161)*Input!$H$150/1000000</f>
        <v>0</v>
      </c>
      <c r="BJ130" s="48" t="n">
        <f aca="false">(BJ38*$D$19*$D$127*Input!$H$159+BJ37*$D$32*BJ43/MAX($G$43:$BX$43)*$D$129*Input!$H$161)*Input!$H$150/1000000</f>
        <v>0</v>
      </c>
      <c r="BK130" s="48" t="n">
        <f aca="false">(BK38*$D$19*$D$127*Input!$H$159+BK37*$D$32*BK43/MAX($G$43:$BX$43)*$D$129*Input!$H$161)*Input!$H$150/1000000</f>
        <v>0</v>
      </c>
      <c r="BL130" s="48" t="n">
        <f aca="false">(BL38*$D$19*$D$127*Input!$H$159+BL37*$D$32*BL43/MAX($G$43:$BX$43)*$D$129*Input!$H$161)*Input!$H$150/1000000</f>
        <v>0</v>
      </c>
      <c r="BM130" s="48" t="n">
        <f aca="false">(BM38*$D$19*$D$127*Input!$H$159+BM37*$D$32*BM43/MAX($G$43:$BX$43)*$D$129*Input!$H$161)*Input!$H$150/1000000</f>
        <v>0</v>
      </c>
      <c r="BN130" s="48" t="n">
        <f aca="false">(BN38*$D$19*$D$127*Input!$H$159+BN37*$D$32*BN43/MAX($G$43:$BX$43)*$D$129*Input!$H$161)*Input!$H$150/1000000</f>
        <v>0</v>
      </c>
      <c r="BO130" s="48" t="n">
        <f aca="false">(BO38*$D$19*$D$127*Input!$H$159+BO37*$D$32*BO43/MAX($G$43:$BX$43)*$D$129*Input!$H$161)*Input!$H$150/1000000</f>
        <v>0</v>
      </c>
      <c r="BP130" s="48" t="n">
        <f aca="false">(BP38*$D$19*$D$127*Input!$H$159+BP37*$D$32*BP43/MAX($G$43:$BX$43)*$D$129*Input!$H$161)*Input!$H$150/1000000</f>
        <v>0</v>
      </c>
      <c r="BQ130" s="48" t="n">
        <f aca="false">(BQ38*$D$19*$D$127*Input!$H$159+BQ37*$D$32*BQ43/MAX($G$43:$BX$43)*$D$129*Input!$H$161)*Input!$H$150/1000000</f>
        <v>0</v>
      </c>
      <c r="BR130" s="48" t="n">
        <f aca="false">(BR38*$D$19*$D$127*Input!$H$159+BR37*$D$32*BR43/MAX($G$43:$BX$43)*$D$129*Input!$H$161)*Input!$H$150/1000000</f>
        <v>0</v>
      </c>
      <c r="BS130" s="48" t="n">
        <f aca="false">(BS38*$D$19*$D$127*Input!$H$159+BS37*$D$32*BS43/MAX($G$43:$BX$43)*$D$129*Input!$H$161)*Input!$H$150/1000000</f>
        <v>0</v>
      </c>
      <c r="BT130" s="48" t="n">
        <f aca="false">(BT38*$D$19*$D$127*Input!$H$159+BT37*$D$32*BT43/MAX($G$43:$BX$43)*$D$129*Input!$H$161)*Input!$H$150/1000000</f>
        <v>0</v>
      </c>
      <c r="BU130" s="48" t="n">
        <f aca="false">(BU38*$D$19*$D$127*Input!$H$159+BU37*$D$32*BU43/MAX($G$43:$BX$43)*$D$129*Input!$H$161)*Input!$H$150/1000000</f>
        <v>0</v>
      </c>
      <c r="BV130" s="48" t="n">
        <f aca="false">(BV38*$D$19*$D$127*Input!$H$159+BV37*$D$32*BV43/MAX($G$43:$BX$43)*$D$129*Input!$H$161)*Input!$H$150/1000000</f>
        <v>0</v>
      </c>
      <c r="BW130" s="48" t="n">
        <f aca="false">(BW38*$D$19*$D$127*Input!$H$159+BW37*$D$32*BW43/MAX($G$43:$BX$43)*$D$129*Input!$H$161)*Input!$H$150/1000000</f>
        <v>0</v>
      </c>
      <c r="BX130" s="48" t="n">
        <f aca="false">(BX38*$D$19*$D$127*Input!$H$159+BX37*$D$32*BX43/MAX($G$43:$BX$43)*$D$129*Input!$H$161)*Input!$H$150/1000000</f>
        <v>0</v>
      </c>
    </row>
    <row r="131" customFormat="false" ht="15" hidden="false" customHeight="false" outlineLevel="0" collapsed="false">
      <c r="A131" s="1"/>
      <c r="B131" s="8" t="s">
        <v>392</v>
      </c>
      <c r="C131" s="8" t="s">
        <v>126</v>
      </c>
      <c r="D131" s="44" t="n">
        <f aca="false">SUM(G131:BX131)</f>
        <v>3.40470774501992</v>
      </c>
      <c r="E131" s="1"/>
      <c r="F131" s="1"/>
      <c r="G131" s="48" t="n">
        <f aca="false">(G38*$D$19*$D$127*Input!$H$159+G37*$D$32*G43/MAX($G$43:$BX$43)*$D$129*Input!$H$161)*Input!$H$151/1000000</f>
        <v>0.0931932</v>
      </c>
      <c r="H131" s="48" t="n">
        <f aca="false">(H38*$D$19*$D$127*Input!$H$159+H37*$D$32*H43/MAX($G$43:$BX$43)*$D$129*Input!$H$161)*Input!$H$151/1000000</f>
        <v>0.1397898</v>
      </c>
      <c r="I131" s="48" t="n">
        <f aca="false">(I38*$D$19*$D$127*Input!$H$159+I37*$D$32*I43/MAX($G$43:$BX$43)*$D$129*Input!$H$161)*Input!$H$151/1000000</f>
        <v>0.0388305</v>
      </c>
      <c r="J131" s="48" t="n">
        <f aca="false">(J38*$D$19*$D$127*Input!$H$159+J37*$D$32*J43/MAX($G$43:$BX$43)*$D$129*Input!$H$161)*Input!$H$151/1000000</f>
        <v>0.0388305</v>
      </c>
      <c r="K131" s="48" t="n">
        <f aca="false">(K38*$D$19*$D$127*Input!$H$159+K37*$D$32*K43/MAX($G$43:$BX$43)*$D$129*Input!$H$161)*Input!$H$151/1000000</f>
        <v>0.103135458167331</v>
      </c>
      <c r="L131" s="48" t="n">
        <f aca="false">(L38*$D$19*$D$127*Input!$H$159+L37*$D$32*L43/MAX($G$43:$BX$43)*$D$129*Input!$H$161)*Input!$H$151/1000000</f>
        <v>0.103135458167331</v>
      </c>
      <c r="M131" s="48" t="n">
        <f aca="false">(M38*$D$19*$D$127*Input!$H$159+M37*$D$32*M43/MAX($G$43:$BX$43)*$D$129*Input!$H$161)*Input!$H$151/1000000</f>
        <v>0.103135458167331</v>
      </c>
      <c r="N131" s="48" t="n">
        <f aca="false">(N38*$D$19*$D$127*Input!$H$159+N37*$D$32*N43/MAX($G$43:$BX$43)*$D$129*Input!$H$161)*Input!$H$151/1000000</f>
        <v>0.103135458167331</v>
      </c>
      <c r="O131" s="48" t="n">
        <f aca="false">(O38*$D$19*$D$127*Input!$H$159+O37*$D$32*O43/MAX($G$43:$BX$43)*$D$129*Input!$H$161)*Input!$H$151/1000000</f>
        <v>0.103135458167331</v>
      </c>
      <c r="P131" s="48" t="n">
        <f aca="false">(P38*$D$19*$D$127*Input!$H$159+P37*$D$32*P43/MAX($G$43:$BX$43)*$D$129*Input!$H$161)*Input!$H$151/1000000</f>
        <v>0.103135458167331</v>
      </c>
      <c r="Q131" s="48" t="n">
        <f aca="false">(Q38*$D$19*$D$127*Input!$H$159+Q37*$D$32*Q43/MAX($G$43:$BX$43)*$D$129*Input!$H$161)*Input!$H$151/1000000</f>
        <v>0.103135458167331</v>
      </c>
      <c r="R131" s="48" t="n">
        <f aca="false">(R38*$D$19*$D$127*Input!$H$159+R37*$D$32*R43/MAX($G$43:$BX$43)*$D$129*Input!$H$161)*Input!$H$151/1000000</f>
        <v>0.103135458167331</v>
      </c>
      <c r="S131" s="48" t="n">
        <f aca="false">(S38*$D$19*$D$127*Input!$H$159+S37*$D$32*S43/MAX($G$43:$BX$43)*$D$129*Input!$H$161)*Input!$H$151/1000000</f>
        <v>0.103135458167331</v>
      </c>
      <c r="T131" s="48" t="n">
        <f aca="false">(T38*$D$19*$D$127*Input!$H$159+T37*$D$32*T43/MAX($G$43:$BX$43)*$D$129*Input!$H$161)*Input!$H$151/1000000</f>
        <v>0.103135458167331</v>
      </c>
      <c r="U131" s="48" t="n">
        <f aca="false">(U38*$D$19*$D$127*Input!$H$159+U37*$D$32*U43/MAX($G$43:$BX$43)*$D$129*Input!$H$161)*Input!$H$151/1000000</f>
        <v>0.103135458167331</v>
      </c>
      <c r="V131" s="48" t="n">
        <f aca="false">(V38*$D$19*$D$127*Input!$H$159+V37*$D$32*V43/MAX($G$43:$BX$43)*$D$129*Input!$H$161)*Input!$H$151/1000000</f>
        <v>0.103135458167331</v>
      </c>
      <c r="W131" s="48" t="n">
        <f aca="false">(W38*$D$19*$D$127*Input!$H$159+W37*$D$32*W43/MAX($G$43:$BX$43)*$D$129*Input!$H$161)*Input!$H$151/1000000</f>
        <v>0.103135458167331</v>
      </c>
      <c r="X131" s="48" t="n">
        <f aca="false">(X38*$D$19*$D$127*Input!$H$159+X37*$D$32*X43/MAX($G$43:$BX$43)*$D$129*Input!$H$161)*Input!$H$151/1000000</f>
        <v>0.103135458167331</v>
      </c>
      <c r="Y131" s="48" t="n">
        <f aca="false">(Y38*$D$19*$D$127*Input!$H$159+Y37*$D$32*Y43/MAX($G$43:$BX$43)*$D$129*Input!$H$161)*Input!$H$151/1000000</f>
        <v>0.103135458167331</v>
      </c>
      <c r="Z131" s="48" t="n">
        <f aca="false">(Z38*$D$19*$D$127*Input!$H$159+Z37*$D$32*Z43/MAX($G$43:$BX$43)*$D$129*Input!$H$161)*Input!$H$151/1000000</f>
        <v>0.103135458167331</v>
      </c>
      <c r="AA131" s="48" t="n">
        <f aca="false">(AA38*$D$19*$D$127*Input!$H$159+AA37*$D$32*AA43/MAX($G$43:$BX$43)*$D$129*Input!$H$161)*Input!$H$151/1000000</f>
        <v>0.103135458167331</v>
      </c>
      <c r="AB131" s="48" t="n">
        <f aca="false">(AB38*$D$19*$D$127*Input!$H$159+AB37*$D$32*AB43/MAX($G$43:$BX$43)*$D$129*Input!$H$161)*Input!$H$151/1000000</f>
        <v>0.103135458167331</v>
      </c>
      <c r="AC131" s="48" t="n">
        <f aca="false">(AC38*$D$19*$D$127*Input!$H$159+AC37*$D$32*AC43/MAX($G$43:$BX$43)*$D$129*Input!$H$161)*Input!$H$151/1000000</f>
        <v>0.103135458167331</v>
      </c>
      <c r="AD131" s="48" t="n">
        <f aca="false">(AD38*$D$19*$D$127*Input!$H$159+AD37*$D$32*AD43/MAX($G$43:$BX$43)*$D$129*Input!$H$161)*Input!$H$151/1000000</f>
        <v>0.103135458167331</v>
      </c>
      <c r="AE131" s="48" t="n">
        <f aca="false">(AE38*$D$19*$D$127*Input!$H$159+AE37*$D$32*AE43/MAX($G$43:$BX$43)*$D$129*Input!$H$161)*Input!$H$151/1000000</f>
        <v>0.103135458167331</v>
      </c>
      <c r="AF131" s="48" t="n">
        <f aca="false">(AF38*$D$19*$D$127*Input!$H$159+AF37*$D$32*AF43/MAX($G$43:$BX$43)*$D$129*Input!$H$161)*Input!$H$151/1000000</f>
        <v>0.103135458167331</v>
      </c>
      <c r="AG131" s="48" t="n">
        <f aca="false">(AG38*$D$19*$D$127*Input!$H$159+AG37*$D$32*AG43/MAX($G$43:$BX$43)*$D$129*Input!$H$161)*Input!$H$151/1000000</f>
        <v>0.103135458167331</v>
      </c>
      <c r="AH131" s="48" t="n">
        <f aca="false">(AH38*$D$19*$D$127*Input!$H$159+AH37*$D$32*AH43/MAX($G$43:$BX$43)*$D$129*Input!$H$161)*Input!$H$151/1000000</f>
        <v>0.103135458167331</v>
      </c>
      <c r="AI131" s="48" t="n">
        <f aca="false">(AI38*$D$19*$D$127*Input!$H$159+AI37*$D$32*AI43/MAX($G$43:$BX$43)*$D$129*Input!$H$161)*Input!$H$151/1000000</f>
        <v>0.103135458167331</v>
      </c>
      <c r="AJ131" s="48" t="n">
        <f aca="false">(AJ38*$D$19*$D$127*Input!$H$159+AJ37*$D$32*AJ43/MAX($G$43:$BX$43)*$D$129*Input!$H$161)*Input!$H$151/1000000</f>
        <v>0.103135458167331</v>
      </c>
      <c r="AK131" s="48" t="n">
        <f aca="false">(AK38*$D$19*$D$127*Input!$H$159+AK37*$D$32*AK43/MAX($G$43:$BX$43)*$D$129*Input!$H$161)*Input!$H$151/1000000</f>
        <v>0.103135458167331</v>
      </c>
      <c r="AL131" s="48" t="n">
        <f aca="false">(AL38*$D$19*$D$127*Input!$H$159+AL37*$D$32*AL43/MAX($G$43:$BX$43)*$D$129*Input!$H$161)*Input!$H$151/1000000</f>
        <v>0.103135458167331</v>
      </c>
      <c r="AM131" s="48" t="n">
        <f aca="false">(AM38*$D$19*$D$127*Input!$H$159+AM37*$D$32*AM43/MAX($G$43:$BX$43)*$D$129*Input!$H$161)*Input!$H$151/1000000</f>
        <v>0.103135458167331</v>
      </c>
      <c r="AN131" s="48" t="n">
        <f aca="false">(AN38*$D$19*$D$127*Input!$H$159+AN37*$D$32*AN43/MAX($G$43:$BX$43)*$D$129*Input!$H$161)*Input!$H$151/1000000</f>
        <v>0.103135458167331</v>
      </c>
      <c r="AO131" s="48" t="n">
        <f aca="false">(AO38*$D$19*$D$127*Input!$H$159+AO37*$D$32*AO43/MAX($G$43:$BX$43)*$D$129*Input!$H$161)*Input!$H$151/1000000</f>
        <v>0</v>
      </c>
      <c r="AP131" s="48" t="n">
        <f aca="false">(AP38*$D$19*$D$127*Input!$H$159+AP37*$D$32*AP43/MAX($G$43:$BX$43)*$D$129*Input!$H$161)*Input!$H$151/1000000</f>
        <v>0</v>
      </c>
      <c r="AQ131" s="48" t="n">
        <f aca="false">(AQ38*$D$19*$D$127*Input!$H$159+AQ37*$D$32*AQ43/MAX($G$43:$BX$43)*$D$129*Input!$H$161)*Input!$H$151/1000000</f>
        <v>0</v>
      </c>
      <c r="AR131" s="48" t="n">
        <f aca="false">(AR38*$D$19*$D$127*Input!$H$159+AR37*$D$32*AR43/MAX($G$43:$BX$43)*$D$129*Input!$H$161)*Input!$H$151/1000000</f>
        <v>0</v>
      </c>
      <c r="AS131" s="48" t="n">
        <f aca="false">(AS38*$D$19*$D$127*Input!$H$159+AS37*$D$32*AS43/MAX($G$43:$BX$43)*$D$129*Input!$H$161)*Input!$H$151/1000000</f>
        <v>0</v>
      </c>
      <c r="AT131" s="48" t="n">
        <f aca="false">(AT38*$D$19*$D$127*Input!$H$159+AT37*$D$32*AT43/MAX($G$43:$BX$43)*$D$129*Input!$H$161)*Input!$H$151/1000000</f>
        <v>0</v>
      </c>
      <c r="AU131" s="48" t="n">
        <f aca="false">(AU38*$D$19*$D$127*Input!$H$159+AU37*$D$32*AU43/MAX($G$43:$BX$43)*$D$129*Input!$H$161)*Input!$H$151/1000000</f>
        <v>0</v>
      </c>
      <c r="AV131" s="48" t="n">
        <f aca="false">(AV38*$D$19*$D$127*Input!$H$159+AV37*$D$32*AV43/MAX($G$43:$BX$43)*$D$129*Input!$H$161)*Input!$H$151/1000000</f>
        <v>0</v>
      </c>
      <c r="AW131" s="48" t="n">
        <f aca="false">(AW38*$D$19*$D$127*Input!$H$159+AW37*$D$32*AW43/MAX($G$43:$BX$43)*$D$129*Input!$H$161)*Input!$H$151/1000000</f>
        <v>0</v>
      </c>
      <c r="AX131" s="48" t="n">
        <f aca="false">(AX38*$D$19*$D$127*Input!$H$159+AX37*$D$32*AX43/MAX($G$43:$BX$43)*$D$129*Input!$H$161)*Input!$H$151/1000000</f>
        <v>0</v>
      </c>
      <c r="AY131" s="48" t="n">
        <f aca="false">(AY38*$D$19*$D$127*Input!$H$159+AY37*$D$32*AY43/MAX($G$43:$BX$43)*$D$129*Input!$H$161)*Input!$H$151/1000000</f>
        <v>0</v>
      </c>
      <c r="AZ131" s="48" t="n">
        <f aca="false">(AZ38*$D$19*$D$127*Input!$H$159+AZ37*$D$32*AZ43/MAX($G$43:$BX$43)*$D$129*Input!$H$161)*Input!$H$151/1000000</f>
        <v>0</v>
      </c>
      <c r="BA131" s="48" t="n">
        <f aca="false">(BA38*$D$19*$D$127*Input!$H$159+BA37*$D$32*BA43/MAX($G$43:$BX$43)*$D$129*Input!$H$161)*Input!$H$151/1000000</f>
        <v>0</v>
      </c>
      <c r="BB131" s="48" t="n">
        <f aca="false">(BB38*$D$19*$D$127*Input!$H$159+BB37*$D$32*BB43/MAX($G$43:$BX$43)*$D$129*Input!$H$161)*Input!$H$151/1000000</f>
        <v>0</v>
      </c>
      <c r="BC131" s="48" t="n">
        <f aca="false">(BC38*$D$19*$D$127*Input!$H$159+BC37*$D$32*BC43/MAX($G$43:$BX$43)*$D$129*Input!$H$161)*Input!$H$151/1000000</f>
        <v>0</v>
      </c>
      <c r="BD131" s="48" t="n">
        <f aca="false">(BD38*$D$19*$D$127*Input!$H$159+BD37*$D$32*BD43/MAX($G$43:$BX$43)*$D$129*Input!$H$161)*Input!$H$151/1000000</f>
        <v>0</v>
      </c>
      <c r="BE131" s="48" t="n">
        <f aca="false">(BE38*$D$19*$D$127*Input!$H$159+BE37*$D$32*BE43/MAX($G$43:$BX$43)*$D$129*Input!$H$161)*Input!$H$151/1000000</f>
        <v>0</v>
      </c>
      <c r="BF131" s="48" t="n">
        <f aca="false">(BF38*$D$19*$D$127*Input!$H$159+BF37*$D$32*BF43/MAX($G$43:$BX$43)*$D$129*Input!$H$161)*Input!$H$151/1000000</f>
        <v>0</v>
      </c>
      <c r="BG131" s="48" t="n">
        <f aca="false">(BG38*$D$19*$D$127*Input!$H$159+BG37*$D$32*BG43/MAX($G$43:$BX$43)*$D$129*Input!$H$161)*Input!$H$151/1000000</f>
        <v>0</v>
      </c>
      <c r="BH131" s="48" t="n">
        <f aca="false">(BH38*$D$19*$D$127*Input!$H$159+BH37*$D$32*BH43/MAX($G$43:$BX$43)*$D$129*Input!$H$161)*Input!$H$151/1000000</f>
        <v>0</v>
      </c>
      <c r="BI131" s="48" t="n">
        <f aca="false">(BI38*$D$19*$D$127*Input!$H$159+BI37*$D$32*BI43/MAX($G$43:$BX$43)*$D$129*Input!$H$161)*Input!$H$151/1000000</f>
        <v>0</v>
      </c>
      <c r="BJ131" s="48" t="n">
        <f aca="false">(BJ38*$D$19*$D$127*Input!$H$159+BJ37*$D$32*BJ43/MAX($G$43:$BX$43)*$D$129*Input!$H$161)*Input!$H$151/1000000</f>
        <v>0</v>
      </c>
      <c r="BK131" s="48" t="n">
        <f aca="false">(BK38*$D$19*$D$127*Input!$H$159+BK37*$D$32*BK43/MAX($G$43:$BX$43)*$D$129*Input!$H$161)*Input!$H$151/1000000</f>
        <v>0</v>
      </c>
      <c r="BL131" s="48" t="n">
        <f aca="false">(BL38*$D$19*$D$127*Input!$H$159+BL37*$D$32*BL43/MAX($G$43:$BX$43)*$D$129*Input!$H$161)*Input!$H$151/1000000</f>
        <v>0</v>
      </c>
      <c r="BM131" s="48" t="n">
        <f aca="false">(BM38*$D$19*$D$127*Input!$H$159+BM37*$D$32*BM43/MAX($G$43:$BX$43)*$D$129*Input!$H$161)*Input!$H$151/1000000</f>
        <v>0</v>
      </c>
      <c r="BN131" s="48" t="n">
        <f aca="false">(BN38*$D$19*$D$127*Input!$H$159+BN37*$D$32*BN43/MAX($G$43:$BX$43)*$D$129*Input!$H$161)*Input!$H$151/1000000</f>
        <v>0</v>
      </c>
      <c r="BO131" s="48" t="n">
        <f aca="false">(BO38*$D$19*$D$127*Input!$H$159+BO37*$D$32*BO43/MAX($G$43:$BX$43)*$D$129*Input!$H$161)*Input!$H$151/1000000</f>
        <v>0</v>
      </c>
      <c r="BP131" s="48" t="n">
        <f aca="false">(BP38*$D$19*$D$127*Input!$H$159+BP37*$D$32*BP43/MAX($G$43:$BX$43)*$D$129*Input!$H$161)*Input!$H$151/1000000</f>
        <v>0</v>
      </c>
      <c r="BQ131" s="48" t="n">
        <f aca="false">(BQ38*$D$19*$D$127*Input!$H$159+BQ37*$D$32*BQ43/MAX($G$43:$BX$43)*$D$129*Input!$H$161)*Input!$H$151/1000000</f>
        <v>0</v>
      </c>
      <c r="BR131" s="48" t="n">
        <f aca="false">(BR38*$D$19*$D$127*Input!$H$159+BR37*$D$32*BR43/MAX($G$43:$BX$43)*$D$129*Input!$H$161)*Input!$H$151/1000000</f>
        <v>0</v>
      </c>
      <c r="BS131" s="48" t="n">
        <f aca="false">(BS38*$D$19*$D$127*Input!$H$159+BS37*$D$32*BS43/MAX($G$43:$BX$43)*$D$129*Input!$H$161)*Input!$H$151/1000000</f>
        <v>0</v>
      </c>
      <c r="BT131" s="48" t="n">
        <f aca="false">(BT38*$D$19*$D$127*Input!$H$159+BT37*$D$32*BT43/MAX($G$43:$BX$43)*$D$129*Input!$H$161)*Input!$H$151/1000000</f>
        <v>0</v>
      </c>
      <c r="BU131" s="48" t="n">
        <f aca="false">(BU38*$D$19*$D$127*Input!$H$159+BU37*$D$32*BU43/MAX($G$43:$BX$43)*$D$129*Input!$H$161)*Input!$H$151/1000000</f>
        <v>0</v>
      </c>
      <c r="BV131" s="48" t="n">
        <f aca="false">(BV38*$D$19*$D$127*Input!$H$159+BV37*$D$32*BV43/MAX($G$43:$BX$43)*$D$129*Input!$H$161)*Input!$H$151/1000000</f>
        <v>0</v>
      </c>
      <c r="BW131" s="48" t="n">
        <f aca="false">(BW38*$D$19*$D$127*Input!$H$159+BW37*$D$32*BW43/MAX($G$43:$BX$43)*$D$129*Input!$H$161)*Input!$H$151/1000000</f>
        <v>0</v>
      </c>
      <c r="BX131" s="48" t="n">
        <f aca="false">(BX38*$D$19*$D$127*Input!$H$159+BX37*$D$32*BX43/MAX($G$43:$BX$43)*$D$129*Input!$H$161)*Input!$H$151/1000000</f>
        <v>0</v>
      </c>
    </row>
    <row r="132" customFormat="false" ht="15" hidden="false" customHeight="false" outlineLevel="0" collapsed="false">
      <c r="A132" s="1"/>
      <c r="B132" s="8" t="s">
        <v>393</v>
      </c>
      <c r="C132" s="8" t="s">
        <v>126</v>
      </c>
      <c r="D132" s="44" t="n">
        <f aca="false">SUM(G132:BX132)</f>
        <v>0.541461155378486</v>
      </c>
      <c r="E132" s="1"/>
      <c r="F132" s="1"/>
      <c r="G132" s="48" t="n">
        <f aca="false">G38*$D$19*$D$127*Input!$H$159*Input!$H$152/1000000</f>
        <v>0</v>
      </c>
      <c r="H132" s="48" t="n">
        <f aca="false">H38*$D$19*$D$127*Input!$H$159*Input!$H$152/1000000</f>
        <v>0</v>
      </c>
      <c r="I132" s="48" t="n">
        <f aca="false">I38*$D$19*$D$127*Input!$H$159*Input!$H$152/1000000</f>
        <v>0</v>
      </c>
      <c r="J132" s="48" t="n">
        <f aca="false">J38*$D$19*$D$127*Input!$H$159*Input!$H$152/1000000</f>
        <v>0</v>
      </c>
      <c r="K132" s="48" t="n">
        <f aca="false">K38*$D$19*$D$127*Input!$H$159*Input!$H$152/1000000</f>
        <v>0.0180487051792829</v>
      </c>
      <c r="L132" s="48" t="n">
        <f aca="false">L38*$D$19*$D$127*Input!$H$159*Input!$H$152/1000000</f>
        <v>0.0180487051792829</v>
      </c>
      <c r="M132" s="48" t="n">
        <f aca="false">M38*$D$19*$D$127*Input!$H$159*Input!$H$152/1000000</f>
        <v>0.0180487051792829</v>
      </c>
      <c r="N132" s="48" t="n">
        <f aca="false">N38*$D$19*$D$127*Input!$H$159*Input!$H$152/1000000</f>
        <v>0.0180487051792829</v>
      </c>
      <c r="O132" s="48" t="n">
        <f aca="false">O38*$D$19*$D$127*Input!$H$159*Input!$H$152/1000000</f>
        <v>0.0180487051792829</v>
      </c>
      <c r="P132" s="48" t="n">
        <f aca="false">P38*$D$19*$D$127*Input!$H$159*Input!$H$152/1000000</f>
        <v>0.0180487051792829</v>
      </c>
      <c r="Q132" s="48" t="n">
        <f aca="false">Q38*$D$19*$D$127*Input!$H$159*Input!$H$152/1000000</f>
        <v>0.0180487051792829</v>
      </c>
      <c r="R132" s="48" t="n">
        <f aca="false">R38*$D$19*$D$127*Input!$H$159*Input!$H$152/1000000</f>
        <v>0.0180487051792829</v>
      </c>
      <c r="S132" s="48" t="n">
        <f aca="false">S38*$D$19*$D$127*Input!$H$159*Input!$H$152/1000000</f>
        <v>0.0180487051792829</v>
      </c>
      <c r="T132" s="48" t="n">
        <f aca="false">T38*$D$19*$D$127*Input!$H$159*Input!$H$152/1000000</f>
        <v>0.0180487051792829</v>
      </c>
      <c r="U132" s="48" t="n">
        <f aca="false">U38*$D$19*$D$127*Input!$H$159*Input!$H$152/1000000</f>
        <v>0.0180487051792829</v>
      </c>
      <c r="V132" s="48" t="n">
        <f aca="false">V38*$D$19*$D$127*Input!$H$159*Input!$H$152/1000000</f>
        <v>0.0180487051792829</v>
      </c>
      <c r="W132" s="48" t="n">
        <f aca="false">W38*$D$19*$D$127*Input!$H$159*Input!$H$152/1000000</f>
        <v>0.0180487051792829</v>
      </c>
      <c r="X132" s="48" t="n">
        <f aca="false">X38*$D$19*$D$127*Input!$H$159*Input!$H$152/1000000</f>
        <v>0.0180487051792829</v>
      </c>
      <c r="Y132" s="48" t="n">
        <f aca="false">Y38*$D$19*$D$127*Input!$H$159*Input!$H$152/1000000</f>
        <v>0.0180487051792829</v>
      </c>
      <c r="Z132" s="48" t="n">
        <f aca="false">Z38*$D$19*$D$127*Input!$H$159*Input!$H$152/1000000</f>
        <v>0.0180487051792829</v>
      </c>
      <c r="AA132" s="48" t="n">
        <f aca="false">AA38*$D$19*$D$127*Input!$H$159*Input!$H$152/1000000</f>
        <v>0.0180487051792829</v>
      </c>
      <c r="AB132" s="48" t="n">
        <f aca="false">AB38*$D$19*$D$127*Input!$H$159*Input!$H$152/1000000</f>
        <v>0.0180487051792829</v>
      </c>
      <c r="AC132" s="48" t="n">
        <f aca="false">AC38*$D$19*$D$127*Input!$H$159*Input!$H$152/1000000</f>
        <v>0.0180487051792829</v>
      </c>
      <c r="AD132" s="48" t="n">
        <f aca="false">AD38*$D$19*$D$127*Input!$H$159*Input!$H$152/1000000</f>
        <v>0.0180487051792829</v>
      </c>
      <c r="AE132" s="48" t="n">
        <f aca="false">AE38*$D$19*$D$127*Input!$H$159*Input!$H$152/1000000</f>
        <v>0.0180487051792829</v>
      </c>
      <c r="AF132" s="48" t="n">
        <f aca="false">AF38*$D$19*$D$127*Input!$H$159*Input!$H$152/1000000</f>
        <v>0.0180487051792829</v>
      </c>
      <c r="AG132" s="48" t="n">
        <f aca="false">AG38*$D$19*$D$127*Input!$H$159*Input!$H$152/1000000</f>
        <v>0.0180487051792829</v>
      </c>
      <c r="AH132" s="48" t="n">
        <f aca="false">AH38*$D$19*$D$127*Input!$H$159*Input!$H$152/1000000</f>
        <v>0.0180487051792829</v>
      </c>
      <c r="AI132" s="48" t="n">
        <f aca="false">AI38*$D$19*$D$127*Input!$H$159*Input!$H$152/1000000</f>
        <v>0.0180487051792829</v>
      </c>
      <c r="AJ132" s="48" t="n">
        <f aca="false">AJ38*$D$19*$D$127*Input!$H$159*Input!$H$152/1000000</f>
        <v>0.0180487051792829</v>
      </c>
      <c r="AK132" s="48" t="n">
        <f aca="false">AK38*$D$19*$D$127*Input!$H$159*Input!$H$152/1000000</f>
        <v>0.0180487051792829</v>
      </c>
      <c r="AL132" s="48" t="n">
        <f aca="false">AL38*$D$19*$D$127*Input!$H$159*Input!$H$152/1000000</f>
        <v>0.0180487051792829</v>
      </c>
      <c r="AM132" s="48" t="n">
        <f aca="false">AM38*$D$19*$D$127*Input!$H$159*Input!$H$152/1000000</f>
        <v>0.0180487051792829</v>
      </c>
      <c r="AN132" s="48" t="n">
        <f aca="false">AN38*$D$19*$D$127*Input!$H$159*Input!$H$152/1000000</f>
        <v>0.0180487051792829</v>
      </c>
      <c r="AO132" s="48" t="n">
        <f aca="false">AO38*$D$19*$D$127*Input!$H$159*Input!$H$152/1000000</f>
        <v>0</v>
      </c>
      <c r="AP132" s="48" t="n">
        <f aca="false">AP38*$D$19*$D$127*Input!$H$159*Input!$H$152/1000000</f>
        <v>0</v>
      </c>
      <c r="AQ132" s="48" t="n">
        <f aca="false">AQ38*$D$19*$D$127*Input!$H$159*Input!$H$152/1000000</f>
        <v>0</v>
      </c>
      <c r="AR132" s="48" t="n">
        <f aca="false">AR38*$D$19*$D$127*Input!$H$159*Input!$H$152/1000000</f>
        <v>0</v>
      </c>
      <c r="AS132" s="48" t="n">
        <f aca="false">AS38*$D$19*$D$127*Input!$H$159*Input!$H$152/1000000</f>
        <v>0</v>
      </c>
      <c r="AT132" s="48" t="n">
        <f aca="false">AT38*$D$19*$D$127*Input!$H$159*Input!$H$152/1000000</f>
        <v>0</v>
      </c>
      <c r="AU132" s="48" t="n">
        <f aca="false">AU38*$D$19*$D$127*Input!$H$159*Input!$H$152/1000000</f>
        <v>0</v>
      </c>
      <c r="AV132" s="48" t="n">
        <f aca="false">AV38*$D$19*$D$127*Input!$H$159*Input!$H$152/1000000</f>
        <v>0</v>
      </c>
      <c r="AW132" s="48" t="n">
        <f aca="false">AW38*$D$19*$D$127*Input!$H$159*Input!$H$152/1000000</f>
        <v>0</v>
      </c>
      <c r="AX132" s="48" t="n">
        <f aca="false">AX38*$D$19*$D$127*Input!$H$159*Input!$H$152/1000000</f>
        <v>0</v>
      </c>
      <c r="AY132" s="48" t="n">
        <f aca="false">AY38*$D$19*$D$127*Input!$H$159*Input!$H$152/1000000</f>
        <v>0</v>
      </c>
      <c r="AZ132" s="48" t="n">
        <f aca="false">AZ38*$D$19*$D$127*Input!$H$159*Input!$H$152/1000000</f>
        <v>0</v>
      </c>
      <c r="BA132" s="48" t="n">
        <f aca="false">BA38*$D$19*$D$127*Input!$H$159*Input!$H$152/1000000</f>
        <v>0</v>
      </c>
      <c r="BB132" s="48" t="n">
        <f aca="false">BB38*$D$19*$D$127*Input!$H$159*Input!$H$152/1000000</f>
        <v>0</v>
      </c>
      <c r="BC132" s="48" t="n">
        <f aca="false">BC38*$D$19*$D$127*Input!$H$159*Input!$H$152/1000000</f>
        <v>0</v>
      </c>
      <c r="BD132" s="48" t="n">
        <f aca="false">BD38*$D$19*$D$127*Input!$H$159*Input!$H$152/1000000</f>
        <v>0</v>
      </c>
      <c r="BE132" s="48" t="n">
        <f aca="false">BE38*$D$19*$D$127*Input!$H$159*Input!$H$152/1000000</f>
        <v>0</v>
      </c>
      <c r="BF132" s="48" t="n">
        <f aca="false">BF38*$D$19*$D$127*Input!$H$159*Input!$H$152/1000000</f>
        <v>0</v>
      </c>
      <c r="BG132" s="48" t="n">
        <f aca="false">BG38*$D$19*$D$127*Input!$H$159*Input!$H$152/1000000</f>
        <v>0</v>
      </c>
      <c r="BH132" s="48" t="n">
        <f aca="false">BH38*$D$19*$D$127*Input!$H$159*Input!$H$152/1000000</f>
        <v>0</v>
      </c>
      <c r="BI132" s="48" t="n">
        <f aca="false">BI38*$D$19*$D$127*Input!$H$159*Input!$H$152/1000000</f>
        <v>0</v>
      </c>
      <c r="BJ132" s="48" t="n">
        <f aca="false">BJ38*$D$19*$D$127*Input!$H$159*Input!$H$152/1000000</f>
        <v>0</v>
      </c>
      <c r="BK132" s="48" t="n">
        <f aca="false">BK38*$D$19*$D$127*Input!$H$159*Input!$H$152/1000000</f>
        <v>0</v>
      </c>
      <c r="BL132" s="48" t="n">
        <f aca="false">BL38*$D$19*$D$127*Input!$H$159*Input!$H$152/1000000</f>
        <v>0</v>
      </c>
      <c r="BM132" s="48" t="n">
        <f aca="false">BM38*$D$19*$D$127*Input!$H$159*Input!$H$152/1000000</f>
        <v>0</v>
      </c>
      <c r="BN132" s="48" t="n">
        <f aca="false">BN38*$D$19*$D$127*Input!$H$159*Input!$H$152/1000000</f>
        <v>0</v>
      </c>
      <c r="BO132" s="48" t="n">
        <f aca="false">BO38*$D$19*$D$127*Input!$H$159*Input!$H$152/1000000</f>
        <v>0</v>
      </c>
      <c r="BP132" s="48" t="n">
        <f aca="false">BP38*$D$19*$D$127*Input!$H$159*Input!$H$152/1000000</f>
        <v>0</v>
      </c>
      <c r="BQ132" s="48" t="n">
        <f aca="false">BQ38*$D$19*$D$127*Input!$H$159*Input!$H$152/1000000</f>
        <v>0</v>
      </c>
      <c r="BR132" s="48" t="n">
        <f aca="false">BR38*$D$19*$D$127*Input!$H$159*Input!$H$152/1000000</f>
        <v>0</v>
      </c>
      <c r="BS132" s="48" t="n">
        <f aca="false">BS38*$D$19*$D$127*Input!$H$159*Input!$H$152/1000000</f>
        <v>0</v>
      </c>
      <c r="BT132" s="48" t="n">
        <f aca="false">BT38*$D$19*$D$127*Input!$H$159*Input!$H$152/1000000</f>
        <v>0</v>
      </c>
      <c r="BU132" s="48" t="n">
        <f aca="false">BU38*$D$19*$D$127*Input!$H$159*Input!$H$152/1000000</f>
        <v>0</v>
      </c>
      <c r="BV132" s="48" t="n">
        <f aca="false">BV38*$D$19*$D$127*Input!$H$159*Input!$H$152/1000000</f>
        <v>0</v>
      </c>
      <c r="BW132" s="48" t="n">
        <f aca="false">BW38*$D$19*$D$127*Input!$H$159*Input!$H$152/1000000</f>
        <v>0</v>
      </c>
      <c r="BX132" s="48" t="n">
        <f aca="false">BX38*$D$19*$D$127*Input!$H$159*Input!$H$152/1000000</f>
        <v>0</v>
      </c>
    </row>
    <row r="133" customFormat="false" ht="15" hidden="false" customHeight="false" outlineLevel="0" collapsed="false">
      <c r="A133" s="1"/>
      <c r="B133" s="4" t="s">
        <v>394</v>
      </c>
      <c r="C133" s="8" t="s">
        <v>126</v>
      </c>
      <c r="D133" s="44" t="n">
        <f aca="false">SUM(G133:BX133)</f>
        <v>183.262646007968</v>
      </c>
      <c r="E133" s="1"/>
      <c r="F133" s="1"/>
      <c r="G133" s="44" t="n">
        <f aca="false">G121+G122+G123+G124+G125+G130+G131+G132</f>
        <v>0.4193694</v>
      </c>
      <c r="H133" s="44" t="n">
        <f aca="false">H121+H122+H123+H124+H125+H130+H131+H132</f>
        <v>0.6290541</v>
      </c>
      <c r="I133" s="44" t="n">
        <f aca="false">I121+I122+I123+I124+I125+I130+I131+I132</f>
        <v>0.17473725</v>
      </c>
      <c r="J133" s="44" t="n">
        <f aca="false">J121+J122+J123+J124+J125+J130+J131+J132</f>
        <v>0.17473725</v>
      </c>
      <c r="K133" s="44" t="n">
        <f aca="false">K121+K122+K123+K124+K125+K130+K131+K132</f>
        <v>6.06215826693227</v>
      </c>
      <c r="L133" s="44" t="n">
        <f aca="false">L121+L122+L123+L124+L125+L130+L131+L132</f>
        <v>6.06215826693227</v>
      </c>
      <c r="M133" s="44" t="n">
        <f aca="false">M121+M122+M123+M124+M125+M130+M131+M132</f>
        <v>6.06215826693227</v>
      </c>
      <c r="N133" s="44" t="n">
        <f aca="false">N121+N122+N123+N124+N125+N130+N131+N132</f>
        <v>6.06215826693227</v>
      </c>
      <c r="O133" s="44" t="n">
        <f aca="false">O121+O122+O123+O124+O125+O130+O131+O132</f>
        <v>6.06215826693227</v>
      </c>
      <c r="P133" s="44" t="n">
        <f aca="false">P121+P122+P123+P124+P125+P130+P131+P132</f>
        <v>6.06215826693227</v>
      </c>
      <c r="Q133" s="44" t="n">
        <f aca="false">Q121+Q122+Q123+Q124+Q125+Q130+Q131+Q132</f>
        <v>6.06215826693227</v>
      </c>
      <c r="R133" s="44" t="n">
        <f aca="false">R121+R122+R123+R124+R125+R130+R131+R132</f>
        <v>6.06215826693227</v>
      </c>
      <c r="S133" s="44" t="n">
        <f aca="false">S121+S122+S123+S124+S125+S130+S131+S132</f>
        <v>6.06215826693227</v>
      </c>
      <c r="T133" s="44" t="n">
        <f aca="false">T121+T122+T123+T124+T125+T130+T131+T132</f>
        <v>6.06215826693227</v>
      </c>
      <c r="U133" s="44" t="n">
        <f aca="false">U121+U122+U123+U124+U125+U130+U131+U132</f>
        <v>6.06215826693227</v>
      </c>
      <c r="V133" s="44" t="n">
        <f aca="false">V121+V122+V123+V124+V125+V130+V131+V132</f>
        <v>6.06215826693227</v>
      </c>
      <c r="W133" s="44" t="n">
        <f aca="false">W121+W122+W123+W124+W125+W130+W131+W132</f>
        <v>6.06215826693227</v>
      </c>
      <c r="X133" s="44" t="n">
        <f aca="false">X121+X122+X123+X124+X125+X130+X131+X132</f>
        <v>6.06215826693227</v>
      </c>
      <c r="Y133" s="44" t="n">
        <f aca="false">Y121+Y122+Y123+Y124+Y125+Y130+Y131+Y132</f>
        <v>6.06215826693227</v>
      </c>
      <c r="Z133" s="44" t="n">
        <f aca="false">Z121+Z122+Z123+Z124+Z125+Z130+Z131+Z132</f>
        <v>6.06215826693227</v>
      </c>
      <c r="AA133" s="44" t="n">
        <f aca="false">AA121+AA122+AA123+AA124+AA125+AA130+AA131+AA132</f>
        <v>6.06215826693227</v>
      </c>
      <c r="AB133" s="44" t="n">
        <f aca="false">AB121+AB122+AB123+AB124+AB125+AB130+AB131+AB132</f>
        <v>6.06215826693227</v>
      </c>
      <c r="AC133" s="44" t="n">
        <f aca="false">AC121+AC122+AC123+AC124+AC125+AC130+AC131+AC132</f>
        <v>6.06215826693227</v>
      </c>
      <c r="AD133" s="44" t="n">
        <f aca="false">AD121+AD122+AD123+AD124+AD125+AD130+AD131+AD132</f>
        <v>6.06215826693227</v>
      </c>
      <c r="AE133" s="44" t="n">
        <f aca="false">AE121+AE122+AE123+AE124+AE125+AE130+AE131+AE132</f>
        <v>6.06215826693227</v>
      </c>
      <c r="AF133" s="44" t="n">
        <f aca="false">AF121+AF122+AF123+AF124+AF125+AF130+AF131+AF132</f>
        <v>6.06215826693227</v>
      </c>
      <c r="AG133" s="44" t="n">
        <f aca="false">AG121+AG122+AG123+AG124+AG125+AG130+AG131+AG132</f>
        <v>6.06215826693227</v>
      </c>
      <c r="AH133" s="44" t="n">
        <f aca="false">AH121+AH122+AH123+AH124+AH125+AH130+AH131+AH132</f>
        <v>6.06215826693227</v>
      </c>
      <c r="AI133" s="44" t="n">
        <f aca="false">AI121+AI122+AI123+AI124+AI125+AI130+AI131+AI132</f>
        <v>6.06215826693227</v>
      </c>
      <c r="AJ133" s="44" t="n">
        <f aca="false">AJ121+AJ122+AJ123+AJ124+AJ125+AJ130+AJ131+AJ132</f>
        <v>6.06215826693227</v>
      </c>
      <c r="AK133" s="44" t="n">
        <f aca="false">AK121+AK122+AK123+AK124+AK125+AK130+AK131+AK132</f>
        <v>6.06215826693227</v>
      </c>
      <c r="AL133" s="44" t="n">
        <f aca="false">AL121+AL122+AL123+AL124+AL125+AL130+AL131+AL132</f>
        <v>6.06215826693227</v>
      </c>
      <c r="AM133" s="44" t="n">
        <f aca="false">AM121+AM122+AM123+AM124+AM125+AM130+AM131+AM132</f>
        <v>6.06215826693227</v>
      </c>
      <c r="AN133" s="44" t="n">
        <f aca="false">AN121+AN122+AN123+AN124+AN125+AN130+AN131+AN132</f>
        <v>6.06215826693227</v>
      </c>
      <c r="AO133" s="44" t="n">
        <f aca="false">AO121+AO122+AO123+AO124+AO125+AO130+AO131+AO132</f>
        <v>0</v>
      </c>
      <c r="AP133" s="44" t="n">
        <f aca="false">AP121+AP122+AP123+AP124+AP125+AP130+AP131+AP132</f>
        <v>0</v>
      </c>
      <c r="AQ133" s="44" t="n">
        <f aca="false">AQ121+AQ122+AQ123+AQ124+AQ125+AQ130+AQ131+AQ132</f>
        <v>0</v>
      </c>
      <c r="AR133" s="44" t="n">
        <f aca="false">AR121+AR122+AR123+AR124+AR125+AR130+AR131+AR132</f>
        <v>0</v>
      </c>
      <c r="AS133" s="44" t="n">
        <f aca="false">AS121+AS122+AS123+AS124+AS125+AS130+AS131+AS132</f>
        <v>0</v>
      </c>
      <c r="AT133" s="44" t="n">
        <f aca="false">AT121+AT122+AT123+AT124+AT125+AT130+AT131+AT132</f>
        <v>0</v>
      </c>
      <c r="AU133" s="44" t="n">
        <f aca="false">AU121+AU122+AU123+AU124+AU125+AU130+AU131+AU132</f>
        <v>0</v>
      </c>
      <c r="AV133" s="44" t="n">
        <f aca="false">AV121+AV122+AV123+AV124+AV125+AV130+AV131+AV132</f>
        <v>0</v>
      </c>
      <c r="AW133" s="44" t="n">
        <f aca="false">AW121+AW122+AW123+AW124+AW125+AW130+AW131+AW132</f>
        <v>0</v>
      </c>
      <c r="AX133" s="44" t="n">
        <f aca="false">AX121+AX122+AX123+AX124+AX125+AX130+AX131+AX132</f>
        <v>0</v>
      </c>
      <c r="AY133" s="44" t="n">
        <f aca="false">AY121+AY122+AY123+AY124+AY125+AY130+AY131+AY132</f>
        <v>0</v>
      </c>
      <c r="AZ133" s="44" t="n">
        <f aca="false">AZ121+AZ122+AZ123+AZ124+AZ125+AZ130+AZ131+AZ132</f>
        <v>0</v>
      </c>
      <c r="BA133" s="44" t="n">
        <f aca="false">BA121+BA122+BA123+BA124+BA125+BA130+BA131+BA132</f>
        <v>0</v>
      </c>
      <c r="BB133" s="44" t="n">
        <f aca="false">BB121+BB122+BB123+BB124+BB125+BB130+BB131+BB132</f>
        <v>0</v>
      </c>
      <c r="BC133" s="44" t="n">
        <f aca="false">BC121+BC122+BC123+BC124+BC125+BC130+BC131+BC132</f>
        <v>0</v>
      </c>
      <c r="BD133" s="44" t="n">
        <f aca="false">BD121+BD122+BD123+BD124+BD125+BD130+BD131+BD132</f>
        <v>0</v>
      </c>
      <c r="BE133" s="44" t="n">
        <f aca="false">BE121+BE122+BE123+BE124+BE125+BE130+BE131+BE132</f>
        <v>0</v>
      </c>
      <c r="BF133" s="44" t="n">
        <f aca="false">BF121+BF122+BF123+BF124+BF125+BF130+BF131+BF132</f>
        <v>0</v>
      </c>
      <c r="BG133" s="44" t="n">
        <f aca="false">BG121+BG122+BG123+BG124+BG125+BG130+BG131+BG132</f>
        <v>0</v>
      </c>
      <c r="BH133" s="44" t="n">
        <f aca="false">BH121+BH122+BH123+BH124+BH125+BH130+BH131+BH132</f>
        <v>0</v>
      </c>
      <c r="BI133" s="44" t="n">
        <f aca="false">BI121+BI122+BI123+BI124+BI125+BI130+BI131+BI132</f>
        <v>0</v>
      </c>
      <c r="BJ133" s="44" t="n">
        <f aca="false">BJ121+BJ122+BJ123+BJ124+BJ125+BJ130+BJ131+BJ132</f>
        <v>0</v>
      </c>
      <c r="BK133" s="44" t="n">
        <f aca="false">BK121+BK122+BK123+BK124+BK125+BK130+BK131+BK132</f>
        <v>0</v>
      </c>
      <c r="BL133" s="44" t="n">
        <f aca="false">BL121+BL122+BL123+BL124+BL125+BL130+BL131+BL132</f>
        <v>0</v>
      </c>
      <c r="BM133" s="44" t="n">
        <f aca="false">BM121+BM122+BM123+BM124+BM125+BM130+BM131+BM132</f>
        <v>0</v>
      </c>
      <c r="BN133" s="44" t="n">
        <f aca="false">BN121+BN122+BN123+BN124+BN125+BN130+BN131+BN132</f>
        <v>0</v>
      </c>
      <c r="BO133" s="44" t="n">
        <f aca="false">BO121+BO122+BO123+BO124+BO125+BO130+BO131+BO132</f>
        <v>0</v>
      </c>
      <c r="BP133" s="44" t="n">
        <f aca="false">BP121+BP122+BP123+BP124+BP125+BP130+BP131+BP132</f>
        <v>0</v>
      </c>
      <c r="BQ133" s="44" t="n">
        <f aca="false">BQ121+BQ122+BQ123+BQ124+BQ125+BQ130+BQ131+BQ132</f>
        <v>0</v>
      </c>
      <c r="BR133" s="44" t="n">
        <f aca="false">BR121+BR122+BR123+BR124+BR125+BR130+BR131+BR132</f>
        <v>0</v>
      </c>
      <c r="BS133" s="44" t="n">
        <f aca="false">BS121+BS122+BS123+BS124+BS125+BS130+BS131+BS132</f>
        <v>0</v>
      </c>
      <c r="BT133" s="44" t="n">
        <f aca="false">BT121+BT122+BT123+BT124+BT125+BT130+BT131+BT132</f>
        <v>0</v>
      </c>
      <c r="BU133" s="44" t="n">
        <f aca="false">BU121+BU122+BU123+BU124+BU125+BU130+BU131+BU132</f>
        <v>0</v>
      </c>
      <c r="BV133" s="44" t="n">
        <f aca="false">BV121+BV122+BV123+BV124+BV125+BV130+BV131+BV132</f>
        <v>0</v>
      </c>
      <c r="BW133" s="44" t="n">
        <f aca="false">BW121+BW122+BW123+BW124+BW125+BW130+BW131+BW132</f>
        <v>0</v>
      </c>
      <c r="BX133" s="44" t="n">
        <f aca="false">BX121+BX122+BX123+BX124+BX125+BX130+BX131+BX132</f>
        <v>0</v>
      </c>
    </row>
    <row r="134" customFormat="false" ht="15" hidden="false" customHeight="false" outlineLevel="0" collapsed="false">
      <c r="A134" s="1"/>
      <c r="B134" s="8" t="s">
        <v>395</v>
      </c>
      <c r="C134" s="8" t="s">
        <v>126</v>
      </c>
      <c r="D134" s="44" t="n">
        <f aca="false">SUM(G134:BX134)</f>
        <v>32.8283665338645</v>
      </c>
      <c r="E134" s="1"/>
      <c r="F134" s="1"/>
      <c r="G134" s="48" t="n">
        <f aca="false">G38*$D$19*$D$128/1000000</f>
        <v>0</v>
      </c>
      <c r="H134" s="48" t="n">
        <f aca="false">H38*$D$19*$D$128/1000000</f>
        <v>0</v>
      </c>
      <c r="I134" s="48" t="n">
        <f aca="false">I38*$D$19*$D$128/1000000</f>
        <v>0</v>
      </c>
      <c r="J134" s="48" t="n">
        <f aca="false">J38*$D$19*$D$128/1000000</f>
        <v>0</v>
      </c>
      <c r="K134" s="48" t="n">
        <f aca="false">K38*$D$19*$D$128/1000000</f>
        <v>1.09427888446215</v>
      </c>
      <c r="L134" s="48" t="n">
        <f aca="false">L38*$D$19*$D$128/1000000</f>
        <v>1.09427888446215</v>
      </c>
      <c r="M134" s="48" t="n">
        <f aca="false">M38*$D$19*$D$128/1000000</f>
        <v>1.09427888446215</v>
      </c>
      <c r="N134" s="48" t="n">
        <f aca="false">N38*$D$19*$D$128/1000000</f>
        <v>1.09427888446215</v>
      </c>
      <c r="O134" s="48" t="n">
        <f aca="false">O38*$D$19*$D$128/1000000</f>
        <v>1.09427888446215</v>
      </c>
      <c r="P134" s="48" t="n">
        <f aca="false">P38*$D$19*$D$128/1000000</f>
        <v>1.09427888446215</v>
      </c>
      <c r="Q134" s="48" t="n">
        <f aca="false">Q38*$D$19*$D$128/1000000</f>
        <v>1.09427888446215</v>
      </c>
      <c r="R134" s="48" t="n">
        <f aca="false">R38*$D$19*$D$128/1000000</f>
        <v>1.09427888446215</v>
      </c>
      <c r="S134" s="48" t="n">
        <f aca="false">S38*$D$19*$D$128/1000000</f>
        <v>1.09427888446215</v>
      </c>
      <c r="T134" s="48" t="n">
        <f aca="false">T38*$D$19*$D$128/1000000</f>
        <v>1.09427888446215</v>
      </c>
      <c r="U134" s="48" t="n">
        <f aca="false">U38*$D$19*$D$128/1000000</f>
        <v>1.09427888446215</v>
      </c>
      <c r="V134" s="48" t="n">
        <f aca="false">V38*$D$19*$D$128/1000000</f>
        <v>1.09427888446215</v>
      </c>
      <c r="W134" s="48" t="n">
        <f aca="false">W38*$D$19*$D$128/1000000</f>
        <v>1.09427888446215</v>
      </c>
      <c r="X134" s="48" t="n">
        <f aca="false">X38*$D$19*$D$128/1000000</f>
        <v>1.09427888446215</v>
      </c>
      <c r="Y134" s="48" t="n">
        <f aca="false">Y38*$D$19*$D$128/1000000</f>
        <v>1.09427888446215</v>
      </c>
      <c r="Z134" s="48" t="n">
        <f aca="false">Z38*$D$19*$D$128/1000000</f>
        <v>1.09427888446215</v>
      </c>
      <c r="AA134" s="48" t="n">
        <f aca="false">AA38*$D$19*$D$128/1000000</f>
        <v>1.09427888446215</v>
      </c>
      <c r="AB134" s="48" t="n">
        <f aca="false">AB38*$D$19*$D$128/1000000</f>
        <v>1.09427888446215</v>
      </c>
      <c r="AC134" s="48" t="n">
        <f aca="false">AC38*$D$19*$D$128/1000000</f>
        <v>1.09427888446215</v>
      </c>
      <c r="AD134" s="48" t="n">
        <f aca="false">AD38*$D$19*$D$128/1000000</f>
        <v>1.09427888446215</v>
      </c>
      <c r="AE134" s="48" t="n">
        <f aca="false">AE38*$D$19*$D$128/1000000</f>
        <v>1.09427888446215</v>
      </c>
      <c r="AF134" s="48" t="n">
        <f aca="false">AF38*$D$19*$D$128/1000000</f>
        <v>1.09427888446215</v>
      </c>
      <c r="AG134" s="48" t="n">
        <f aca="false">AG38*$D$19*$D$128/1000000</f>
        <v>1.09427888446215</v>
      </c>
      <c r="AH134" s="48" t="n">
        <f aca="false">AH38*$D$19*$D$128/1000000</f>
        <v>1.09427888446215</v>
      </c>
      <c r="AI134" s="48" t="n">
        <f aca="false">AI38*$D$19*$D$128/1000000</f>
        <v>1.09427888446215</v>
      </c>
      <c r="AJ134" s="48" t="n">
        <f aca="false">AJ38*$D$19*$D$128/1000000</f>
        <v>1.09427888446215</v>
      </c>
      <c r="AK134" s="48" t="n">
        <f aca="false">AK38*$D$19*$D$128/1000000</f>
        <v>1.09427888446215</v>
      </c>
      <c r="AL134" s="48" t="n">
        <f aca="false">AL38*$D$19*$D$128/1000000</f>
        <v>1.09427888446215</v>
      </c>
      <c r="AM134" s="48" t="n">
        <f aca="false">AM38*$D$19*$D$128/1000000</f>
        <v>1.09427888446215</v>
      </c>
      <c r="AN134" s="48" t="n">
        <f aca="false">AN38*$D$19*$D$128/1000000</f>
        <v>1.09427888446215</v>
      </c>
      <c r="AO134" s="48" t="n">
        <f aca="false">AO38*$D$19*$D$128/1000000</f>
        <v>0</v>
      </c>
      <c r="AP134" s="48" t="n">
        <f aca="false">AP38*$D$19*$D$128/1000000</f>
        <v>0</v>
      </c>
      <c r="AQ134" s="48" t="n">
        <f aca="false">AQ38*$D$19*$D$128/1000000</f>
        <v>0</v>
      </c>
      <c r="AR134" s="48" t="n">
        <f aca="false">AR38*$D$19*$D$128/1000000</f>
        <v>0</v>
      </c>
      <c r="AS134" s="48" t="n">
        <f aca="false">AS38*$D$19*$D$128/1000000</f>
        <v>0</v>
      </c>
      <c r="AT134" s="48" t="n">
        <f aca="false">AT38*$D$19*$D$128/1000000</f>
        <v>0</v>
      </c>
      <c r="AU134" s="48" t="n">
        <f aca="false">AU38*$D$19*$D$128/1000000</f>
        <v>0</v>
      </c>
      <c r="AV134" s="48" t="n">
        <f aca="false">AV38*$D$19*$D$128/1000000</f>
        <v>0</v>
      </c>
      <c r="AW134" s="48" t="n">
        <f aca="false">AW38*$D$19*$D$128/1000000</f>
        <v>0</v>
      </c>
      <c r="AX134" s="48" t="n">
        <f aca="false">AX38*$D$19*$D$128/1000000</f>
        <v>0</v>
      </c>
      <c r="AY134" s="48" t="n">
        <f aca="false">AY38*$D$19*$D$128/1000000</f>
        <v>0</v>
      </c>
      <c r="AZ134" s="48" t="n">
        <f aca="false">AZ38*$D$19*$D$128/1000000</f>
        <v>0</v>
      </c>
      <c r="BA134" s="48" t="n">
        <f aca="false">BA38*$D$19*$D$128/1000000</f>
        <v>0</v>
      </c>
      <c r="BB134" s="48" t="n">
        <f aca="false">BB38*$D$19*$D$128/1000000</f>
        <v>0</v>
      </c>
      <c r="BC134" s="48" t="n">
        <f aca="false">BC38*$D$19*$D$128/1000000</f>
        <v>0</v>
      </c>
      <c r="BD134" s="48" t="n">
        <f aca="false">BD38*$D$19*$D$128/1000000</f>
        <v>0</v>
      </c>
      <c r="BE134" s="48" t="n">
        <f aca="false">BE38*$D$19*$D$128/1000000</f>
        <v>0</v>
      </c>
      <c r="BF134" s="48" t="n">
        <f aca="false">BF38*$D$19*$D$128/1000000</f>
        <v>0</v>
      </c>
      <c r="BG134" s="48" t="n">
        <f aca="false">BG38*$D$19*$D$128/1000000</f>
        <v>0</v>
      </c>
      <c r="BH134" s="48" t="n">
        <f aca="false">BH38*$D$19*$D$128/1000000</f>
        <v>0</v>
      </c>
      <c r="BI134" s="48" t="n">
        <f aca="false">BI38*$D$19*$D$128/1000000</f>
        <v>0</v>
      </c>
      <c r="BJ134" s="48" t="n">
        <f aca="false">BJ38*$D$19*$D$128/1000000</f>
        <v>0</v>
      </c>
      <c r="BK134" s="48" t="n">
        <f aca="false">BK38*$D$19*$D$128/1000000</f>
        <v>0</v>
      </c>
      <c r="BL134" s="48" t="n">
        <f aca="false">BL38*$D$19*$D$128/1000000</f>
        <v>0</v>
      </c>
      <c r="BM134" s="48" t="n">
        <f aca="false">BM38*$D$19*$D$128/1000000</f>
        <v>0</v>
      </c>
      <c r="BN134" s="48" t="n">
        <f aca="false">BN38*$D$19*$D$128/1000000</f>
        <v>0</v>
      </c>
      <c r="BO134" s="48" t="n">
        <f aca="false">BO38*$D$19*$D$128/1000000</f>
        <v>0</v>
      </c>
      <c r="BP134" s="48" t="n">
        <f aca="false">BP38*$D$19*$D$128/1000000</f>
        <v>0</v>
      </c>
      <c r="BQ134" s="48" t="n">
        <f aca="false">BQ38*$D$19*$D$128/1000000</f>
        <v>0</v>
      </c>
      <c r="BR134" s="48" t="n">
        <f aca="false">BR38*$D$19*$D$128/1000000</f>
        <v>0</v>
      </c>
      <c r="BS134" s="48" t="n">
        <f aca="false">BS38*$D$19*$D$128/1000000</f>
        <v>0</v>
      </c>
      <c r="BT134" s="48" t="n">
        <f aca="false">BT38*$D$19*$D$128/1000000</f>
        <v>0</v>
      </c>
      <c r="BU134" s="48" t="n">
        <f aca="false">BU38*$D$19*$D$128/1000000</f>
        <v>0</v>
      </c>
      <c r="BV134" s="48" t="n">
        <f aca="false">BV38*$D$19*$D$128/1000000</f>
        <v>0</v>
      </c>
      <c r="BW134" s="48" t="n">
        <f aca="false">BW38*$D$19*$D$128/1000000</f>
        <v>0</v>
      </c>
      <c r="BX134" s="48" t="n">
        <f aca="false">BX38*$D$19*$D$128/1000000</f>
        <v>0</v>
      </c>
    </row>
    <row r="135" customFormat="false" ht="15" hidden="false" customHeight="false" outlineLevel="0" collapsed="false">
      <c r="A135" s="1"/>
      <c r="B135" s="4" t="s">
        <v>396</v>
      </c>
      <c r="C135" s="1"/>
      <c r="D135" s="46" t="n">
        <f aca="false">IFERROR(SUMIF($G$38:$BX$38,1,$G$133:$BX$133)/COUNTIF($G$38:$BX$38,1),0)</f>
        <v>6.06215826693227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</row>
    <row r="136" customFormat="false" ht="15" hidden="false" customHeight="false" outlineLevel="0" collapsed="false">
      <c r="A136" s="1"/>
      <c r="B136" s="8" t="s">
        <v>397</v>
      </c>
      <c r="C136" s="1"/>
      <c r="D136" s="48" t="n">
        <f aca="false">SUM($G$93:$BX$93)</f>
        <v>0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</row>
    <row r="137" customFormat="false" ht="15" hidden="false" customHeight="false" outlineLevel="0" collapsed="false">
      <c r="A137" s="1"/>
      <c r="B137" s="8" t="s">
        <v>398</v>
      </c>
      <c r="C137" s="1"/>
      <c r="D137" s="48" t="n">
        <f aca="false">SUM($G$69:$BX$69)</f>
        <v>2986.5131601478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</row>
    <row r="138" customFormat="false" ht="15" hidden="false" customHeight="false" outlineLevel="0" collapsed="false">
      <c r="A138" s="1"/>
      <c r="B138" s="8" t="s">
        <v>399</v>
      </c>
      <c r="C138" s="1"/>
      <c r="D138" s="48" t="n">
        <f aca="false">SUM($G$72:$BX$72)</f>
        <v>0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</row>
    <row r="139" customFormat="false" ht="15" hidden="false" customHeight="false" outlineLevel="0" collapsed="false">
      <c r="A139" s="1"/>
      <c r="B139" s="8" t="s">
        <v>400</v>
      </c>
      <c r="C139" s="1"/>
      <c r="D139" s="48" t="n">
        <f aca="false">SUM($G$60:$BX$60)</f>
        <v>0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</row>
    <row r="140" customFormat="false" ht="15" hidden="false" customHeight="false" outlineLevel="0" collapsed="false">
      <c r="A140" s="1"/>
      <c r="B140" s="8" t="s">
        <v>401</v>
      </c>
      <c r="C140" s="1"/>
      <c r="D140" s="48" t="n">
        <f aca="false">SUM($G$121:$BX$121)</f>
        <v>167.4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</row>
    <row r="141" customFormat="false" ht="15" hidden="false" customHeight="false" outlineLevel="0" collapsed="false">
      <c r="A141" s="1"/>
      <c r="B141" s="8" t="s">
        <v>402</v>
      </c>
      <c r="C141" s="1"/>
      <c r="D141" s="48" t="n">
        <f aca="false">SUM($G$122:$BX$122)</f>
        <v>0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</row>
    <row r="142" customFormat="false" ht="15" hidden="false" customHeight="false" outlineLevel="0" collapsed="false">
      <c r="A142" s="1"/>
      <c r="B142" s="8" t="s">
        <v>403</v>
      </c>
      <c r="C142" s="1"/>
      <c r="D142" s="48" t="n">
        <f aca="false">SUM($G$123:$BX$123)+SUM($G$124:$BX$124)+SUM($G$125:$BX$125)</f>
        <v>0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</row>
    <row r="143" customFormat="false" ht="15" hidden="false" customHeight="false" outlineLevel="0" collapsed="false">
      <c r="A143" s="1"/>
      <c r="B143" s="8" t="s">
        <v>404</v>
      </c>
      <c r="C143" s="1"/>
      <c r="D143" s="48" t="n">
        <f aca="false">SUM($G$130:$BX$130)+SUM($G$131:$BX$131)+SUM($G$132:$BX$132)</f>
        <v>15.8626460079681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X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6" min="5" style="0" width="3"/>
    <col collapsed="false" customWidth="true" hidden="false" outlineLevel="0" max="76" min="7" style="0" width="10.51"/>
  </cols>
  <sheetData>
    <row r="1" customFormat="false" ht="15" hidden="false" customHeight="false" outlineLevel="0" collapsed="false">
      <c r="A1" s="1"/>
      <c r="B1" s="2" t="s">
        <v>20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</row>
    <row r="2" customFormat="false" ht="15" hidden="false" customHeight="false" outlineLevel="0" collapsed="false">
      <c r="A2" s="1"/>
      <c r="B2" s="6" t="s">
        <v>273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</row>
    <row r="4" customFormat="false" ht="15" hidden="false" customHeight="false" outlineLevel="0" collapsed="false">
      <c r="A4" s="1"/>
      <c r="B4" s="4" t="s">
        <v>25</v>
      </c>
      <c r="C4" s="1"/>
      <c r="D4" s="1"/>
      <c r="E4" s="1"/>
      <c r="F4" s="1"/>
      <c r="G4" s="37" t="n">
        <v>2027</v>
      </c>
      <c r="H4" s="37" t="n">
        <v>2028</v>
      </c>
      <c r="I4" s="37" t="n">
        <v>2029</v>
      </c>
      <c r="J4" s="37" t="n">
        <v>2030</v>
      </c>
      <c r="K4" s="37" t="n">
        <v>2031</v>
      </c>
      <c r="L4" s="37" t="n">
        <v>2032</v>
      </c>
      <c r="M4" s="37" t="n">
        <v>2033</v>
      </c>
      <c r="N4" s="37" t="n">
        <v>2034</v>
      </c>
      <c r="O4" s="37" t="n">
        <v>2035</v>
      </c>
      <c r="P4" s="37" t="n">
        <v>2036</v>
      </c>
      <c r="Q4" s="37" t="n">
        <v>2037</v>
      </c>
      <c r="R4" s="37" t="n">
        <v>2038</v>
      </c>
      <c r="S4" s="37" t="n">
        <v>2039</v>
      </c>
      <c r="T4" s="37" t="n">
        <v>2040</v>
      </c>
      <c r="U4" s="37" t="n">
        <v>2041</v>
      </c>
      <c r="V4" s="37" t="n">
        <v>2042</v>
      </c>
      <c r="W4" s="37" t="n">
        <v>2043</v>
      </c>
      <c r="X4" s="37" t="n">
        <v>2044</v>
      </c>
      <c r="Y4" s="37" t="n">
        <v>2045</v>
      </c>
      <c r="Z4" s="37" t="n">
        <v>2046</v>
      </c>
      <c r="AA4" s="37" t="n">
        <v>2047</v>
      </c>
      <c r="AB4" s="37" t="n">
        <v>2048</v>
      </c>
      <c r="AC4" s="37" t="n">
        <v>2049</v>
      </c>
      <c r="AD4" s="37" t="n">
        <v>2050</v>
      </c>
      <c r="AE4" s="37" t="n">
        <v>2051</v>
      </c>
      <c r="AF4" s="37" t="n">
        <v>2052</v>
      </c>
      <c r="AG4" s="37" t="n">
        <v>2053</v>
      </c>
      <c r="AH4" s="37" t="n">
        <v>2054</v>
      </c>
      <c r="AI4" s="37" t="n">
        <v>2055</v>
      </c>
      <c r="AJ4" s="37" t="n">
        <v>2056</v>
      </c>
      <c r="AK4" s="37" t="n">
        <v>2057</v>
      </c>
      <c r="AL4" s="37" t="n">
        <v>2058</v>
      </c>
      <c r="AM4" s="37" t="n">
        <v>2059</v>
      </c>
      <c r="AN4" s="37" t="n">
        <v>2060</v>
      </c>
      <c r="AO4" s="37" t="n">
        <v>2061</v>
      </c>
      <c r="AP4" s="37" t="n">
        <v>2062</v>
      </c>
      <c r="AQ4" s="37" t="n">
        <v>2063</v>
      </c>
      <c r="AR4" s="37" t="n">
        <v>2064</v>
      </c>
      <c r="AS4" s="37" t="n">
        <v>2065</v>
      </c>
      <c r="AT4" s="37" t="n">
        <v>2066</v>
      </c>
      <c r="AU4" s="37" t="n">
        <v>2067</v>
      </c>
      <c r="AV4" s="37" t="n">
        <v>2068</v>
      </c>
      <c r="AW4" s="37" t="n">
        <v>2069</v>
      </c>
      <c r="AX4" s="37" t="n">
        <v>2070</v>
      </c>
      <c r="AY4" s="37" t="n">
        <v>2071</v>
      </c>
      <c r="AZ4" s="37" t="n">
        <v>2072</v>
      </c>
      <c r="BA4" s="37" t="n">
        <v>2073</v>
      </c>
      <c r="BB4" s="37" t="n">
        <v>2074</v>
      </c>
      <c r="BC4" s="37" t="n">
        <v>2075</v>
      </c>
      <c r="BD4" s="37" t="n">
        <v>2076</v>
      </c>
      <c r="BE4" s="37" t="n">
        <v>2077</v>
      </c>
      <c r="BF4" s="37" t="n">
        <v>2078</v>
      </c>
      <c r="BG4" s="37" t="n">
        <v>2079</v>
      </c>
      <c r="BH4" s="37" t="n">
        <v>2080</v>
      </c>
      <c r="BI4" s="37" t="n">
        <v>2081</v>
      </c>
      <c r="BJ4" s="37" t="n">
        <v>2082</v>
      </c>
      <c r="BK4" s="37" t="n">
        <v>2083</v>
      </c>
      <c r="BL4" s="37" t="n">
        <v>2084</v>
      </c>
      <c r="BM4" s="37" t="n">
        <v>2085</v>
      </c>
      <c r="BN4" s="37" t="n">
        <v>2086</v>
      </c>
      <c r="BO4" s="37" t="n">
        <v>2087</v>
      </c>
      <c r="BP4" s="37" t="n">
        <v>2088</v>
      </c>
      <c r="BQ4" s="37" t="n">
        <v>2089</v>
      </c>
      <c r="BR4" s="37" t="n">
        <v>2090</v>
      </c>
      <c r="BS4" s="37" t="n">
        <v>2091</v>
      </c>
      <c r="BT4" s="37" t="n">
        <v>2092</v>
      </c>
      <c r="BU4" s="37" t="n">
        <v>2093</v>
      </c>
      <c r="BV4" s="37" t="n">
        <v>2094</v>
      </c>
      <c r="BW4" s="37" t="n">
        <v>2095</v>
      </c>
      <c r="BX4" s="37" t="n">
        <v>2096</v>
      </c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</row>
    <row r="6" customFormat="false" ht="15" hidden="false" customHeight="false" outlineLevel="0" collapsed="false">
      <c r="A6" s="1"/>
      <c r="B6" s="13" t="s">
        <v>274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</row>
    <row r="7" customFormat="false" ht="15" hidden="false" customHeight="false" outlineLevel="0" collapsed="false">
      <c r="A7" s="1"/>
      <c r="B7" s="8" t="s">
        <v>275</v>
      </c>
      <c r="C7" s="1"/>
      <c r="D7" s="9" t="n">
        <f aca="false">Input!$H$107</f>
        <v>300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</row>
    <row r="8" customFormat="false" ht="15" hidden="false" customHeight="false" outlineLevel="0" collapsed="false">
      <c r="A8" s="1"/>
      <c r="B8" s="8" t="s">
        <v>276</v>
      </c>
      <c r="C8" s="1"/>
      <c r="D8" s="9" t="n">
        <f aca="false">Input!$H$108</f>
        <v>3400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</row>
    <row r="9" customFormat="false" ht="15" hidden="false" customHeight="false" outlineLevel="0" collapsed="false">
      <c r="A9" s="1"/>
      <c r="B9" s="8" t="s">
        <v>277</v>
      </c>
      <c r="C9" s="1"/>
      <c r="D9" s="38" t="n">
        <f aca="false">Input!$H$109</f>
        <v>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</row>
    <row r="10" customFormat="false" ht="15" hidden="false" customHeight="false" outlineLevel="0" collapsed="false">
      <c r="A10" s="1"/>
      <c r="B10" s="8" t="s">
        <v>278</v>
      </c>
      <c r="C10" s="1"/>
      <c r="D10" s="38" t="n">
        <f aca="false">Input!$H$83</f>
        <v>2031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</row>
    <row r="11" customFormat="false" ht="15" hidden="false" customHeight="false" outlineLevel="0" collapsed="false">
      <c r="A11" s="1"/>
      <c r="B11" s="8" t="s">
        <v>279</v>
      </c>
      <c r="C11" s="1"/>
      <c r="D11" s="38" t="n">
        <f aca="false">Input!$H$110</f>
        <v>30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</row>
    <row r="12" customFormat="false" ht="15" hidden="false" customHeight="false" outlineLevel="0" collapsed="false">
      <c r="A12" s="1"/>
      <c r="B12" s="8" t="s">
        <v>280</v>
      </c>
      <c r="C12" s="1"/>
      <c r="D12" s="39" t="n">
        <f aca="false">$D$10-$D$9</f>
        <v>2029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</row>
    <row r="13" customFormat="false" ht="15" hidden="false" customHeight="false" outlineLevel="0" collapsed="false">
      <c r="A13" s="1"/>
      <c r="B13" s="8" t="s">
        <v>281</v>
      </c>
      <c r="C13" s="1"/>
      <c r="D13" s="10" t="n">
        <f aca="false">Input!$H$17</f>
        <v>0.07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</row>
    <row r="14" customFormat="false" ht="15" hidden="false" customHeight="false" outlineLevel="0" collapsed="false">
      <c r="A14" s="1"/>
      <c r="B14" s="8" t="s">
        <v>282</v>
      </c>
      <c r="C14" s="1"/>
      <c r="D14" s="9" t="n">
        <f aca="false">Input!$H$112</f>
        <v>55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</row>
    <row r="15" customFormat="false" ht="15" hidden="false" customHeight="false" outlineLevel="0" collapsed="false">
      <c r="A15" s="1"/>
      <c r="B15" s="8" t="s">
        <v>283</v>
      </c>
      <c r="C15" s="1"/>
      <c r="D15" s="40" t="n">
        <f aca="false">Input!$H$113</f>
        <v>20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</row>
    <row r="16" customFormat="false" ht="15" hidden="false" customHeight="false" outlineLevel="0" collapsed="false">
      <c r="A16" s="1"/>
      <c r="B16" s="8" t="s">
        <v>57</v>
      </c>
      <c r="C16" s="1"/>
      <c r="D16" s="41" t="n">
        <f aca="false">Input!$H$10</f>
        <v>4.3633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</row>
    <row r="17" customFormat="false" ht="15" hidden="false" customHeight="false" outlineLevel="0" collapsed="false">
      <c r="A17" s="1"/>
      <c r="B17" s="8" t="s">
        <v>215</v>
      </c>
      <c r="C17" s="1"/>
      <c r="D17" s="10" t="n">
        <f aca="false">Input!$H$141</f>
        <v>0.19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</row>
    <row r="18" customFormat="false" ht="15" hidden="false" customHeight="false" outlineLevel="0" collapsed="false">
      <c r="A18" s="1"/>
      <c r="B18" s="8" t="s">
        <v>284</v>
      </c>
      <c r="C18" s="1"/>
      <c r="D18" s="42" t="n">
        <f aca="false">Input!$H$31</f>
        <v>0.005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</row>
    <row r="19" customFormat="false" ht="15" hidden="false" customHeight="false" outlineLevel="0" collapsed="false">
      <c r="A19" s="1"/>
      <c r="B19" s="8" t="s">
        <v>285</v>
      </c>
      <c r="C19" s="1"/>
      <c r="D19" s="9" t="n">
        <f aca="false">Input!$H$115</f>
        <v>15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</row>
    <row r="20" customFormat="false" ht="15" hidden="false" customHeight="false" outlineLevel="0" collapsed="false">
      <c r="A20" s="1"/>
      <c r="B20" s="8" t="s">
        <v>286</v>
      </c>
      <c r="C20" s="1"/>
      <c r="D20" s="9" t="n">
        <f aca="false">Input!$H$116</f>
        <v>200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</row>
    <row r="21" customFormat="false" ht="15" hidden="false" customHeight="false" outlineLevel="0" collapsed="false">
      <c r="A21" s="1"/>
      <c r="B21" s="8" t="s">
        <v>287</v>
      </c>
      <c r="C21" s="1"/>
      <c r="D21" s="10" t="n">
        <f aca="false">Input!$H$117</f>
        <v>0.12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</row>
    <row r="22" customFormat="false" ht="15" hidden="false" customHeight="false" outlineLevel="0" collapsed="false">
      <c r="A22" s="1"/>
      <c r="B22" s="8" t="s">
        <v>288</v>
      </c>
      <c r="C22" s="1"/>
      <c r="D22" s="43" t="n">
        <f aca="false">Input!$H$84</f>
        <v>0.02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</row>
    <row r="23" customFormat="false" ht="15" hidden="false" customHeight="false" outlineLevel="0" collapsed="false">
      <c r="A23" s="1"/>
      <c r="B23" s="8" t="s">
        <v>155</v>
      </c>
      <c r="C23" s="1"/>
      <c r="D23" s="43" t="n">
        <f aca="false">1</f>
        <v>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</row>
    <row r="24" customFormat="false" ht="15" hidden="false" customHeight="false" outlineLevel="0" collapsed="false">
      <c r="A24" s="1"/>
      <c r="B24" s="4" t="s">
        <v>289</v>
      </c>
      <c r="C24" s="1"/>
      <c r="D24" s="44" t="n">
        <f aca="false">$D$8*$D$7*1000/1000000</f>
        <v>1020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</row>
    <row r="25" customFormat="false" ht="15" hidden="false" customHeight="false" outlineLevel="0" collapsed="false">
      <c r="A25" s="1"/>
      <c r="B25" s="8" t="s">
        <v>410</v>
      </c>
      <c r="C25" s="1"/>
      <c r="D25" s="10" t="n">
        <f aca="false">Input!$H$111</f>
        <v>0.39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</row>
    <row r="26" customFormat="false" ht="15" hidden="false" customHeight="false" outlineLevel="0" collapsed="false">
      <c r="A26" s="1"/>
      <c r="B26" s="8" t="s">
        <v>411</v>
      </c>
      <c r="C26" s="1"/>
      <c r="D26" s="41" t="n">
        <f aca="false">Input!$H$30</f>
        <v>0.2006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</row>
    <row r="27" customFormat="false" ht="15" hidden="false" customHeight="false" outlineLevel="0" collapsed="false">
      <c r="A27" s="1"/>
      <c r="B27" s="8" t="s">
        <v>412</v>
      </c>
      <c r="C27" s="1"/>
      <c r="D27" s="9" t="n">
        <f aca="false">Input!$H$114</f>
        <v>35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</row>
    <row r="28" customFormat="false" ht="15" hidden="false" customHeight="false" outlineLevel="0" collapsed="false">
      <c r="A28" s="1"/>
      <c r="B28" s="8" t="s">
        <v>413</v>
      </c>
      <c r="C28" s="1"/>
      <c r="D28" s="9" t="n">
        <f aca="false">Input!$H$85</f>
        <v>350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</row>
    <row r="29" customFormat="false" ht="15" hidden="false" customHeight="false" outlineLevel="0" collapsed="false">
      <c r="A29" s="1"/>
      <c r="B29" s="8" t="s">
        <v>414</v>
      </c>
      <c r="C29" s="1"/>
      <c r="D29" s="10" t="n">
        <f aca="false">Input!$H$86</f>
        <v>0.05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</row>
    <row r="30" customFormat="false" ht="15" hidden="false" customHeight="false" outlineLevel="0" collapsed="false">
      <c r="A30" s="1"/>
      <c r="B30" s="8" t="s">
        <v>299</v>
      </c>
      <c r="C30" s="1"/>
      <c r="D30" s="41" t="n">
        <f aca="false">Input!$H$27</f>
        <v>0.9328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</row>
    <row r="31" customFormat="false" ht="15" hidden="false" customHeight="false" outlineLevel="0" collapsed="false">
      <c r="A31" s="1"/>
      <c r="B31" s="8" t="s">
        <v>415</v>
      </c>
      <c r="C31" s="1"/>
      <c r="D31" s="9" t="n">
        <f aca="false">Input!$H$29</f>
        <v>40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</row>
    <row r="32" customFormat="false" ht="15" hidden="false" customHeight="false" outlineLevel="0" collapsed="false">
      <c r="A32" s="1"/>
      <c r="B32" s="8" t="s">
        <v>300</v>
      </c>
      <c r="C32" s="1"/>
      <c r="D32" s="48" t="n">
        <f aca="false">Input!$H$87*$D$7/300</f>
        <v>300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</row>
    <row r="33" customFormat="false" ht="15" hidden="false" customHeight="false" outlineLevel="0" collapsed="false">
      <c r="A33" s="1"/>
      <c r="B33" s="8" t="s">
        <v>304</v>
      </c>
      <c r="C33" s="1"/>
      <c r="D33" s="9" t="n">
        <f aca="false">Input!$H$23</f>
        <v>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</row>
    <row r="34" customFormat="false" ht="15" hidden="false" customHeight="false" outlineLevel="0" collapsed="false">
      <c r="A34" s="1"/>
      <c r="B34" s="8" t="s">
        <v>305</v>
      </c>
      <c r="C34" s="1"/>
      <c r="D34" s="38" t="n">
        <f aca="false">Input!$H$24</f>
        <v>17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</row>
    <row r="36" customFormat="false" ht="15" hidden="false" customHeight="false" outlineLevel="0" collapsed="false">
      <c r="A36" s="1"/>
      <c r="B36" s="13" t="s">
        <v>306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</row>
    <row r="37" customFormat="false" ht="15" hidden="false" customHeight="false" outlineLevel="0" collapsed="false">
      <c r="A37" s="1"/>
      <c r="B37" s="8" t="s">
        <v>307</v>
      </c>
      <c r="C37" s="8" t="s">
        <v>308</v>
      </c>
      <c r="D37" s="1"/>
      <c r="E37" s="1"/>
      <c r="F37" s="1"/>
      <c r="G37" s="39" t="n">
        <f aca="false">IF(AND(G$4&gt;=$D$12,G$4&lt;$D$10),1,0)</f>
        <v>0</v>
      </c>
      <c r="H37" s="39" t="n">
        <f aca="false">IF(AND(H$4&gt;=$D$12,H$4&lt;$D$10),1,0)</f>
        <v>0</v>
      </c>
      <c r="I37" s="39" t="n">
        <f aca="false">IF(AND(I$4&gt;=$D$12,I$4&lt;$D$10),1,0)</f>
        <v>1</v>
      </c>
      <c r="J37" s="39" t="n">
        <f aca="false">IF(AND(J$4&gt;=$D$12,J$4&lt;$D$10),1,0)</f>
        <v>1</v>
      </c>
      <c r="K37" s="39" t="n">
        <f aca="false">IF(AND(K$4&gt;=$D$12,K$4&lt;$D$10),1,0)</f>
        <v>0</v>
      </c>
      <c r="L37" s="39" t="n">
        <f aca="false">IF(AND(L$4&gt;=$D$12,L$4&lt;$D$10),1,0)</f>
        <v>0</v>
      </c>
      <c r="M37" s="39" t="n">
        <f aca="false">IF(AND(M$4&gt;=$D$12,M$4&lt;$D$10),1,0)</f>
        <v>0</v>
      </c>
      <c r="N37" s="39" t="n">
        <f aca="false">IF(AND(N$4&gt;=$D$12,N$4&lt;$D$10),1,0)</f>
        <v>0</v>
      </c>
      <c r="O37" s="39" t="n">
        <f aca="false">IF(AND(O$4&gt;=$D$12,O$4&lt;$D$10),1,0)</f>
        <v>0</v>
      </c>
      <c r="P37" s="39" t="n">
        <f aca="false">IF(AND(P$4&gt;=$D$12,P$4&lt;$D$10),1,0)</f>
        <v>0</v>
      </c>
      <c r="Q37" s="39" t="n">
        <f aca="false">IF(AND(Q$4&gt;=$D$12,Q$4&lt;$D$10),1,0)</f>
        <v>0</v>
      </c>
      <c r="R37" s="39" t="n">
        <f aca="false">IF(AND(R$4&gt;=$D$12,R$4&lt;$D$10),1,0)</f>
        <v>0</v>
      </c>
      <c r="S37" s="39" t="n">
        <f aca="false">IF(AND(S$4&gt;=$D$12,S$4&lt;$D$10),1,0)</f>
        <v>0</v>
      </c>
      <c r="T37" s="39" t="n">
        <f aca="false">IF(AND(T$4&gt;=$D$12,T$4&lt;$D$10),1,0)</f>
        <v>0</v>
      </c>
      <c r="U37" s="39" t="n">
        <f aca="false">IF(AND(U$4&gt;=$D$12,U$4&lt;$D$10),1,0)</f>
        <v>0</v>
      </c>
      <c r="V37" s="39" t="n">
        <f aca="false">IF(AND(V$4&gt;=$D$12,V$4&lt;$D$10),1,0)</f>
        <v>0</v>
      </c>
      <c r="W37" s="39" t="n">
        <f aca="false">IF(AND(W$4&gt;=$D$12,W$4&lt;$D$10),1,0)</f>
        <v>0</v>
      </c>
      <c r="X37" s="39" t="n">
        <f aca="false">IF(AND(X$4&gt;=$D$12,X$4&lt;$D$10),1,0)</f>
        <v>0</v>
      </c>
      <c r="Y37" s="39" t="n">
        <f aca="false">IF(AND(Y$4&gt;=$D$12,Y$4&lt;$D$10),1,0)</f>
        <v>0</v>
      </c>
      <c r="Z37" s="39" t="n">
        <f aca="false">IF(AND(Z$4&gt;=$D$12,Z$4&lt;$D$10),1,0)</f>
        <v>0</v>
      </c>
      <c r="AA37" s="39" t="n">
        <f aca="false">IF(AND(AA$4&gt;=$D$12,AA$4&lt;$D$10),1,0)</f>
        <v>0</v>
      </c>
      <c r="AB37" s="39" t="n">
        <f aca="false">IF(AND(AB$4&gt;=$D$12,AB$4&lt;$D$10),1,0)</f>
        <v>0</v>
      </c>
      <c r="AC37" s="39" t="n">
        <f aca="false">IF(AND(AC$4&gt;=$D$12,AC$4&lt;$D$10),1,0)</f>
        <v>0</v>
      </c>
      <c r="AD37" s="39" t="n">
        <f aca="false">IF(AND(AD$4&gt;=$D$12,AD$4&lt;$D$10),1,0)</f>
        <v>0</v>
      </c>
      <c r="AE37" s="39" t="n">
        <f aca="false">IF(AND(AE$4&gt;=$D$12,AE$4&lt;$D$10),1,0)</f>
        <v>0</v>
      </c>
      <c r="AF37" s="39" t="n">
        <f aca="false">IF(AND(AF$4&gt;=$D$12,AF$4&lt;$D$10),1,0)</f>
        <v>0</v>
      </c>
      <c r="AG37" s="39" t="n">
        <f aca="false">IF(AND(AG$4&gt;=$D$12,AG$4&lt;$D$10),1,0)</f>
        <v>0</v>
      </c>
      <c r="AH37" s="39" t="n">
        <f aca="false">IF(AND(AH$4&gt;=$D$12,AH$4&lt;$D$10),1,0)</f>
        <v>0</v>
      </c>
      <c r="AI37" s="39" t="n">
        <f aca="false">IF(AND(AI$4&gt;=$D$12,AI$4&lt;$D$10),1,0)</f>
        <v>0</v>
      </c>
      <c r="AJ37" s="39" t="n">
        <f aca="false">IF(AND(AJ$4&gt;=$D$12,AJ$4&lt;$D$10),1,0)</f>
        <v>0</v>
      </c>
      <c r="AK37" s="39" t="n">
        <f aca="false">IF(AND(AK$4&gt;=$D$12,AK$4&lt;$D$10),1,0)</f>
        <v>0</v>
      </c>
      <c r="AL37" s="39" t="n">
        <f aca="false">IF(AND(AL$4&gt;=$D$12,AL$4&lt;$D$10),1,0)</f>
        <v>0</v>
      </c>
      <c r="AM37" s="39" t="n">
        <f aca="false">IF(AND(AM$4&gt;=$D$12,AM$4&lt;$D$10),1,0)</f>
        <v>0</v>
      </c>
      <c r="AN37" s="39" t="n">
        <f aca="false">IF(AND(AN$4&gt;=$D$12,AN$4&lt;$D$10),1,0)</f>
        <v>0</v>
      </c>
      <c r="AO37" s="39" t="n">
        <f aca="false">IF(AND(AO$4&gt;=$D$12,AO$4&lt;$D$10),1,0)</f>
        <v>0</v>
      </c>
      <c r="AP37" s="39" t="n">
        <f aca="false">IF(AND(AP$4&gt;=$D$12,AP$4&lt;$D$10),1,0)</f>
        <v>0</v>
      </c>
      <c r="AQ37" s="39" t="n">
        <f aca="false">IF(AND(AQ$4&gt;=$D$12,AQ$4&lt;$D$10),1,0)</f>
        <v>0</v>
      </c>
      <c r="AR37" s="39" t="n">
        <f aca="false">IF(AND(AR$4&gt;=$D$12,AR$4&lt;$D$10),1,0)</f>
        <v>0</v>
      </c>
      <c r="AS37" s="39" t="n">
        <f aca="false">IF(AND(AS$4&gt;=$D$12,AS$4&lt;$D$10),1,0)</f>
        <v>0</v>
      </c>
      <c r="AT37" s="39" t="n">
        <f aca="false">IF(AND(AT$4&gt;=$D$12,AT$4&lt;$D$10),1,0)</f>
        <v>0</v>
      </c>
      <c r="AU37" s="39" t="n">
        <f aca="false">IF(AND(AU$4&gt;=$D$12,AU$4&lt;$D$10),1,0)</f>
        <v>0</v>
      </c>
      <c r="AV37" s="39" t="n">
        <f aca="false">IF(AND(AV$4&gt;=$D$12,AV$4&lt;$D$10),1,0)</f>
        <v>0</v>
      </c>
      <c r="AW37" s="39" t="n">
        <f aca="false">IF(AND(AW$4&gt;=$D$12,AW$4&lt;$D$10),1,0)</f>
        <v>0</v>
      </c>
      <c r="AX37" s="39" t="n">
        <f aca="false">IF(AND(AX$4&gt;=$D$12,AX$4&lt;$D$10),1,0)</f>
        <v>0</v>
      </c>
      <c r="AY37" s="39" t="n">
        <f aca="false">IF(AND(AY$4&gt;=$D$12,AY$4&lt;$D$10),1,0)</f>
        <v>0</v>
      </c>
      <c r="AZ37" s="39" t="n">
        <f aca="false">IF(AND(AZ$4&gt;=$D$12,AZ$4&lt;$D$10),1,0)</f>
        <v>0</v>
      </c>
      <c r="BA37" s="39" t="n">
        <f aca="false">IF(AND(BA$4&gt;=$D$12,BA$4&lt;$D$10),1,0)</f>
        <v>0</v>
      </c>
      <c r="BB37" s="39" t="n">
        <f aca="false">IF(AND(BB$4&gt;=$D$12,BB$4&lt;$D$10),1,0)</f>
        <v>0</v>
      </c>
      <c r="BC37" s="39" t="n">
        <f aca="false">IF(AND(BC$4&gt;=$D$12,BC$4&lt;$D$10),1,0)</f>
        <v>0</v>
      </c>
      <c r="BD37" s="39" t="n">
        <f aca="false">IF(AND(BD$4&gt;=$D$12,BD$4&lt;$D$10),1,0)</f>
        <v>0</v>
      </c>
      <c r="BE37" s="39" t="n">
        <f aca="false">IF(AND(BE$4&gt;=$D$12,BE$4&lt;$D$10),1,0)</f>
        <v>0</v>
      </c>
      <c r="BF37" s="39" t="n">
        <f aca="false">IF(AND(BF$4&gt;=$D$12,BF$4&lt;$D$10),1,0)</f>
        <v>0</v>
      </c>
      <c r="BG37" s="39" t="n">
        <f aca="false">IF(AND(BG$4&gt;=$D$12,BG$4&lt;$D$10),1,0)</f>
        <v>0</v>
      </c>
      <c r="BH37" s="39" t="n">
        <f aca="false">IF(AND(BH$4&gt;=$D$12,BH$4&lt;$D$10),1,0)</f>
        <v>0</v>
      </c>
      <c r="BI37" s="39" t="n">
        <f aca="false">IF(AND(BI$4&gt;=$D$12,BI$4&lt;$D$10),1,0)</f>
        <v>0</v>
      </c>
      <c r="BJ37" s="39" t="n">
        <f aca="false">IF(AND(BJ$4&gt;=$D$12,BJ$4&lt;$D$10),1,0)</f>
        <v>0</v>
      </c>
      <c r="BK37" s="39" t="n">
        <f aca="false">IF(AND(BK$4&gt;=$D$12,BK$4&lt;$D$10),1,0)</f>
        <v>0</v>
      </c>
      <c r="BL37" s="39" t="n">
        <f aca="false">IF(AND(BL$4&gt;=$D$12,BL$4&lt;$D$10),1,0)</f>
        <v>0</v>
      </c>
      <c r="BM37" s="39" t="n">
        <f aca="false">IF(AND(BM$4&gt;=$D$12,BM$4&lt;$D$10),1,0)</f>
        <v>0</v>
      </c>
      <c r="BN37" s="39" t="n">
        <f aca="false">IF(AND(BN$4&gt;=$D$12,BN$4&lt;$D$10),1,0)</f>
        <v>0</v>
      </c>
      <c r="BO37" s="39" t="n">
        <f aca="false">IF(AND(BO$4&gt;=$D$12,BO$4&lt;$D$10),1,0)</f>
        <v>0</v>
      </c>
      <c r="BP37" s="39" t="n">
        <f aca="false">IF(AND(BP$4&gt;=$D$12,BP$4&lt;$D$10),1,0)</f>
        <v>0</v>
      </c>
      <c r="BQ37" s="39" t="n">
        <f aca="false">IF(AND(BQ$4&gt;=$D$12,BQ$4&lt;$D$10),1,0)</f>
        <v>0</v>
      </c>
      <c r="BR37" s="39" t="n">
        <f aca="false">IF(AND(BR$4&gt;=$D$12,BR$4&lt;$D$10),1,0)</f>
        <v>0</v>
      </c>
      <c r="BS37" s="39" t="n">
        <f aca="false">IF(AND(BS$4&gt;=$D$12,BS$4&lt;$D$10),1,0)</f>
        <v>0</v>
      </c>
      <c r="BT37" s="39" t="n">
        <f aca="false">IF(AND(BT$4&gt;=$D$12,BT$4&lt;$D$10),1,0)</f>
        <v>0</v>
      </c>
      <c r="BU37" s="39" t="n">
        <f aca="false">IF(AND(BU$4&gt;=$D$12,BU$4&lt;$D$10),1,0)</f>
        <v>0</v>
      </c>
      <c r="BV37" s="39" t="n">
        <f aca="false">IF(AND(BV$4&gt;=$D$12,BV$4&lt;$D$10),1,0)</f>
        <v>0</v>
      </c>
      <c r="BW37" s="39" t="n">
        <f aca="false">IF(AND(BW$4&gt;=$D$12,BW$4&lt;$D$10),1,0)</f>
        <v>0</v>
      </c>
      <c r="BX37" s="39" t="n">
        <f aca="false">IF(AND(BX$4&gt;=$D$12,BX$4&lt;$D$10),1,0)</f>
        <v>0</v>
      </c>
    </row>
    <row r="38" customFormat="false" ht="15" hidden="false" customHeight="false" outlineLevel="0" collapsed="false">
      <c r="A38" s="1"/>
      <c r="B38" s="8" t="s">
        <v>309</v>
      </c>
      <c r="C38" s="8" t="s">
        <v>308</v>
      </c>
      <c r="D38" s="1"/>
      <c r="E38" s="1"/>
      <c r="F38" s="1"/>
      <c r="G38" s="39" t="n">
        <f aca="false">IF(AND(G$4&gt;=$D$10,G$4&lt;$D$10+$D$11),1,0)</f>
        <v>0</v>
      </c>
      <c r="H38" s="39" t="n">
        <f aca="false">IF(AND(H$4&gt;=$D$10,H$4&lt;$D$10+$D$11),1,0)</f>
        <v>0</v>
      </c>
      <c r="I38" s="39" t="n">
        <f aca="false">IF(AND(I$4&gt;=$D$10,I$4&lt;$D$10+$D$11),1,0)</f>
        <v>0</v>
      </c>
      <c r="J38" s="39" t="n">
        <f aca="false">IF(AND(J$4&gt;=$D$10,J$4&lt;$D$10+$D$11),1,0)</f>
        <v>0</v>
      </c>
      <c r="K38" s="39" t="n">
        <f aca="false">IF(AND(K$4&gt;=$D$10,K$4&lt;$D$10+$D$11),1,0)</f>
        <v>1</v>
      </c>
      <c r="L38" s="39" t="n">
        <f aca="false">IF(AND(L$4&gt;=$D$10,L$4&lt;$D$10+$D$11),1,0)</f>
        <v>1</v>
      </c>
      <c r="M38" s="39" t="n">
        <f aca="false">IF(AND(M$4&gt;=$D$10,M$4&lt;$D$10+$D$11),1,0)</f>
        <v>1</v>
      </c>
      <c r="N38" s="39" t="n">
        <f aca="false">IF(AND(N$4&gt;=$D$10,N$4&lt;$D$10+$D$11),1,0)</f>
        <v>1</v>
      </c>
      <c r="O38" s="39" t="n">
        <f aca="false">IF(AND(O$4&gt;=$D$10,O$4&lt;$D$10+$D$11),1,0)</f>
        <v>1</v>
      </c>
      <c r="P38" s="39" t="n">
        <f aca="false">IF(AND(P$4&gt;=$D$10,P$4&lt;$D$10+$D$11),1,0)</f>
        <v>1</v>
      </c>
      <c r="Q38" s="39" t="n">
        <f aca="false">IF(AND(Q$4&gt;=$D$10,Q$4&lt;$D$10+$D$11),1,0)</f>
        <v>1</v>
      </c>
      <c r="R38" s="39" t="n">
        <f aca="false">IF(AND(R$4&gt;=$D$10,R$4&lt;$D$10+$D$11),1,0)</f>
        <v>1</v>
      </c>
      <c r="S38" s="39" t="n">
        <f aca="false">IF(AND(S$4&gt;=$D$10,S$4&lt;$D$10+$D$11),1,0)</f>
        <v>1</v>
      </c>
      <c r="T38" s="39" t="n">
        <f aca="false">IF(AND(T$4&gt;=$D$10,T$4&lt;$D$10+$D$11),1,0)</f>
        <v>1</v>
      </c>
      <c r="U38" s="39" t="n">
        <f aca="false">IF(AND(U$4&gt;=$D$10,U$4&lt;$D$10+$D$11),1,0)</f>
        <v>1</v>
      </c>
      <c r="V38" s="39" t="n">
        <f aca="false">IF(AND(V$4&gt;=$D$10,V$4&lt;$D$10+$D$11),1,0)</f>
        <v>1</v>
      </c>
      <c r="W38" s="39" t="n">
        <f aca="false">IF(AND(W$4&gt;=$D$10,W$4&lt;$D$10+$D$11),1,0)</f>
        <v>1</v>
      </c>
      <c r="X38" s="39" t="n">
        <f aca="false">IF(AND(X$4&gt;=$D$10,X$4&lt;$D$10+$D$11),1,0)</f>
        <v>1</v>
      </c>
      <c r="Y38" s="39" t="n">
        <f aca="false">IF(AND(Y$4&gt;=$D$10,Y$4&lt;$D$10+$D$11),1,0)</f>
        <v>1</v>
      </c>
      <c r="Z38" s="39" t="n">
        <f aca="false">IF(AND(Z$4&gt;=$D$10,Z$4&lt;$D$10+$D$11),1,0)</f>
        <v>1</v>
      </c>
      <c r="AA38" s="39" t="n">
        <f aca="false">IF(AND(AA$4&gt;=$D$10,AA$4&lt;$D$10+$D$11),1,0)</f>
        <v>1</v>
      </c>
      <c r="AB38" s="39" t="n">
        <f aca="false">IF(AND(AB$4&gt;=$D$10,AB$4&lt;$D$10+$D$11),1,0)</f>
        <v>1</v>
      </c>
      <c r="AC38" s="39" t="n">
        <f aca="false">IF(AND(AC$4&gt;=$D$10,AC$4&lt;$D$10+$D$11),1,0)</f>
        <v>1</v>
      </c>
      <c r="AD38" s="39" t="n">
        <f aca="false">IF(AND(AD$4&gt;=$D$10,AD$4&lt;$D$10+$D$11),1,0)</f>
        <v>1</v>
      </c>
      <c r="AE38" s="39" t="n">
        <f aca="false">IF(AND(AE$4&gt;=$D$10,AE$4&lt;$D$10+$D$11),1,0)</f>
        <v>1</v>
      </c>
      <c r="AF38" s="39" t="n">
        <f aca="false">IF(AND(AF$4&gt;=$D$10,AF$4&lt;$D$10+$D$11),1,0)</f>
        <v>1</v>
      </c>
      <c r="AG38" s="39" t="n">
        <f aca="false">IF(AND(AG$4&gt;=$D$10,AG$4&lt;$D$10+$D$11),1,0)</f>
        <v>1</v>
      </c>
      <c r="AH38" s="39" t="n">
        <f aca="false">IF(AND(AH$4&gt;=$D$10,AH$4&lt;$D$10+$D$11),1,0)</f>
        <v>1</v>
      </c>
      <c r="AI38" s="39" t="n">
        <f aca="false">IF(AND(AI$4&gt;=$D$10,AI$4&lt;$D$10+$D$11),1,0)</f>
        <v>1</v>
      </c>
      <c r="AJ38" s="39" t="n">
        <f aca="false">IF(AND(AJ$4&gt;=$D$10,AJ$4&lt;$D$10+$D$11),1,0)</f>
        <v>1</v>
      </c>
      <c r="AK38" s="39" t="n">
        <f aca="false">IF(AND(AK$4&gt;=$D$10,AK$4&lt;$D$10+$D$11),1,0)</f>
        <v>1</v>
      </c>
      <c r="AL38" s="39" t="n">
        <f aca="false">IF(AND(AL$4&gt;=$D$10,AL$4&lt;$D$10+$D$11),1,0)</f>
        <v>1</v>
      </c>
      <c r="AM38" s="39" t="n">
        <f aca="false">IF(AND(AM$4&gt;=$D$10,AM$4&lt;$D$10+$D$11),1,0)</f>
        <v>1</v>
      </c>
      <c r="AN38" s="39" t="n">
        <f aca="false">IF(AND(AN$4&gt;=$D$10,AN$4&lt;$D$10+$D$11),1,0)</f>
        <v>1</v>
      </c>
      <c r="AO38" s="39" t="n">
        <f aca="false">IF(AND(AO$4&gt;=$D$10,AO$4&lt;$D$10+$D$11),1,0)</f>
        <v>0</v>
      </c>
      <c r="AP38" s="39" t="n">
        <f aca="false">IF(AND(AP$4&gt;=$D$10,AP$4&lt;$D$10+$D$11),1,0)</f>
        <v>0</v>
      </c>
      <c r="AQ38" s="39" t="n">
        <f aca="false">IF(AND(AQ$4&gt;=$D$10,AQ$4&lt;$D$10+$D$11),1,0)</f>
        <v>0</v>
      </c>
      <c r="AR38" s="39" t="n">
        <f aca="false">IF(AND(AR$4&gt;=$D$10,AR$4&lt;$D$10+$D$11),1,0)</f>
        <v>0</v>
      </c>
      <c r="AS38" s="39" t="n">
        <f aca="false">IF(AND(AS$4&gt;=$D$10,AS$4&lt;$D$10+$D$11),1,0)</f>
        <v>0</v>
      </c>
      <c r="AT38" s="39" t="n">
        <f aca="false">IF(AND(AT$4&gt;=$D$10,AT$4&lt;$D$10+$D$11),1,0)</f>
        <v>0</v>
      </c>
      <c r="AU38" s="39" t="n">
        <f aca="false">IF(AND(AU$4&gt;=$D$10,AU$4&lt;$D$10+$D$11),1,0)</f>
        <v>0</v>
      </c>
      <c r="AV38" s="39" t="n">
        <f aca="false">IF(AND(AV$4&gt;=$D$10,AV$4&lt;$D$10+$D$11),1,0)</f>
        <v>0</v>
      </c>
      <c r="AW38" s="39" t="n">
        <f aca="false">IF(AND(AW$4&gt;=$D$10,AW$4&lt;$D$10+$D$11),1,0)</f>
        <v>0</v>
      </c>
      <c r="AX38" s="39" t="n">
        <f aca="false">IF(AND(AX$4&gt;=$D$10,AX$4&lt;$D$10+$D$11),1,0)</f>
        <v>0</v>
      </c>
      <c r="AY38" s="39" t="n">
        <f aca="false">IF(AND(AY$4&gt;=$D$10,AY$4&lt;$D$10+$D$11),1,0)</f>
        <v>0</v>
      </c>
      <c r="AZ38" s="39" t="n">
        <f aca="false">IF(AND(AZ$4&gt;=$D$10,AZ$4&lt;$D$10+$D$11),1,0)</f>
        <v>0</v>
      </c>
      <c r="BA38" s="39" t="n">
        <f aca="false">IF(AND(BA$4&gt;=$D$10,BA$4&lt;$D$10+$D$11),1,0)</f>
        <v>0</v>
      </c>
      <c r="BB38" s="39" t="n">
        <f aca="false">IF(AND(BB$4&gt;=$D$10,BB$4&lt;$D$10+$D$11),1,0)</f>
        <v>0</v>
      </c>
      <c r="BC38" s="39" t="n">
        <f aca="false">IF(AND(BC$4&gt;=$D$10,BC$4&lt;$D$10+$D$11),1,0)</f>
        <v>0</v>
      </c>
      <c r="BD38" s="39" t="n">
        <f aca="false">IF(AND(BD$4&gt;=$D$10,BD$4&lt;$D$10+$D$11),1,0)</f>
        <v>0</v>
      </c>
      <c r="BE38" s="39" t="n">
        <f aca="false">IF(AND(BE$4&gt;=$D$10,BE$4&lt;$D$10+$D$11),1,0)</f>
        <v>0</v>
      </c>
      <c r="BF38" s="39" t="n">
        <f aca="false">IF(AND(BF$4&gt;=$D$10,BF$4&lt;$D$10+$D$11),1,0)</f>
        <v>0</v>
      </c>
      <c r="BG38" s="39" t="n">
        <f aca="false">IF(AND(BG$4&gt;=$D$10,BG$4&lt;$D$10+$D$11),1,0)</f>
        <v>0</v>
      </c>
      <c r="BH38" s="39" t="n">
        <f aca="false">IF(AND(BH$4&gt;=$D$10,BH$4&lt;$D$10+$D$11),1,0)</f>
        <v>0</v>
      </c>
      <c r="BI38" s="39" t="n">
        <f aca="false">IF(AND(BI$4&gt;=$D$10,BI$4&lt;$D$10+$D$11),1,0)</f>
        <v>0</v>
      </c>
      <c r="BJ38" s="39" t="n">
        <f aca="false">IF(AND(BJ$4&gt;=$D$10,BJ$4&lt;$D$10+$D$11),1,0)</f>
        <v>0</v>
      </c>
      <c r="BK38" s="39" t="n">
        <f aca="false">IF(AND(BK$4&gt;=$D$10,BK$4&lt;$D$10+$D$11),1,0)</f>
        <v>0</v>
      </c>
      <c r="BL38" s="39" t="n">
        <f aca="false">IF(AND(BL$4&gt;=$D$10,BL$4&lt;$D$10+$D$11),1,0)</f>
        <v>0</v>
      </c>
      <c r="BM38" s="39" t="n">
        <f aca="false">IF(AND(BM$4&gt;=$D$10,BM$4&lt;$D$10+$D$11),1,0)</f>
        <v>0</v>
      </c>
      <c r="BN38" s="39" t="n">
        <f aca="false">IF(AND(BN$4&gt;=$D$10,BN$4&lt;$D$10+$D$11),1,0)</f>
        <v>0</v>
      </c>
      <c r="BO38" s="39" t="n">
        <f aca="false">IF(AND(BO$4&gt;=$D$10,BO$4&lt;$D$10+$D$11),1,0)</f>
        <v>0</v>
      </c>
      <c r="BP38" s="39" t="n">
        <f aca="false">IF(AND(BP$4&gt;=$D$10,BP$4&lt;$D$10+$D$11),1,0)</f>
        <v>0</v>
      </c>
      <c r="BQ38" s="39" t="n">
        <f aca="false">IF(AND(BQ$4&gt;=$D$10,BQ$4&lt;$D$10+$D$11),1,0)</f>
        <v>0</v>
      </c>
      <c r="BR38" s="39" t="n">
        <f aca="false">IF(AND(BR$4&gt;=$D$10,BR$4&lt;$D$10+$D$11),1,0)</f>
        <v>0</v>
      </c>
      <c r="BS38" s="39" t="n">
        <f aca="false">IF(AND(BS$4&gt;=$D$10,BS$4&lt;$D$10+$D$11),1,0)</f>
        <v>0</v>
      </c>
      <c r="BT38" s="39" t="n">
        <f aca="false">IF(AND(BT$4&gt;=$D$10,BT$4&lt;$D$10+$D$11),1,0)</f>
        <v>0</v>
      </c>
      <c r="BU38" s="39" t="n">
        <f aca="false">IF(AND(BU$4&gt;=$D$10,BU$4&lt;$D$10+$D$11),1,0)</f>
        <v>0</v>
      </c>
      <c r="BV38" s="39" t="n">
        <f aca="false">IF(AND(BV$4&gt;=$D$10,BV$4&lt;$D$10+$D$11),1,0)</f>
        <v>0</v>
      </c>
      <c r="BW38" s="39" t="n">
        <f aca="false">IF(AND(BW$4&gt;=$D$10,BW$4&lt;$D$10+$D$11),1,0)</f>
        <v>0</v>
      </c>
      <c r="BX38" s="39" t="n">
        <f aca="false">IF(AND(BX$4&gt;=$D$10,BX$4&lt;$D$10+$D$11),1,0)</f>
        <v>0</v>
      </c>
    </row>
    <row r="39" customFormat="false" ht="15" hidden="false" customHeight="false" outlineLevel="0" collapsed="false">
      <c r="A39" s="1"/>
      <c r="B39" s="8" t="s">
        <v>310</v>
      </c>
      <c r="C39" s="8" t="s">
        <v>46</v>
      </c>
      <c r="D39" s="1"/>
      <c r="E39" s="1"/>
      <c r="F39" s="1"/>
      <c r="G39" s="39" t="n">
        <f aca="false">IF(G38=1,G$4-$D$10+1,0)</f>
        <v>0</v>
      </c>
      <c r="H39" s="39" t="n">
        <f aca="false">IF(H38=1,H$4-$D$10+1,0)</f>
        <v>0</v>
      </c>
      <c r="I39" s="39" t="n">
        <f aca="false">IF(I38=1,I$4-$D$10+1,0)</f>
        <v>0</v>
      </c>
      <c r="J39" s="39" t="n">
        <f aca="false">IF(J38=1,J$4-$D$10+1,0)</f>
        <v>0</v>
      </c>
      <c r="K39" s="39" t="n">
        <f aca="false">IF(K38=1,K$4-$D$10+1,0)</f>
        <v>1</v>
      </c>
      <c r="L39" s="39" t="n">
        <f aca="false">IF(L38=1,L$4-$D$10+1,0)</f>
        <v>2</v>
      </c>
      <c r="M39" s="39" t="n">
        <f aca="false">IF(M38=1,M$4-$D$10+1,0)</f>
        <v>3</v>
      </c>
      <c r="N39" s="39" t="n">
        <f aca="false">IF(N38=1,N$4-$D$10+1,0)</f>
        <v>4</v>
      </c>
      <c r="O39" s="39" t="n">
        <f aca="false">IF(O38=1,O$4-$D$10+1,0)</f>
        <v>5</v>
      </c>
      <c r="P39" s="39" t="n">
        <f aca="false">IF(P38=1,P$4-$D$10+1,0)</f>
        <v>6</v>
      </c>
      <c r="Q39" s="39" t="n">
        <f aca="false">IF(Q38=1,Q$4-$D$10+1,0)</f>
        <v>7</v>
      </c>
      <c r="R39" s="39" t="n">
        <f aca="false">IF(R38=1,R$4-$D$10+1,0)</f>
        <v>8</v>
      </c>
      <c r="S39" s="39" t="n">
        <f aca="false">IF(S38=1,S$4-$D$10+1,0)</f>
        <v>9</v>
      </c>
      <c r="T39" s="39" t="n">
        <f aca="false">IF(T38=1,T$4-$D$10+1,0)</f>
        <v>10</v>
      </c>
      <c r="U39" s="39" t="n">
        <f aca="false">IF(U38=1,U$4-$D$10+1,0)</f>
        <v>11</v>
      </c>
      <c r="V39" s="39" t="n">
        <f aca="false">IF(V38=1,V$4-$D$10+1,0)</f>
        <v>12</v>
      </c>
      <c r="W39" s="39" t="n">
        <f aca="false">IF(W38=1,W$4-$D$10+1,0)</f>
        <v>13</v>
      </c>
      <c r="X39" s="39" t="n">
        <f aca="false">IF(X38=1,X$4-$D$10+1,0)</f>
        <v>14</v>
      </c>
      <c r="Y39" s="39" t="n">
        <f aca="false">IF(Y38=1,Y$4-$D$10+1,0)</f>
        <v>15</v>
      </c>
      <c r="Z39" s="39" t="n">
        <f aca="false">IF(Z38=1,Z$4-$D$10+1,0)</f>
        <v>16</v>
      </c>
      <c r="AA39" s="39" t="n">
        <f aca="false">IF(AA38=1,AA$4-$D$10+1,0)</f>
        <v>17</v>
      </c>
      <c r="AB39" s="39" t="n">
        <f aca="false">IF(AB38=1,AB$4-$D$10+1,0)</f>
        <v>18</v>
      </c>
      <c r="AC39" s="39" t="n">
        <f aca="false">IF(AC38=1,AC$4-$D$10+1,0)</f>
        <v>19</v>
      </c>
      <c r="AD39" s="39" t="n">
        <f aca="false">IF(AD38=1,AD$4-$D$10+1,0)</f>
        <v>20</v>
      </c>
      <c r="AE39" s="39" t="n">
        <f aca="false">IF(AE38=1,AE$4-$D$10+1,0)</f>
        <v>21</v>
      </c>
      <c r="AF39" s="39" t="n">
        <f aca="false">IF(AF38=1,AF$4-$D$10+1,0)</f>
        <v>22</v>
      </c>
      <c r="AG39" s="39" t="n">
        <f aca="false">IF(AG38=1,AG$4-$D$10+1,0)</f>
        <v>23</v>
      </c>
      <c r="AH39" s="39" t="n">
        <f aca="false">IF(AH38=1,AH$4-$D$10+1,0)</f>
        <v>24</v>
      </c>
      <c r="AI39" s="39" t="n">
        <f aca="false">IF(AI38=1,AI$4-$D$10+1,0)</f>
        <v>25</v>
      </c>
      <c r="AJ39" s="39" t="n">
        <f aca="false">IF(AJ38=1,AJ$4-$D$10+1,0)</f>
        <v>26</v>
      </c>
      <c r="AK39" s="39" t="n">
        <f aca="false">IF(AK38=1,AK$4-$D$10+1,0)</f>
        <v>27</v>
      </c>
      <c r="AL39" s="39" t="n">
        <f aca="false">IF(AL38=1,AL$4-$D$10+1,0)</f>
        <v>28</v>
      </c>
      <c r="AM39" s="39" t="n">
        <f aca="false">IF(AM38=1,AM$4-$D$10+1,0)</f>
        <v>29</v>
      </c>
      <c r="AN39" s="39" t="n">
        <f aca="false">IF(AN38=1,AN$4-$D$10+1,0)</f>
        <v>30</v>
      </c>
      <c r="AO39" s="39" t="n">
        <f aca="false">IF(AO38=1,AO$4-$D$10+1,0)</f>
        <v>0</v>
      </c>
      <c r="AP39" s="39" t="n">
        <f aca="false">IF(AP38=1,AP$4-$D$10+1,0)</f>
        <v>0</v>
      </c>
      <c r="AQ39" s="39" t="n">
        <f aca="false">IF(AQ38=1,AQ$4-$D$10+1,0)</f>
        <v>0</v>
      </c>
      <c r="AR39" s="39" t="n">
        <f aca="false">IF(AR38=1,AR$4-$D$10+1,0)</f>
        <v>0</v>
      </c>
      <c r="AS39" s="39" t="n">
        <f aca="false">IF(AS38=1,AS$4-$D$10+1,0)</f>
        <v>0</v>
      </c>
      <c r="AT39" s="39" t="n">
        <f aca="false">IF(AT38=1,AT$4-$D$10+1,0)</f>
        <v>0</v>
      </c>
      <c r="AU39" s="39" t="n">
        <f aca="false">IF(AU38=1,AU$4-$D$10+1,0)</f>
        <v>0</v>
      </c>
      <c r="AV39" s="39" t="n">
        <f aca="false">IF(AV38=1,AV$4-$D$10+1,0)</f>
        <v>0</v>
      </c>
      <c r="AW39" s="39" t="n">
        <f aca="false">IF(AW38=1,AW$4-$D$10+1,0)</f>
        <v>0</v>
      </c>
      <c r="AX39" s="39" t="n">
        <f aca="false">IF(AX38=1,AX$4-$D$10+1,0)</f>
        <v>0</v>
      </c>
      <c r="AY39" s="39" t="n">
        <f aca="false">IF(AY38=1,AY$4-$D$10+1,0)</f>
        <v>0</v>
      </c>
      <c r="AZ39" s="39" t="n">
        <f aca="false">IF(AZ38=1,AZ$4-$D$10+1,0)</f>
        <v>0</v>
      </c>
      <c r="BA39" s="39" t="n">
        <f aca="false">IF(BA38=1,BA$4-$D$10+1,0)</f>
        <v>0</v>
      </c>
      <c r="BB39" s="39" t="n">
        <f aca="false">IF(BB38=1,BB$4-$D$10+1,0)</f>
        <v>0</v>
      </c>
      <c r="BC39" s="39" t="n">
        <f aca="false">IF(BC38=1,BC$4-$D$10+1,0)</f>
        <v>0</v>
      </c>
      <c r="BD39" s="39" t="n">
        <f aca="false">IF(BD38=1,BD$4-$D$10+1,0)</f>
        <v>0</v>
      </c>
      <c r="BE39" s="39" t="n">
        <f aca="false">IF(BE38=1,BE$4-$D$10+1,0)</f>
        <v>0</v>
      </c>
      <c r="BF39" s="39" t="n">
        <f aca="false">IF(BF38=1,BF$4-$D$10+1,0)</f>
        <v>0</v>
      </c>
      <c r="BG39" s="39" t="n">
        <f aca="false">IF(BG38=1,BG$4-$D$10+1,0)</f>
        <v>0</v>
      </c>
      <c r="BH39" s="39" t="n">
        <f aca="false">IF(BH38=1,BH$4-$D$10+1,0)</f>
        <v>0</v>
      </c>
      <c r="BI39" s="39" t="n">
        <f aca="false">IF(BI38=1,BI$4-$D$10+1,0)</f>
        <v>0</v>
      </c>
      <c r="BJ39" s="39" t="n">
        <f aca="false">IF(BJ38=1,BJ$4-$D$10+1,0)</f>
        <v>0</v>
      </c>
      <c r="BK39" s="39" t="n">
        <f aca="false">IF(BK38=1,BK$4-$D$10+1,0)</f>
        <v>0</v>
      </c>
      <c r="BL39" s="39" t="n">
        <f aca="false">IF(BL38=1,BL$4-$D$10+1,0)</f>
        <v>0</v>
      </c>
      <c r="BM39" s="39" t="n">
        <f aca="false">IF(BM38=1,BM$4-$D$10+1,0)</f>
        <v>0</v>
      </c>
      <c r="BN39" s="39" t="n">
        <f aca="false">IF(BN38=1,BN$4-$D$10+1,0)</f>
        <v>0</v>
      </c>
      <c r="BO39" s="39" t="n">
        <f aca="false">IF(BO38=1,BO$4-$D$10+1,0)</f>
        <v>0</v>
      </c>
      <c r="BP39" s="39" t="n">
        <f aca="false">IF(BP38=1,BP$4-$D$10+1,0)</f>
        <v>0</v>
      </c>
      <c r="BQ39" s="39" t="n">
        <f aca="false">IF(BQ38=1,BQ$4-$D$10+1,0)</f>
        <v>0</v>
      </c>
      <c r="BR39" s="39" t="n">
        <f aca="false">IF(BR38=1,BR$4-$D$10+1,0)</f>
        <v>0</v>
      </c>
      <c r="BS39" s="39" t="n">
        <f aca="false">IF(BS38=1,BS$4-$D$10+1,0)</f>
        <v>0</v>
      </c>
      <c r="BT39" s="39" t="n">
        <f aca="false">IF(BT38=1,BT$4-$D$10+1,0)</f>
        <v>0</v>
      </c>
      <c r="BU39" s="39" t="n">
        <f aca="false">IF(BU38=1,BU$4-$D$10+1,0)</f>
        <v>0</v>
      </c>
      <c r="BV39" s="39" t="n">
        <f aca="false">IF(BV38=1,BV$4-$D$10+1,0)</f>
        <v>0</v>
      </c>
      <c r="BW39" s="39" t="n">
        <f aca="false">IF(BW38=1,BW$4-$D$10+1,0)</f>
        <v>0</v>
      </c>
      <c r="BX39" s="39" t="n">
        <f aca="false">IF(BX38=1,BX$4-$D$10+1,0)</f>
        <v>0</v>
      </c>
    </row>
    <row r="40" customFormat="false" ht="15" hidden="false" customHeight="false" outlineLevel="0" collapsed="false">
      <c r="A40" s="1"/>
      <c r="B40" s="8" t="s">
        <v>311</v>
      </c>
      <c r="C40" s="8" t="s">
        <v>46</v>
      </c>
      <c r="D40" s="1"/>
      <c r="E40" s="1"/>
      <c r="F40" s="1"/>
      <c r="G40" s="39" t="n">
        <f aca="false">G$4-$D$12</f>
        <v>-2</v>
      </c>
      <c r="H40" s="39" t="n">
        <f aca="false">H$4-$D$12</f>
        <v>-1</v>
      </c>
      <c r="I40" s="39" t="n">
        <f aca="false">I$4-$D$12</f>
        <v>0</v>
      </c>
      <c r="J40" s="39" t="n">
        <f aca="false">J$4-$D$12</f>
        <v>1</v>
      </c>
      <c r="K40" s="39" t="n">
        <f aca="false">K$4-$D$12</f>
        <v>2</v>
      </c>
      <c r="L40" s="39" t="n">
        <f aca="false">L$4-$D$12</f>
        <v>3</v>
      </c>
      <c r="M40" s="39" t="n">
        <f aca="false">M$4-$D$12</f>
        <v>4</v>
      </c>
      <c r="N40" s="39" t="n">
        <f aca="false">N$4-$D$12</f>
        <v>5</v>
      </c>
      <c r="O40" s="39" t="n">
        <f aca="false">O$4-$D$12</f>
        <v>6</v>
      </c>
      <c r="P40" s="39" t="n">
        <f aca="false">P$4-$D$12</f>
        <v>7</v>
      </c>
      <c r="Q40" s="39" t="n">
        <f aca="false">Q$4-$D$12</f>
        <v>8</v>
      </c>
      <c r="R40" s="39" t="n">
        <f aca="false">R$4-$D$12</f>
        <v>9</v>
      </c>
      <c r="S40" s="39" t="n">
        <f aca="false">S$4-$D$12</f>
        <v>10</v>
      </c>
      <c r="T40" s="39" t="n">
        <f aca="false">T$4-$D$12</f>
        <v>11</v>
      </c>
      <c r="U40" s="39" t="n">
        <f aca="false">U$4-$D$12</f>
        <v>12</v>
      </c>
      <c r="V40" s="39" t="n">
        <f aca="false">V$4-$D$12</f>
        <v>13</v>
      </c>
      <c r="W40" s="39" t="n">
        <f aca="false">W$4-$D$12</f>
        <v>14</v>
      </c>
      <c r="X40" s="39" t="n">
        <f aca="false">X$4-$D$12</f>
        <v>15</v>
      </c>
      <c r="Y40" s="39" t="n">
        <f aca="false">Y$4-$D$12</f>
        <v>16</v>
      </c>
      <c r="Z40" s="39" t="n">
        <f aca="false">Z$4-$D$12</f>
        <v>17</v>
      </c>
      <c r="AA40" s="39" t="n">
        <f aca="false">AA$4-$D$12</f>
        <v>18</v>
      </c>
      <c r="AB40" s="39" t="n">
        <f aca="false">AB$4-$D$12</f>
        <v>19</v>
      </c>
      <c r="AC40" s="39" t="n">
        <f aca="false">AC$4-$D$12</f>
        <v>20</v>
      </c>
      <c r="AD40" s="39" t="n">
        <f aca="false">AD$4-$D$12</f>
        <v>21</v>
      </c>
      <c r="AE40" s="39" t="n">
        <f aca="false">AE$4-$D$12</f>
        <v>22</v>
      </c>
      <c r="AF40" s="39" t="n">
        <f aca="false">AF$4-$D$12</f>
        <v>23</v>
      </c>
      <c r="AG40" s="39" t="n">
        <f aca="false">AG$4-$D$12</f>
        <v>24</v>
      </c>
      <c r="AH40" s="39" t="n">
        <f aca="false">AH$4-$D$12</f>
        <v>25</v>
      </c>
      <c r="AI40" s="39" t="n">
        <f aca="false">AI$4-$D$12</f>
        <v>26</v>
      </c>
      <c r="AJ40" s="39" t="n">
        <f aca="false">AJ$4-$D$12</f>
        <v>27</v>
      </c>
      <c r="AK40" s="39" t="n">
        <f aca="false">AK$4-$D$12</f>
        <v>28</v>
      </c>
      <c r="AL40" s="39" t="n">
        <f aca="false">AL$4-$D$12</f>
        <v>29</v>
      </c>
      <c r="AM40" s="39" t="n">
        <f aca="false">AM$4-$D$12</f>
        <v>30</v>
      </c>
      <c r="AN40" s="39" t="n">
        <f aca="false">AN$4-$D$12</f>
        <v>31</v>
      </c>
      <c r="AO40" s="39" t="n">
        <f aca="false">AO$4-$D$12</f>
        <v>32</v>
      </c>
      <c r="AP40" s="39" t="n">
        <f aca="false">AP$4-$D$12</f>
        <v>33</v>
      </c>
      <c r="AQ40" s="39" t="n">
        <f aca="false">AQ$4-$D$12</f>
        <v>34</v>
      </c>
      <c r="AR40" s="39" t="n">
        <f aca="false">AR$4-$D$12</f>
        <v>35</v>
      </c>
      <c r="AS40" s="39" t="n">
        <f aca="false">AS$4-$D$12</f>
        <v>36</v>
      </c>
      <c r="AT40" s="39" t="n">
        <f aca="false">AT$4-$D$12</f>
        <v>37</v>
      </c>
      <c r="AU40" s="39" t="n">
        <f aca="false">AU$4-$D$12</f>
        <v>38</v>
      </c>
      <c r="AV40" s="39" t="n">
        <f aca="false">AV$4-$D$12</f>
        <v>39</v>
      </c>
      <c r="AW40" s="39" t="n">
        <f aca="false">AW$4-$D$12</f>
        <v>40</v>
      </c>
      <c r="AX40" s="39" t="n">
        <f aca="false">AX$4-$D$12</f>
        <v>41</v>
      </c>
      <c r="AY40" s="39" t="n">
        <f aca="false">AY$4-$D$12</f>
        <v>42</v>
      </c>
      <c r="AZ40" s="39" t="n">
        <f aca="false">AZ$4-$D$12</f>
        <v>43</v>
      </c>
      <c r="BA40" s="39" t="n">
        <f aca="false">BA$4-$D$12</f>
        <v>44</v>
      </c>
      <c r="BB40" s="39" t="n">
        <f aca="false">BB$4-$D$12</f>
        <v>45</v>
      </c>
      <c r="BC40" s="39" t="n">
        <f aca="false">BC$4-$D$12</f>
        <v>46</v>
      </c>
      <c r="BD40" s="39" t="n">
        <f aca="false">BD$4-$D$12</f>
        <v>47</v>
      </c>
      <c r="BE40" s="39" t="n">
        <f aca="false">BE$4-$D$12</f>
        <v>48</v>
      </c>
      <c r="BF40" s="39" t="n">
        <f aca="false">BF$4-$D$12</f>
        <v>49</v>
      </c>
      <c r="BG40" s="39" t="n">
        <f aca="false">BG$4-$D$12</f>
        <v>50</v>
      </c>
      <c r="BH40" s="39" t="n">
        <f aca="false">BH$4-$D$12</f>
        <v>51</v>
      </c>
      <c r="BI40" s="39" t="n">
        <f aca="false">BI$4-$D$12</f>
        <v>52</v>
      </c>
      <c r="BJ40" s="39" t="n">
        <f aca="false">BJ$4-$D$12</f>
        <v>53</v>
      </c>
      <c r="BK40" s="39" t="n">
        <f aca="false">BK$4-$D$12</f>
        <v>54</v>
      </c>
      <c r="BL40" s="39" t="n">
        <f aca="false">BL$4-$D$12</f>
        <v>55</v>
      </c>
      <c r="BM40" s="39" t="n">
        <f aca="false">BM$4-$D$12</f>
        <v>56</v>
      </c>
      <c r="BN40" s="39" t="n">
        <f aca="false">BN$4-$D$12</f>
        <v>57</v>
      </c>
      <c r="BO40" s="39" t="n">
        <f aca="false">BO$4-$D$12</f>
        <v>58</v>
      </c>
      <c r="BP40" s="39" t="n">
        <f aca="false">BP$4-$D$12</f>
        <v>59</v>
      </c>
      <c r="BQ40" s="39" t="n">
        <f aca="false">BQ$4-$D$12</f>
        <v>60</v>
      </c>
      <c r="BR40" s="39" t="n">
        <f aca="false">BR$4-$D$12</f>
        <v>61</v>
      </c>
      <c r="BS40" s="39" t="n">
        <f aca="false">BS$4-$D$12</f>
        <v>62</v>
      </c>
      <c r="BT40" s="39" t="n">
        <f aca="false">BT$4-$D$12</f>
        <v>63</v>
      </c>
      <c r="BU40" s="39" t="n">
        <f aca="false">BU$4-$D$12</f>
        <v>64</v>
      </c>
      <c r="BV40" s="39" t="n">
        <f aca="false">BV$4-$D$12</f>
        <v>65</v>
      </c>
      <c r="BW40" s="39" t="n">
        <f aca="false">BW$4-$D$12</f>
        <v>66</v>
      </c>
      <c r="BX40" s="39" t="n">
        <f aca="false">BX$4-$D$12</f>
        <v>67</v>
      </c>
    </row>
    <row r="41" customFormat="false" ht="15" hidden="false" customHeight="false" outlineLevel="0" collapsed="false">
      <c r="A41" s="1"/>
      <c r="B41" s="8" t="s">
        <v>312</v>
      </c>
      <c r="C41" s="8" t="s">
        <v>46</v>
      </c>
      <c r="D41" s="1"/>
      <c r="E41" s="1"/>
      <c r="F41" s="1"/>
      <c r="G41" s="47" t="n">
        <f aca="false">IF(G$4&gt;=$D$12,1/(1+$D$13)^G40,0)</f>
        <v>0</v>
      </c>
      <c r="H41" s="47" t="n">
        <f aca="false">IF(H$4&gt;=$D$12,1/(1+$D$13)^H40,0)</f>
        <v>0</v>
      </c>
      <c r="I41" s="47" t="n">
        <f aca="false">IF(I$4&gt;=$D$12,1/(1+$D$13)^I40,0)</f>
        <v>1</v>
      </c>
      <c r="J41" s="47" t="n">
        <f aca="false">IF(J$4&gt;=$D$12,1/(1+$D$13)^J40,0)</f>
        <v>0.934579439252336</v>
      </c>
      <c r="K41" s="47" t="n">
        <f aca="false">IF(K$4&gt;=$D$12,1/(1+$D$13)^K40,0)</f>
        <v>0.873438728273212</v>
      </c>
      <c r="L41" s="47" t="n">
        <f aca="false">IF(L$4&gt;=$D$12,1/(1+$D$13)^L40,0)</f>
        <v>0.816297876890852</v>
      </c>
      <c r="M41" s="47" t="n">
        <f aca="false">IF(M$4&gt;=$D$12,1/(1+$D$13)^M40,0)</f>
        <v>0.762895212047525</v>
      </c>
      <c r="N41" s="47" t="n">
        <f aca="false">IF(N$4&gt;=$D$12,1/(1+$D$13)^N40,0)</f>
        <v>0.712986179483668</v>
      </c>
      <c r="O41" s="47" t="n">
        <f aca="false">IF(O$4&gt;=$D$12,1/(1+$D$13)^O40,0)</f>
        <v>0.666342223816512</v>
      </c>
      <c r="P41" s="47" t="n">
        <f aca="false">IF(P$4&gt;=$D$12,1/(1+$D$13)^P40,0)</f>
        <v>0.622749741884591</v>
      </c>
      <c r="Q41" s="47" t="n">
        <f aca="false">IF(Q$4&gt;=$D$12,1/(1+$D$13)^Q40,0)</f>
        <v>0.582009104565038</v>
      </c>
      <c r="R41" s="47" t="n">
        <f aca="false">IF(R$4&gt;=$D$12,1/(1+$D$13)^R40,0)</f>
        <v>0.543933742584148</v>
      </c>
      <c r="S41" s="47" t="n">
        <f aca="false">IF(S$4&gt;=$D$12,1/(1+$D$13)^S40,0)</f>
        <v>0.508349292134718</v>
      </c>
      <c r="T41" s="47" t="n">
        <f aca="false">IF(T$4&gt;=$D$12,1/(1+$D$13)^T40,0)</f>
        <v>0.475092796387586</v>
      </c>
      <c r="U41" s="47" t="n">
        <f aca="false">IF(U$4&gt;=$D$12,1/(1+$D$13)^U40,0)</f>
        <v>0.444011959240735</v>
      </c>
      <c r="V41" s="47" t="n">
        <f aca="false">IF(V$4&gt;=$D$12,1/(1+$D$13)^V40,0)</f>
        <v>0.414964447888537</v>
      </c>
      <c r="W41" s="47" t="n">
        <f aca="false">IF(W$4&gt;=$D$12,1/(1+$D$13)^W40,0)</f>
        <v>0.387817241017325</v>
      </c>
      <c r="X41" s="47" t="n">
        <f aca="false">IF(X$4&gt;=$D$12,1/(1+$D$13)^X40,0)</f>
        <v>0.362446019642359</v>
      </c>
      <c r="Y41" s="47" t="n">
        <f aca="false">IF(Y$4&gt;=$D$12,1/(1+$D$13)^Y40,0)</f>
        <v>0.338734597796598</v>
      </c>
      <c r="Z41" s="47" t="n">
        <f aca="false">IF(Z$4&gt;=$D$12,1/(1+$D$13)^Z40,0)</f>
        <v>0.31657439046411</v>
      </c>
      <c r="AA41" s="47" t="n">
        <f aca="false">IF(AA$4&gt;=$D$12,1/(1+$D$13)^AA40,0)</f>
        <v>0.295863916321598</v>
      </c>
      <c r="AB41" s="47" t="n">
        <f aca="false">IF(AB$4&gt;=$D$12,1/(1+$D$13)^AB40,0)</f>
        <v>0.276508333010839</v>
      </c>
      <c r="AC41" s="47" t="n">
        <f aca="false">IF(AC$4&gt;=$D$12,1/(1+$D$13)^AC40,0)</f>
        <v>0.258419002813868</v>
      </c>
      <c r="AD41" s="47" t="n">
        <f aca="false">IF(AD$4&gt;=$D$12,1/(1+$D$13)^AD40,0)</f>
        <v>0.241513086741933</v>
      </c>
      <c r="AE41" s="47" t="n">
        <f aca="false">IF(AE$4&gt;=$D$12,1/(1+$D$13)^AE40,0)</f>
        <v>0.225713165179377</v>
      </c>
      <c r="AF41" s="47" t="n">
        <f aca="false">IF(AF$4&gt;=$D$12,1/(1+$D$13)^AF40,0)</f>
        <v>0.210946883345212</v>
      </c>
      <c r="AG41" s="47" t="n">
        <f aca="false">IF(AG$4&gt;=$D$12,1/(1+$D$13)^AG40,0)</f>
        <v>0.197146619948796</v>
      </c>
      <c r="AH41" s="47" t="n">
        <f aca="false">IF(AH$4&gt;=$D$12,1/(1+$D$13)^AH40,0)</f>
        <v>0.184249177522239</v>
      </c>
      <c r="AI41" s="47" t="n">
        <f aca="false">IF(AI$4&gt;=$D$12,1/(1+$D$13)^AI40,0)</f>
        <v>0.172195493011439</v>
      </c>
      <c r="AJ41" s="47" t="n">
        <f aca="false">IF(AJ$4&gt;=$D$12,1/(1+$D$13)^AJ40,0)</f>
        <v>0.16093036730041</v>
      </c>
      <c r="AK41" s="47" t="n">
        <f aca="false">IF(AK$4&gt;=$D$12,1/(1+$D$13)^AK40,0)</f>
        <v>0.15040221243029</v>
      </c>
      <c r="AL41" s="47" t="n">
        <f aca="false">IF(AL$4&gt;=$D$12,1/(1+$D$13)^AL40,0)</f>
        <v>0.140562815355411</v>
      </c>
      <c r="AM41" s="47" t="n">
        <f aca="false">IF(AM$4&gt;=$D$12,1/(1+$D$13)^AM40,0)</f>
        <v>0.13136711715459</v>
      </c>
      <c r="AN41" s="47" t="n">
        <f aca="false">IF(AN$4&gt;=$D$12,1/(1+$D$13)^AN40,0)</f>
        <v>0.122773006686532</v>
      </c>
      <c r="AO41" s="47" t="n">
        <f aca="false">IF(AO$4&gt;=$D$12,1/(1+$D$13)^AO40,0)</f>
        <v>0.114741127744423</v>
      </c>
      <c r="AP41" s="47" t="n">
        <f aca="false">IF(AP$4&gt;=$D$12,1/(1+$D$13)^AP40,0)</f>
        <v>0.107234698826563</v>
      </c>
      <c r="AQ41" s="47" t="n">
        <f aca="false">IF(AQ$4&gt;=$D$12,1/(1+$D$13)^AQ40,0)</f>
        <v>0.100219344697723</v>
      </c>
      <c r="AR41" s="47" t="n">
        <f aca="false">IF(AR$4&gt;=$D$12,1/(1+$D$13)^AR40,0)</f>
        <v>0.0936629389698343</v>
      </c>
      <c r="AS41" s="47" t="n">
        <f aca="false">IF(AS$4&gt;=$D$12,1/(1+$D$13)^AS40,0)</f>
        <v>0.0875354569811535</v>
      </c>
      <c r="AT41" s="47" t="n">
        <f aca="false">IF(AT$4&gt;=$D$12,1/(1+$D$13)^AT40,0)</f>
        <v>0.0818088383001435</v>
      </c>
      <c r="AU41" s="47" t="n">
        <f aca="false">IF(AU$4&gt;=$D$12,1/(1+$D$13)^AU40,0)</f>
        <v>0.0764568582244332</v>
      </c>
      <c r="AV41" s="47" t="n">
        <f aca="false">IF(AV$4&gt;=$D$12,1/(1+$D$13)^AV40,0)</f>
        <v>0.0714550076863861</v>
      </c>
      <c r="AW41" s="47" t="n">
        <f aca="false">IF(AW$4&gt;=$D$12,1/(1+$D$13)^AW40,0)</f>
        <v>0.0667803810153141</v>
      </c>
      <c r="AX41" s="47" t="n">
        <f aca="false">IF(AX$4&gt;=$D$12,1/(1+$D$13)^AX40,0)</f>
        <v>0.0624115710423497</v>
      </c>
      <c r="AY41" s="47" t="n">
        <f aca="false">IF(AY$4&gt;=$D$12,1/(1+$D$13)^AY40,0)</f>
        <v>0.0583285710676165</v>
      </c>
      <c r="AZ41" s="47" t="n">
        <f aca="false">IF(AZ$4&gt;=$D$12,1/(1+$D$13)^AZ40,0)</f>
        <v>0.0545126832407631</v>
      </c>
      <c r="BA41" s="47" t="n">
        <f aca="false">IF(BA$4&gt;=$D$12,1/(1+$D$13)^BA40,0)</f>
        <v>0.0509464329352926</v>
      </c>
      <c r="BB41" s="47" t="n">
        <f aca="false">IF(BB$4&gt;=$D$12,1/(1+$D$13)^BB40,0)</f>
        <v>0.0476134887245725</v>
      </c>
      <c r="BC41" s="47" t="n">
        <f aca="false">IF(BC$4&gt;=$D$12,1/(1+$D$13)^BC40,0)</f>
        <v>0.0444985875930584</v>
      </c>
      <c r="BD41" s="47" t="n">
        <f aca="false">IF(BD$4&gt;=$D$12,1/(1+$D$13)^BD40,0)</f>
        <v>0.0415874650402415</v>
      </c>
      <c r="BE41" s="47" t="n">
        <f aca="false">IF(BE$4&gt;=$D$12,1/(1+$D$13)^BE40,0)</f>
        <v>0.0388667897572351</v>
      </c>
      <c r="BF41" s="47" t="n">
        <f aca="false">IF(BF$4&gt;=$D$12,1/(1+$D$13)^BF40,0)</f>
        <v>0.0363241025768552</v>
      </c>
      <c r="BG41" s="47" t="n">
        <f aca="false">IF(BG$4&gt;=$D$12,1/(1+$D$13)^BG40,0)</f>
        <v>0.0339477594176217</v>
      </c>
      <c r="BH41" s="47" t="n">
        <f aca="false">IF(BH$4&gt;=$D$12,1/(1+$D$13)^BH40,0)</f>
        <v>0.0317268779603941</v>
      </c>
      <c r="BI41" s="47" t="n">
        <f aca="false">IF(BI$4&gt;=$D$12,1/(1+$D$13)^BI40,0)</f>
        <v>0.0296512878134524</v>
      </c>
      <c r="BJ41" s="47" t="n">
        <f aca="false">IF(BJ$4&gt;=$D$12,1/(1+$D$13)^BJ40,0)</f>
        <v>0.027711483937806</v>
      </c>
      <c r="BK41" s="47" t="n">
        <f aca="false">IF(BK$4&gt;=$D$12,1/(1+$D$13)^BK40,0)</f>
        <v>0.0258985831194449</v>
      </c>
      <c r="BL41" s="47" t="n">
        <f aca="false">IF(BL$4&gt;=$D$12,1/(1+$D$13)^BL40,0)</f>
        <v>0.0242042832892008</v>
      </c>
      <c r="BM41" s="47" t="n">
        <f aca="false">IF(BM$4&gt;=$D$12,1/(1+$D$13)^BM40,0)</f>
        <v>0.022620825503926</v>
      </c>
      <c r="BN41" s="47" t="n">
        <f aca="false">IF(BN$4&gt;=$D$12,1/(1+$D$13)^BN40,0)</f>
        <v>0.0211409584148841</v>
      </c>
      <c r="BO41" s="47" t="n">
        <f aca="false">IF(BO$4&gt;=$D$12,1/(1+$D$13)^BO40,0)</f>
        <v>0.0197579050606393</v>
      </c>
      <c r="BP41" s="47" t="n">
        <f aca="false">IF(BP$4&gt;=$D$12,1/(1+$D$13)^BP40,0)</f>
        <v>0.0184653318323732</v>
      </c>
      <c r="BQ41" s="47" t="n">
        <f aca="false">IF(BQ$4&gt;=$D$12,1/(1+$D$13)^BQ40,0)</f>
        <v>0.0172573194695077</v>
      </c>
      <c r="BR41" s="47" t="n">
        <f aca="false">IF(BR$4&gt;=$D$12,1/(1+$D$13)^BR40,0)</f>
        <v>0.0161283359528109</v>
      </c>
      <c r="BS41" s="47" t="n">
        <f aca="false">IF(BS$4&gt;=$D$12,1/(1+$D$13)^BS40,0)</f>
        <v>0.0150732111708513</v>
      </c>
      <c r="BT41" s="47" t="n">
        <f aca="false">IF(BT$4&gt;=$D$12,1/(1+$D$13)^BT40,0)</f>
        <v>0.0140871132437863</v>
      </c>
      <c r="BU41" s="47" t="n">
        <f aca="false">IF(BU$4&gt;=$D$12,1/(1+$D$13)^BU40,0)</f>
        <v>0.0131655263960619</v>
      </c>
      <c r="BV41" s="47" t="n">
        <f aca="false">IF(BV$4&gt;=$D$12,1/(1+$D$13)^BV40,0)</f>
        <v>0.0123042302766934</v>
      </c>
      <c r="BW41" s="47" t="n">
        <f aca="false">IF(BW$4&gt;=$D$12,1/(1+$D$13)^BW40,0)</f>
        <v>0.0114992806324237</v>
      </c>
      <c r="BX41" s="47" t="n">
        <f aca="false">IF(BX$4&gt;=$D$12,1/(1+$D$13)^BX40,0)</f>
        <v>0.0107469912452558</v>
      </c>
    </row>
    <row r="42" customFormat="false" ht="15" hidden="false" customHeight="false" outlineLevel="0" collapsed="false">
      <c r="A42" s="1"/>
      <c r="B42" s="8" t="s">
        <v>313</v>
      </c>
      <c r="C42" s="8" t="s">
        <v>66</v>
      </c>
      <c r="D42" s="1"/>
      <c r="E42" s="1"/>
      <c r="F42" s="1"/>
      <c r="G42" s="43" t="n">
        <f aca="false">IF(G37=1,IF(G$4-$D$12=0,0.3,IF(G$4-$D$12=1,0.45,0.25/MAX($D$9-2,1))),0)</f>
        <v>0</v>
      </c>
      <c r="H42" s="43" t="n">
        <f aca="false">IF(H37=1,IF(H$4-$D$12=0,0.3,IF(H$4-$D$12=1,0.45,0.25/MAX($D$9-2,1))),0)</f>
        <v>0</v>
      </c>
      <c r="I42" s="43" t="n">
        <f aca="false">IF(I37=1,IF(I$4-$D$12=0,0.3,IF(I$4-$D$12=1,0.45,0.25/MAX($D$9-2,1))),0)</f>
        <v>0.3</v>
      </c>
      <c r="J42" s="43" t="n">
        <f aca="false">IF(J37=1,IF(J$4-$D$12=0,0.3,IF(J$4-$D$12=1,0.45,0.25/MAX($D$9-2,1))),0)</f>
        <v>0.45</v>
      </c>
      <c r="K42" s="43" t="n">
        <f aca="false">IF(K37=1,IF(K$4-$D$12=0,0.3,IF(K$4-$D$12=1,0.45,0.25/MAX($D$9-2,1))),0)</f>
        <v>0</v>
      </c>
      <c r="L42" s="43" t="n">
        <f aca="false">IF(L37=1,IF(L$4-$D$12=0,0.3,IF(L$4-$D$12=1,0.45,0.25/MAX($D$9-2,1))),0)</f>
        <v>0</v>
      </c>
      <c r="M42" s="43" t="n">
        <f aca="false">IF(M37=1,IF(M$4-$D$12=0,0.3,IF(M$4-$D$12=1,0.45,0.25/MAX($D$9-2,1))),0)</f>
        <v>0</v>
      </c>
      <c r="N42" s="43" t="n">
        <f aca="false">IF(N37=1,IF(N$4-$D$12=0,0.3,IF(N$4-$D$12=1,0.45,0.25/MAX($D$9-2,1))),0)</f>
        <v>0</v>
      </c>
      <c r="O42" s="43" t="n">
        <f aca="false">IF(O37=1,IF(O$4-$D$12=0,0.3,IF(O$4-$D$12=1,0.45,0.25/MAX($D$9-2,1))),0)</f>
        <v>0</v>
      </c>
      <c r="P42" s="43" t="n">
        <f aca="false">IF(P37=1,IF(P$4-$D$12=0,0.3,IF(P$4-$D$12=1,0.45,0.25/MAX($D$9-2,1))),0)</f>
        <v>0</v>
      </c>
      <c r="Q42" s="43" t="n">
        <f aca="false">IF(Q37=1,IF(Q$4-$D$12=0,0.3,IF(Q$4-$D$12=1,0.45,0.25/MAX($D$9-2,1))),0)</f>
        <v>0</v>
      </c>
      <c r="R42" s="43" t="n">
        <f aca="false">IF(R37=1,IF(R$4-$D$12=0,0.3,IF(R$4-$D$12=1,0.45,0.25/MAX($D$9-2,1))),0)</f>
        <v>0</v>
      </c>
      <c r="S42" s="43" t="n">
        <f aca="false">IF(S37=1,IF(S$4-$D$12=0,0.3,IF(S$4-$D$12=1,0.45,0.25/MAX($D$9-2,1))),0)</f>
        <v>0</v>
      </c>
      <c r="T42" s="43" t="n">
        <f aca="false">IF(T37=1,IF(T$4-$D$12=0,0.3,IF(T$4-$D$12=1,0.45,0.25/MAX($D$9-2,1))),0)</f>
        <v>0</v>
      </c>
      <c r="U42" s="43" t="n">
        <f aca="false">IF(U37=1,IF(U$4-$D$12=0,0.3,IF(U$4-$D$12=1,0.45,0.25/MAX($D$9-2,1))),0)</f>
        <v>0</v>
      </c>
      <c r="V42" s="43" t="n">
        <f aca="false">IF(V37=1,IF(V$4-$D$12=0,0.3,IF(V$4-$D$12=1,0.45,0.25/MAX($D$9-2,1))),0)</f>
        <v>0</v>
      </c>
      <c r="W42" s="43" t="n">
        <f aca="false">IF(W37=1,IF(W$4-$D$12=0,0.3,IF(W$4-$D$12=1,0.45,0.25/MAX($D$9-2,1))),0)</f>
        <v>0</v>
      </c>
      <c r="X42" s="43" t="n">
        <f aca="false">IF(X37=1,IF(X$4-$D$12=0,0.3,IF(X$4-$D$12=1,0.45,0.25/MAX($D$9-2,1))),0)</f>
        <v>0</v>
      </c>
      <c r="Y42" s="43" t="n">
        <f aca="false">IF(Y37=1,IF(Y$4-$D$12=0,0.3,IF(Y$4-$D$12=1,0.45,0.25/MAX($D$9-2,1))),0)</f>
        <v>0</v>
      </c>
      <c r="Z42" s="43" t="n">
        <f aca="false">IF(Z37=1,IF(Z$4-$D$12=0,0.3,IF(Z$4-$D$12=1,0.45,0.25/MAX($D$9-2,1))),0)</f>
        <v>0</v>
      </c>
      <c r="AA42" s="43" t="n">
        <f aca="false">IF(AA37=1,IF(AA$4-$D$12=0,0.3,IF(AA$4-$D$12=1,0.45,0.25/MAX($D$9-2,1))),0)</f>
        <v>0</v>
      </c>
      <c r="AB42" s="43" t="n">
        <f aca="false">IF(AB37=1,IF(AB$4-$D$12=0,0.3,IF(AB$4-$D$12=1,0.45,0.25/MAX($D$9-2,1))),0)</f>
        <v>0</v>
      </c>
      <c r="AC42" s="43" t="n">
        <f aca="false">IF(AC37=1,IF(AC$4-$D$12=0,0.3,IF(AC$4-$D$12=1,0.45,0.25/MAX($D$9-2,1))),0)</f>
        <v>0</v>
      </c>
      <c r="AD42" s="43" t="n">
        <f aca="false">IF(AD37=1,IF(AD$4-$D$12=0,0.3,IF(AD$4-$D$12=1,0.45,0.25/MAX($D$9-2,1))),0)</f>
        <v>0</v>
      </c>
      <c r="AE42" s="43" t="n">
        <f aca="false">IF(AE37=1,IF(AE$4-$D$12=0,0.3,IF(AE$4-$D$12=1,0.45,0.25/MAX($D$9-2,1))),0)</f>
        <v>0</v>
      </c>
      <c r="AF42" s="43" t="n">
        <f aca="false">IF(AF37=1,IF(AF$4-$D$12=0,0.3,IF(AF$4-$D$12=1,0.45,0.25/MAX($D$9-2,1))),0)</f>
        <v>0</v>
      </c>
      <c r="AG42" s="43" t="n">
        <f aca="false">IF(AG37=1,IF(AG$4-$D$12=0,0.3,IF(AG$4-$D$12=1,0.45,0.25/MAX($D$9-2,1))),0)</f>
        <v>0</v>
      </c>
      <c r="AH42" s="43" t="n">
        <f aca="false">IF(AH37=1,IF(AH$4-$D$12=0,0.3,IF(AH$4-$D$12=1,0.45,0.25/MAX($D$9-2,1))),0)</f>
        <v>0</v>
      </c>
      <c r="AI42" s="43" t="n">
        <f aca="false">IF(AI37=1,IF(AI$4-$D$12=0,0.3,IF(AI$4-$D$12=1,0.45,0.25/MAX($D$9-2,1))),0)</f>
        <v>0</v>
      </c>
      <c r="AJ42" s="43" t="n">
        <f aca="false">IF(AJ37=1,IF(AJ$4-$D$12=0,0.3,IF(AJ$4-$D$12=1,0.45,0.25/MAX($D$9-2,1))),0)</f>
        <v>0</v>
      </c>
      <c r="AK42" s="43" t="n">
        <f aca="false">IF(AK37=1,IF(AK$4-$D$12=0,0.3,IF(AK$4-$D$12=1,0.45,0.25/MAX($D$9-2,1))),0)</f>
        <v>0</v>
      </c>
      <c r="AL42" s="43" t="n">
        <f aca="false">IF(AL37=1,IF(AL$4-$D$12=0,0.3,IF(AL$4-$D$12=1,0.45,0.25/MAX($D$9-2,1))),0)</f>
        <v>0</v>
      </c>
      <c r="AM42" s="43" t="n">
        <f aca="false">IF(AM37=1,IF(AM$4-$D$12=0,0.3,IF(AM$4-$D$12=1,0.45,0.25/MAX($D$9-2,1))),0)</f>
        <v>0</v>
      </c>
      <c r="AN42" s="43" t="n">
        <f aca="false">IF(AN37=1,IF(AN$4-$D$12=0,0.3,IF(AN$4-$D$12=1,0.45,0.25/MAX($D$9-2,1))),0)</f>
        <v>0</v>
      </c>
      <c r="AO42" s="43" t="n">
        <f aca="false">IF(AO37=1,IF(AO$4-$D$12=0,0.3,IF(AO$4-$D$12=1,0.45,0.25/MAX($D$9-2,1))),0)</f>
        <v>0</v>
      </c>
      <c r="AP42" s="43" t="n">
        <f aca="false">IF(AP37=1,IF(AP$4-$D$12=0,0.3,IF(AP$4-$D$12=1,0.45,0.25/MAX($D$9-2,1))),0)</f>
        <v>0</v>
      </c>
      <c r="AQ42" s="43" t="n">
        <f aca="false">IF(AQ37=1,IF(AQ$4-$D$12=0,0.3,IF(AQ$4-$D$12=1,0.45,0.25/MAX($D$9-2,1))),0)</f>
        <v>0</v>
      </c>
      <c r="AR42" s="43" t="n">
        <f aca="false">IF(AR37=1,IF(AR$4-$D$12=0,0.3,IF(AR$4-$D$12=1,0.45,0.25/MAX($D$9-2,1))),0)</f>
        <v>0</v>
      </c>
      <c r="AS42" s="43" t="n">
        <f aca="false">IF(AS37=1,IF(AS$4-$D$12=0,0.3,IF(AS$4-$D$12=1,0.45,0.25/MAX($D$9-2,1))),0)</f>
        <v>0</v>
      </c>
      <c r="AT42" s="43" t="n">
        <f aca="false">IF(AT37=1,IF(AT$4-$D$12=0,0.3,IF(AT$4-$D$12=1,0.45,0.25/MAX($D$9-2,1))),0)</f>
        <v>0</v>
      </c>
      <c r="AU42" s="43" t="n">
        <f aca="false">IF(AU37=1,IF(AU$4-$D$12=0,0.3,IF(AU$4-$D$12=1,0.45,0.25/MAX($D$9-2,1))),0)</f>
        <v>0</v>
      </c>
      <c r="AV42" s="43" t="n">
        <f aca="false">IF(AV37=1,IF(AV$4-$D$12=0,0.3,IF(AV$4-$D$12=1,0.45,0.25/MAX($D$9-2,1))),0)</f>
        <v>0</v>
      </c>
      <c r="AW42" s="43" t="n">
        <f aca="false">IF(AW37=1,IF(AW$4-$D$12=0,0.3,IF(AW$4-$D$12=1,0.45,0.25/MAX($D$9-2,1))),0)</f>
        <v>0</v>
      </c>
      <c r="AX42" s="43" t="n">
        <f aca="false">IF(AX37=1,IF(AX$4-$D$12=0,0.3,IF(AX$4-$D$12=1,0.45,0.25/MAX($D$9-2,1))),0)</f>
        <v>0</v>
      </c>
      <c r="AY42" s="43" t="n">
        <f aca="false">IF(AY37=1,IF(AY$4-$D$12=0,0.3,IF(AY$4-$D$12=1,0.45,0.25/MAX($D$9-2,1))),0)</f>
        <v>0</v>
      </c>
      <c r="AZ42" s="43" t="n">
        <f aca="false">IF(AZ37=1,IF(AZ$4-$D$12=0,0.3,IF(AZ$4-$D$12=1,0.45,0.25/MAX($D$9-2,1))),0)</f>
        <v>0</v>
      </c>
      <c r="BA42" s="43" t="n">
        <f aca="false">IF(BA37=1,IF(BA$4-$D$12=0,0.3,IF(BA$4-$D$12=1,0.45,0.25/MAX($D$9-2,1))),0)</f>
        <v>0</v>
      </c>
      <c r="BB42" s="43" t="n">
        <f aca="false">IF(BB37=1,IF(BB$4-$D$12=0,0.3,IF(BB$4-$D$12=1,0.45,0.25/MAX($D$9-2,1))),0)</f>
        <v>0</v>
      </c>
      <c r="BC42" s="43" t="n">
        <f aca="false">IF(BC37=1,IF(BC$4-$D$12=0,0.3,IF(BC$4-$D$12=1,0.45,0.25/MAX($D$9-2,1))),0)</f>
        <v>0</v>
      </c>
      <c r="BD42" s="43" t="n">
        <f aca="false">IF(BD37=1,IF(BD$4-$D$12=0,0.3,IF(BD$4-$D$12=1,0.45,0.25/MAX($D$9-2,1))),0)</f>
        <v>0</v>
      </c>
      <c r="BE42" s="43" t="n">
        <f aca="false">IF(BE37=1,IF(BE$4-$D$12=0,0.3,IF(BE$4-$D$12=1,0.45,0.25/MAX($D$9-2,1))),0)</f>
        <v>0</v>
      </c>
      <c r="BF42" s="43" t="n">
        <f aca="false">IF(BF37=1,IF(BF$4-$D$12=0,0.3,IF(BF$4-$D$12=1,0.45,0.25/MAX($D$9-2,1))),0)</f>
        <v>0</v>
      </c>
      <c r="BG42" s="43" t="n">
        <f aca="false">IF(BG37=1,IF(BG$4-$D$12=0,0.3,IF(BG$4-$D$12=1,0.45,0.25/MAX($D$9-2,1))),0)</f>
        <v>0</v>
      </c>
      <c r="BH42" s="43" t="n">
        <f aca="false">IF(BH37=1,IF(BH$4-$D$12=0,0.3,IF(BH$4-$D$12=1,0.45,0.25/MAX($D$9-2,1))),0)</f>
        <v>0</v>
      </c>
      <c r="BI42" s="43" t="n">
        <f aca="false">IF(BI37=1,IF(BI$4-$D$12=0,0.3,IF(BI$4-$D$12=1,0.45,0.25/MAX($D$9-2,1))),0)</f>
        <v>0</v>
      </c>
      <c r="BJ42" s="43" t="n">
        <f aca="false">IF(BJ37=1,IF(BJ$4-$D$12=0,0.3,IF(BJ$4-$D$12=1,0.45,0.25/MAX($D$9-2,1))),0)</f>
        <v>0</v>
      </c>
      <c r="BK42" s="43" t="n">
        <f aca="false">IF(BK37=1,IF(BK$4-$D$12=0,0.3,IF(BK$4-$D$12=1,0.45,0.25/MAX($D$9-2,1))),0)</f>
        <v>0</v>
      </c>
      <c r="BL42" s="43" t="n">
        <f aca="false">IF(BL37=1,IF(BL$4-$D$12=0,0.3,IF(BL$4-$D$12=1,0.45,0.25/MAX($D$9-2,1))),0)</f>
        <v>0</v>
      </c>
      <c r="BM42" s="43" t="n">
        <f aca="false">IF(BM37=1,IF(BM$4-$D$12=0,0.3,IF(BM$4-$D$12=1,0.45,0.25/MAX($D$9-2,1))),0)</f>
        <v>0</v>
      </c>
      <c r="BN42" s="43" t="n">
        <f aca="false">IF(BN37=1,IF(BN$4-$D$12=0,0.3,IF(BN$4-$D$12=1,0.45,0.25/MAX($D$9-2,1))),0)</f>
        <v>0</v>
      </c>
      <c r="BO42" s="43" t="n">
        <f aca="false">IF(BO37=1,IF(BO$4-$D$12=0,0.3,IF(BO$4-$D$12=1,0.45,0.25/MAX($D$9-2,1))),0)</f>
        <v>0</v>
      </c>
      <c r="BP42" s="43" t="n">
        <f aca="false">IF(BP37=1,IF(BP$4-$D$12=0,0.3,IF(BP$4-$D$12=1,0.45,0.25/MAX($D$9-2,1))),0)</f>
        <v>0</v>
      </c>
      <c r="BQ42" s="43" t="n">
        <f aca="false">IF(BQ37=1,IF(BQ$4-$D$12=0,0.3,IF(BQ$4-$D$12=1,0.45,0.25/MAX($D$9-2,1))),0)</f>
        <v>0</v>
      </c>
      <c r="BR42" s="43" t="n">
        <f aca="false">IF(BR37=1,IF(BR$4-$D$12=0,0.3,IF(BR$4-$D$12=1,0.45,0.25/MAX($D$9-2,1))),0)</f>
        <v>0</v>
      </c>
      <c r="BS42" s="43" t="n">
        <f aca="false">IF(BS37=1,IF(BS$4-$D$12=0,0.3,IF(BS$4-$D$12=1,0.45,0.25/MAX($D$9-2,1))),0)</f>
        <v>0</v>
      </c>
      <c r="BT42" s="43" t="n">
        <f aca="false">IF(BT37=1,IF(BT$4-$D$12=0,0.3,IF(BT$4-$D$12=1,0.45,0.25/MAX($D$9-2,1))),0)</f>
        <v>0</v>
      </c>
      <c r="BU42" s="43" t="n">
        <f aca="false">IF(BU37=1,IF(BU$4-$D$12=0,0.3,IF(BU$4-$D$12=1,0.45,0.25/MAX($D$9-2,1))),0)</f>
        <v>0</v>
      </c>
      <c r="BV42" s="43" t="n">
        <f aca="false">IF(BV37=1,IF(BV$4-$D$12=0,0.3,IF(BV$4-$D$12=1,0.45,0.25/MAX($D$9-2,1))),0)</f>
        <v>0</v>
      </c>
      <c r="BW42" s="43" t="n">
        <f aca="false">IF(BW37=1,IF(BW$4-$D$12=0,0.3,IF(BW$4-$D$12=1,0.45,0.25/MAX($D$9-2,1))),0)</f>
        <v>0</v>
      </c>
      <c r="BX42" s="43" t="n">
        <f aca="false">IF(BX37=1,IF(BX$4-$D$12=0,0.3,IF(BX$4-$D$12=1,0.45,0.25/MAX($D$9-2,1))),0)</f>
        <v>0</v>
      </c>
    </row>
    <row r="43" customFormat="false" ht="15" hidden="false" customHeight="false" outlineLevel="0" collapsed="false">
      <c r="A43" s="1"/>
      <c r="B43" s="8" t="s">
        <v>314</v>
      </c>
      <c r="C43" s="8" t="s">
        <v>66</v>
      </c>
      <c r="D43" s="1"/>
      <c r="E43" s="1"/>
      <c r="F43" s="1"/>
      <c r="G43" s="43" t="n">
        <f aca="false">IF(SUM($G42:$BX42)&gt;0,G42/SUM($G42:$BX42),0)</f>
        <v>0</v>
      </c>
      <c r="H43" s="43" t="n">
        <f aca="false">IF(SUM($G42:$BX42)&gt;0,H42/SUM($G42:$BX42),0)</f>
        <v>0</v>
      </c>
      <c r="I43" s="43" t="n">
        <f aca="false">IF(SUM($G42:$BX42)&gt;0,I42/SUM($G42:$BX42),0)</f>
        <v>0.4</v>
      </c>
      <c r="J43" s="43" t="n">
        <f aca="false">IF(SUM($G42:$BX42)&gt;0,J42/SUM($G42:$BX42),0)</f>
        <v>0.6</v>
      </c>
      <c r="K43" s="43" t="n">
        <f aca="false">IF(SUM($G42:$BX42)&gt;0,K42/SUM($G42:$BX42),0)</f>
        <v>0</v>
      </c>
      <c r="L43" s="43" t="n">
        <f aca="false">IF(SUM($G42:$BX42)&gt;0,L42/SUM($G42:$BX42),0)</f>
        <v>0</v>
      </c>
      <c r="M43" s="43" t="n">
        <f aca="false">IF(SUM($G42:$BX42)&gt;0,M42/SUM($G42:$BX42),0)</f>
        <v>0</v>
      </c>
      <c r="N43" s="43" t="n">
        <f aca="false">IF(SUM($G42:$BX42)&gt;0,N42/SUM($G42:$BX42),0)</f>
        <v>0</v>
      </c>
      <c r="O43" s="43" t="n">
        <f aca="false">IF(SUM($G42:$BX42)&gt;0,O42/SUM($G42:$BX42),0)</f>
        <v>0</v>
      </c>
      <c r="P43" s="43" t="n">
        <f aca="false">IF(SUM($G42:$BX42)&gt;0,P42/SUM($G42:$BX42),0)</f>
        <v>0</v>
      </c>
      <c r="Q43" s="43" t="n">
        <f aca="false">IF(SUM($G42:$BX42)&gt;0,Q42/SUM($G42:$BX42),0)</f>
        <v>0</v>
      </c>
      <c r="R43" s="43" t="n">
        <f aca="false">IF(SUM($G42:$BX42)&gt;0,R42/SUM($G42:$BX42),0)</f>
        <v>0</v>
      </c>
      <c r="S43" s="43" t="n">
        <f aca="false">IF(SUM($G42:$BX42)&gt;0,S42/SUM($G42:$BX42),0)</f>
        <v>0</v>
      </c>
      <c r="T43" s="43" t="n">
        <f aca="false">IF(SUM($G42:$BX42)&gt;0,T42/SUM($G42:$BX42),0)</f>
        <v>0</v>
      </c>
      <c r="U43" s="43" t="n">
        <f aca="false">IF(SUM($G42:$BX42)&gt;0,U42/SUM($G42:$BX42),0)</f>
        <v>0</v>
      </c>
      <c r="V43" s="43" t="n">
        <f aca="false">IF(SUM($G42:$BX42)&gt;0,V42/SUM($G42:$BX42),0)</f>
        <v>0</v>
      </c>
      <c r="W43" s="43" t="n">
        <f aca="false">IF(SUM($G42:$BX42)&gt;0,W42/SUM($G42:$BX42),0)</f>
        <v>0</v>
      </c>
      <c r="X43" s="43" t="n">
        <f aca="false">IF(SUM($G42:$BX42)&gt;0,X42/SUM($G42:$BX42),0)</f>
        <v>0</v>
      </c>
      <c r="Y43" s="43" t="n">
        <f aca="false">IF(SUM($G42:$BX42)&gt;0,Y42/SUM($G42:$BX42),0)</f>
        <v>0</v>
      </c>
      <c r="Z43" s="43" t="n">
        <f aca="false">IF(SUM($G42:$BX42)&gt;0,Z42/SUM($G42:$BX42),0)</f>
        <v>0</v>
      </c>
      <c r="AA43" s="43" t="n">
        <f aca="false">IF(SUM($G42:$BX42)&gt;0,AA42/SUM($G42:$BX42),0)</f>
        <v>0</v>
      </c>
      <c r="AB43" s="43" t="n">
        <f aca="false">IF(SUM($G42:$BX42)&gt;0,AB42/SUM($G42:$BX42),0)</f>
        <v>0</v>
      </c>
      <c r="AC43" s="43" t="n">
        <f aca="false">IF(SUM($G42:$BX42)&gt;0,AC42/SUM($G42:$BX42),0)</f>
        <v>0</v>
      </c>
      <c r="AD43" s="43" t="n">
        <f aca="false">IF(SUM($G42:$BX42)&gt;0,AD42/SUM($G42:$BX42),0)</f>
        <v>0</v>
      </c>
      <c r="AE43" s="43" t="n">
        <f aca="false">IF(SUM($G42:$BX42)&gt;0,AE42/SUM($G42:$BX42),0)</f>
        <v>0</v>
      </c>
      <c r="AF43" s="43" t="n">
        <f aca="false">IF(SUM($G42:$BX42)&gt;0,AF42/SUM($G42:$BX42),0)</f>
        <v>0</v>
      </c>
      <c r="AG43" s="43" t="n">
        <f aca="false">IF(SUM($G42:$BX42)&gt;0,AG42/SUM($G42:$BX42),0)</f>
        <v>0</v>
      </c>
      <c r="AH43" s="43" t="n">
        <f aca="false">IF(SUM($G42:$BX42)&gt;0,AH42/SUM($G42:$BX42),0)</f>
        <v>0</v>
      </c>
      <c r="AI43" s="43" t="n">
        <f aca="false">IF(SUM($G42:$BX42)&gt;0,AI42/SUM($G42:$BX42),0)</f>
        <v>0</v>
      </c>
      <c r="AJ43" s="43" t="n">
        <f aca="false">IF(SUM($G42:$BX42)&gt;0,AJ42/SUM($G42:$BX42),0)</f>
        <v>0</v>
      </c>
      <c r="AK43" s="43" t="n">
        <f aca="false">IF(SUM($G42:$BX42)&gt;0,AK42/SUM($G42:$BX42),0)</f>
        <v>0</v>
      </c>
      <c r="AL43" s="43" t="n">
        <f aca="false">IF(SUM($G42:$BX42)&gt;0,AL42/SUM($G42:$BX42),0)</f>
        <v>0</v>
      </c>
      <c r="AM43" s="43" t="n">
        <f aca="false">IF(SUM($G42:$BX42)&gt;0,AM42/SUM($G42:$BX42),0)</f>
        <v>0</v>
      </c>
      <c r="AN43" s="43" t="n">
        <f aca="false">IF(SUM($G42:$BX42)&gt;0,AN42/SUM($G42:$BX42),0)</f>
        <v>0</v>
      </c>
      <c r="AO43" s="43" t="n">
        <f aca="false">IF(SUM($G42:$BX42)&gt;0,AO42/SUM($G42:$BX42),0)</f>
        <v>0</v>
      </c>
      <c r="AP43" s="43" t="n">
        <f aca="false">IF(SUM($G42:$BX42)&gt;0,AP42/SUM($G42:$BX42),0)</f>
        <v>0</v>
      </c>
      <c r="AQ43" s="43" t="n">
        <f aca="false">IF(SUM($G42:$BX42)&gt;0,AQ42/SUM($G42:$BX42),0)</f>
        <v>0</v>
      </c>
      <c r="AR43" s="43" t="n">
        <f aca="false">IF(SUM($G42:$BX42)&gt;0,AR42/SUM($G42:$BX42),0)</f>
        <v>0</v>
      </c>
      <c r="AS43" s="43" t="n">
        <f aca="false">IF(SUM($G42:$BX42)&gt;0,AS42/SUM($G42:$BX42),0)</f>
        <v>0</v>
      </c>
      <c r="AT43" s="43" t="n">
        <f aca="false">IF(SUM($G42:$BX42)&gt;0,AT42/SUM($G42:$BX42),0)</f>
        <v>0</v>
      </c>
      <c r="AU43" s="43" t="n">
        <f aca="false">IF(SUM($G42:$BX42)&gt;0,AU42/SUM($G42:$BX42),0)</f>
        <v>0</v>
      </c>
      <c r="AV43" s="43" t="n">
        <f aca="false">IF(SUM($G42:$BX42)&gt;0,AV42/SUM($G42:$BX42),0)</f>
        <v>0</v>
      </c>
      <c r="AW43" s="43" t="n">
        <f aca="false">IF(SUM($G42:$BX42)&gt;0,AW42/SUM($G42:$BX42),0)</f>
        <v>0</v>
      </c>
      <c r="AX43" s="43" t="n">
        <f aca="false">IF(SUM($G42:$BX42)&gt;0,AX42/SUM($G42:$BX42),0)</f>
        <v>0</v>
      </c>
      <c r="AY43" s="43" t="n">
        <f aca="false">IF(SUM($G42:$BX42)&gt;0,AY42/SUM($G42:$BX42),0)</f>
        <v>0</v>
      </c>
      <c r="AZ43" s="43" t="n">
        <f aca="false">IF(SUM($G42:$BX42)&gt;0,AZ42/SUM($G42:$BX42),0)</f>
        <v>0</v>
      </c>
      <c r="BA43" s="43" t="n">
        <f aca="false">IF(SUM($G42:$BX42)&gt;0,BA42/SUM($G42:$BX42),0)</f>
        <v>0</v>
      </c>
      <c r="BB43" s="43" t="n">
        <f aca="false">IF(SUM($G42:$BX42)&gt;0,BB42/SUM($G42:$BX42),0)</f>
        <v>0</v>
      </c>
      <c r="BC43" s="43" t="n">
        <f aca="false">IF(SUM($G42:$BX42)&gt;0,BC42/SUM($G42:$BX42),0)</f>
        <v>0</v>
      </c>
      <c r="BD43" s="43" t="n">
        <f aca="false">IF(SUM($G42:$BX42)&gt;0,BD42/SUM($G42:$BX42),0)</f>
        <v>0</v>
      </c>
      <c r="BE43" s="43" t="n">
        <f aca="false">IF(SUM($G42:$BX42)&gt;0,BE42/SUM($G42:$BX42),0)</f>
        <v>0</v>
      </c>
      <c r="BF43" s="43" t="n">
        <f aca="false">IF(SUM($G42:$BX42)&gt;0,BF42/SUM($G42:$BX42),0)</f>
        <v>0</v>
      </c>
      <c r="BG43" s="43" t="n">
        <f aca="false">IF(SUM($G42:$BX42)&gt;0,BG42/SUM($G42:$BX42),0)</f>
        <v>0</v>
      </c>
      <c r="BH43" s="43" t="n">
        <f aca="false">IF(SUM($G42:$BX42)&gt;0,BH42/SUM($G42:$BX42),0)</f>
        <v>0</v>
      </c>
      <c r="BI43" s="43" t="n">
        <f aca="false">IF(SUM($G42:$BX42)&gt;0,BI42/SUM($G42:$BX42),0)</f>
        <v>0</v>
      </c>
      <c r="BJ43" s="43" t="n">
        <f aca="false">IF(SUM($G42:$BX42)&gt;0,BJ42/SUM($G42:$BX42),0)</f>
        <v>0</v>
      </c>
      <c r="BK43" s="43" t="n">
        <f aca="false">IF(SUM($G42:$BX42)&gt;0,BK42/SUM($G42:$BX42),0)</f>
        <v>0</v>
      </c>
      <c r="BL43" s="43" t="n">
        <f aca="false">IF(SUM($G42:$BX42)&gt;0,BL42/SUM($G42:$BX42),0)</f>
        <v>0</v>
      </c>
      <c r="BM43" s="43" t="n">
        <f aca="false">IF(SUM($G42:$BX42)&gt;0,BM42/SUM($G42:$BX42),0)</f>
        <v>0</v>
      </c>
      <c r="BN43" s="43" t="n">
        <f aca="false">IF(SUM($G42:$BX42)&gt;0,BN42/SUM($G42:$BX42),0)</f>
        <v>0</v>
      </c>
      <c r="BO43" s="43" t="n">
        <f aca="false">IF(SUM($G42:$BX42)&gt;0,BO42/SUM($G42:$BX42),0)</f>
        <v>0</v>
      </c>
      <c r="BP43" s="43" t="n">
        <f aca="false">IF(SUM($G42:$BX42)&gt;0,BP42/SUM($G42:$BX42),0)</f>
        <v>0</v>
      </c>
      <c r="BQ43" s="43" t="n">
        <f aca="false">IF(SUM($G42:$BX42)&gt;0,BQ42/SUM($G42:$BX42),0)</f>
        <v>0</v>
      </c>
      <c r="BR43" s="43" t="n">
        <f aca="false">IF(SUM($G42:$BX42)&gt;0,BR42/SUM($G42:$BX42),0)</f>
        <v>0</v>
      </c>
      <c r="BS43" s="43" t="n">
        <f aca="false">IF(SUM($G42:$BX42)&gt;0,BS42/SUM($G42:$BX42),0)</f>
        <v>0</v>
      </c>
      <c r="BT43" s="43" t="n">
        <f aca="false">IF(SUM($G42:$BX42)&gt;0,BT42/SUM($G42:$BX42),0)</f>
        <v>0</v>
      </c>
      <c r="BU43" s="43" t="n">
        <f aca="false">IF(SUM($G42:$BX42)&gt;0,BU42/SUM($G42:$BX42),0)</f>
        <v>0</v>
      </c>
      <c r="BV43" s="43" t="n">
        <f aca="false">IF(SUM($G42:$BX42)&gt;0,BV42/SUM($G42:$BX42),0)</f>
        <v>0</v>
      </c>
      <c r="BW43" s="43" t="n">
        <f aca="false">IF(SUM($G42:$BX42)&gt;0,BW42/SUM($G42:$BX42),0)</f>
        <v>0</v>
      </c>
      <c r="BX43" s="43" t="n">
        <f aca="false">IF(SUM($G42:$BX42)&gt;0,BX42/SUM($G42:$BX42),0)</f>
        <v>0</v>
      </c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</row>
    <row r="45" customFormat="false" ht="15" hidden="false" customHeight="false" outlineLevel="0" collapsed="false">
      <c r="A45" s="1"/>
      <c r="B45" s="13" t="s">
        <v>315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</row>
    <row r="46" customFormat="false" ht="15" hidden="false" customHeight="false" outlineLevel="0" collapsed="false">
      <c r="A46" s="1"/>
      <c r="B46" s="8" t="s">
        <v>316</v>
      </c>
      <c r="C46" s="8" t="s">
        <v>126</v>
      </c>
      <c r="D46" s="44" t="n">
        <f aca="false">SUM(G46:BX46)</f>
        <v>1020</v>
      </c>
      <c r="E46" s="1"/>
      <c r="F46" s="1"/>
      <c r="G46" s="48" t="n">
        <f aca="false">$D$24*G43</f>
        <v>0</v>
      </c>
      <c r="H46" s="48" t="n">
        <f aca="false">$D$24*H43</f>
        <v>0</v>
      </c>
      <c r="I46" s="48" t="n">
        <f aca="false">$D$24*I43</f>
        <v>408</v>
      </c>
      <c r="J46" s="48" t="n">
        <f aca="false">$D$24*J43</f>
        <v>612</v>
      </c>
      <c r="K46" s="48" t="n">
        <f aca="false">$D$24*K43</f>
        <v>0</v>
      </c>
      <c r="L46" s="48" t="n">
        <f aca="false">$D$24*L43</f>
        <v>0</v>
      </c>
      <c r="M46" s="48" t="n">
        <f aca="false">$D$24*M43</f>
        <v>0</v>
      </c>
      <c r="N46" s="48" t="n">
        <f aca="false">$D$24*N43</f>
        <v>0</v>
      </c>
      <c r="O46" s="48" t="n">
        <f aca="false">$D$24*O43</f>
        <v>0</v>
      </c>
      <c r="P46" s="48" t="n">
        <f aca="false">$D$24*P43</f>
        <v>0</v>
      </c>
      <c r="Q46" s="48" t="n">
        <f aca="false">$D$24*Q43</f>
        <v>0</v>
      </c>
      <c r="R46" s="48" t="n">
        <f aca="false">$D$24*R43</f>
        <v>0</v>
      </c>
      <c r="S46" s="48" t="n">
        <f aca="false">$D$24*S43</f>
        <v>0</v>
      </c>
      <c r="T46" s="48" t="n">
        <f aca="false">$D$24*T43</f>
        <v>0</v>
      </c>
      <c r="U46" s="48" t="n">
        <f aca="false">$D$24*U43</f>
        <v>0</v>
      </c>
      <c r="V46" s="48" t="n">
        <f aca="false">$D$24*V43</f>
        <v>0</v>
      </c>
      <c r="W46" s="48" t="n">
        <f aca="false">$D$24*W43</f>
        <v>0</v>
      </c>
      <c r="X46" s="48" t="n">
        <f aca="false">$D$24*X43</f>
        <v>0</v>
      </c>
      <c r="Y46" s="48" t="n">
        <f aca="false">$D$24*Y43</f>
        <v>0</v>
      </c>
      <c r="Z46" s="48" t="n">
        <f aca="false">$D$24*Z43</f>
        <v>0</v>
      </c>
      <c r="AA46" s="48" t="n">
        <f aca="false">$D$24*AA43</f>
        <v>0</v>
      </c>
      <c r="AB46" s="48" t="n">
        <f aca="false">$D$24*AB43</f>
        <v>0</v>
      </c>
      <c r="AC46" s="48" t="n">
        <f aca="false">$D$24*AC43</f>
        <v>0</v>
      </c>
      <c r="AD46" s="48" t="n">
        <f aca="false">$D$24*AD43</f>
        <v>0</v>
      </c>
      <c r="AE46" s="48" t="n">
        <f aca="false">$D$24*AE43</f>
        <v>0</v>
      </c>
      <c r="AF46" s="48" t="n">
        <f aca="false">$D$24*AF43</f>
        <v>0</v>
      </c>
      <c r="AG46" s="48" t="n">
        <f aca="false">$D$24*AG43</f>
        <v>0</v>
      </c>
      <c r="AH46" s="48" t="n">
        <f aca="false">$D$24*AH43</f>
        <v>0</v>
      </c>
      <c r="AI46" s="48" t="n">
        <f aca="false">$D$24*AI43</f>
        <v>0</v>
      </c>
      <c r="AJ46" s="48" t="n">
        <f aca="false">$D$24*AJ43</f>
        <v>0</v>
      </c>
      <c r="AK46" s="48" t="n">
        <f aca="false">$D$24*AK43</f>
        <v>0</v>
      </c>
      <c r="AL46" s="48" t="n">
        <f aca="false">$D$24*AL43</f>
        <v>0</v>
      </c>
      <c r="AM46" s="48" t="n">
        <f aca="false">$D$24*AM43</f>
        <v>0</v>
      </c>
      <c r="AN46" s="48" t="n">
        <f aca="false">$D$24*AN43</f>
        <v>0</v>
      </c>
      <c r="AO46" s="48" t="n">
        <f aca="false">$D$24*AO43</f>
        <v>0</v>
      </c>
      <c r="AP46" s="48" t="n">
        <f aca="false">$D$24*AP43</f>
        <v>0</v>
      </c>
      <c r="AQ46" s="48" t="n">
        <f aca="false">$D$24*AQ43</f>
        <v>0</v>
      </c>
      <c r="AR46" s="48" t="n">
        <f aca="false">$D$24*AR43</f>
        <v>0</v>
      </c>
      <c r="AS46" s="48" t="n">
        <f aca="false">$D$24*AS43</f>
        <v>0</v>
      </c>
      <c r="AT46" s="48" t="n">
        <f aca="false">$D$24*AT43</f>
        <v>0</v>
      </c>
      <c r="AU46" s="48" t="n">
        <f aca="false">$D$24*AU43</f>
        <v>0</v>
      </c>
      <c r="AV46" s="48" t="n">
        <f aca="false">$D$24*AV43</f>
        <v>0</v>
      </c>
      <c r="AW46" s="48" t="n">
        <f aca="false">$D$24*AW43</f>
        <v>0</v>
      </c>
      <c r="AX46" s="48" t="n">
        <f aca="false">$D$24*AX43</f>
        <v>0</v>
      </c>
      <c r="AY46" s="48" t="n">
        <f aca="false">$D$24*AY43</f>
        <v>0</v>
      </c>
      <c r="AZ46" s="48" t="n">
        <f aca="false">$D$24*AZ43</f>
        <v>0</v>
      </c>
      <c r="BA46" s="48" t="n">
        <f aca="false">$D$24*BA43</f>
        <v>0</v>
      </c>
      <c r="BB46" s="48" t="n">
        <f aca="false">$D$24*BB43</f>
        <v>0</v>
      </c>
      <c r="BC46" s="48" t="n">
        <f aca="false">$D$24*BC43</f>
        <v>0</v>
      </c>
      <c r="BD46" s="48" t="n">
        <f aca="false">$D$24*BD43</f>
        <v>0</v>
      </c>
      <c r="BE46" s="48" t="n">
        <f aca="false">$D$24*BE43</f>
        <v>0</v>
      </c>
      <c r="BF46" s="48" t="n">
        <f aca="false">$D$24*BF43</f>
        <v>0</v>
      </c>
      <c r="BG46" s="48" t="n">
        <f aca="false">$D$24*BG43</f>
        <v>0</v>
      </c>
      <c r="BH46" s="48" t="n">
        <f aca="false">$D$24*BH43</f>
        <v>0</v>
      </c>
      <c r="BI46" s="48" t="n">
        <f aca="false">$D$24*BI43</f>
        <v>0</v>
      </c>
      <c r="BJ46" s="48" t="n">
        <f aca="false">$D$24*BJ43</f>
        <v>0</v>
      </c>
      <c r="BK46" s="48" t="n">
        <f aca="false">$D$24*BK43</f>
        <v>0</v>
      </c>
      <c r="BL46" s="48" t="n">
        <f aca="false">$D$24*BL43</f>
        <v>0</v>
      </c>
      <c r="BM46" s="48" t="n">
        <f aca="false">$D$24*BM43</f>
        <v>0</v>
      </c>
      <c r="BN46" s="48" t="n">
        <f aca="false">$D$24*BN43</f>
        <v>0</v>
      </c>
      <c r="BO46" s="48" t="n">
        <f aca="false">$D$24*BO43</f>
        <v>0</v>
      </c>
      <c r="BP46" s="48" t="n">
        <f aca="false">$D$24*BP43</f>
        <v>0</v>
      </c>
      <c r="BQ46" s="48" t="n">
        <f aca="false">$D$24*BQ43</f>
        <v>0</v>
      </c>
      <c r="BR46" s="48" t="n">
        <f aca="false">$D$24*BR43</f>
        <v>0</v>
      </c>
      <c r="BS46" s="48" t="n">
        <f aca="false">$D$24*BS43</f>
        <v>0</v>
      </c>
      <c r="BT46" s="48" t="n">
        <f aca="false">$D$24*BT43</f>
        <v>0</v>
      </c>
      <c r="BU46" s="48" t="n">
        <f aca="false">$D$24*BU43</f>
        <v>0</v>
      </c>
      <c r="BV46" s="48" t="n">
        <f aca="false">$D$24*BV43</f>
        <v>0</v>
      </c>
      <c r="BW46" s="48" t="n">
        <f aca="false">$D$24*BW43</f>
        <v>0</v>
      </c>
      <c r="BX46" s="48" t="n">
        <f aca="false">$D$24*BX43</f>
        <v>0</v>
      </c>
    </row>
    <row r="47" customFormat="false" ht="15" hidden="false" customHeight="false" outlineLevel="0" collapsed="false">
      <c r="A47" s="1"/>
      <c r="B47" s="8" t="s">
        <v>416</v>
      </c>
      <c r="C47" s="8" t="s">
        <v>126</v>
      </c>
      <c r="D47" s="44" t="n">
        <f aca="false">SUM(G47:BX47)</f>
        <v>105</v>
      </c>
      <c r="E47" s="1"/>
      <c r="F47" s="1"/>
      <c r="G47" s="48" t="n">
        <f aca="false">$D$28*$D$7/1000*G43</f>
        <v>0</v>
      </c>
      <c r="H47" s="48" t="n">
        <f aca="false">$D$28*$D$7/1000*H43</f>
        <v>0</v>
      </c>
      <c r="I47" s="48" t="n">
        <f aca="false">$D$28*$D$7/1000*I43</f>
        <v>42</v>
      </c>
      <c r="J47" s="48" t="n">
        <f aca="false">$D$28*$D$7/1000*J43</f>
        <v>63</v>
      </c>
      <c r="K47" s="48" t="n">
        <f aca="false">$D$28*$D$7/1000*K43</f>
        <v>0</v>
      </c>
      <c r="L47" s="48" t="n">
        <f aca="false">$D$28*$D$7/1000*L43</f>
        <v>0</v>
      </c>
      <c r="M47" s="48" t="n">
        <f aca="false">$D$28*$D$7/1000*M43</f>
        <v>0</v>
      </c>
      <c r="N47" s="48" t="n">
        <f aca="false">$D$28*$D$7/1000*N43</f>
        <v>0</v>
      </c>
      <c r="O47" s="48" t="n">
        <f aca="false">$D$28*$D$7/1000*O43</f>
        <v>0</v>
      </c>
      <c r="P47" s="48" t="n">
        <f aca="false">$D$28*$D$7/1000*P43</f>
        <v>0</v>
      </c>
      <c r="Q47" s="48" t="n">
        <f aca="false">$D$28*$D$7/1000*Q43</f>
        <v>0</v>
      </c>
      <c r="R47" s="48" t="n">
        <f aca="false">$D$28*$D$7/1000*R43</f>
        <v>0</v>
      </c>
      <c r="S47" s="48" t="n">
        <f aca="false">$D$28*$D$7/1000*S43</f>
        <v>0</v>
      </c>
      <c r="T47" s="48" t="n">
        <f aca="false">$D$28*$D$7/1000*T43</f>
        <v>0</v>
      </c>
      <c r="U47" s="48" t="n">
        <f aca="false">$D$28*$D$7/1000*U43</f>
        <v>0</v>
      </c>
      <c r="V47" s="48" t="n">
        <f aca="false">$D$28*$D$7/1000*V43</f>
        <v>0</v>
      </c>
      <c r="W47" s="48" t="n">
        <f aca="false">$D$28*$D$7/1000*W43</f>
        <v>0</v>
      </c>
      <c r="X47" s="48" t="n">
        <f aca="false">$D$28*$D$7/1000*X43</f>
        <v>0</v>
      </c>
      <c r="Y47" s="48" t="n">
        <f aca="false">$D$28*$D$7/1000*Y43</f>
        <v>0</v>
      </c>
      <c r="Z47" s="48" t="n">
        <f aca="false">$D$28*$D$7/1000*Z43</f>
        <v>0</v>
      </c>
      <c r="AA47" s="48" t="n">
        <f aca="false">$D$28*$D$7/1000*AA43</f>
        <v>0</v>
      </c>
      <c r="AB47" s="48" t="n">
        <f aca="false">$D$28*$D$7/1000*AB43</f>
        <v>0</v>
      </c>
      <c r="AC47" s="48" t="n">
        <f aca="false">$D$28*$D$7/1000*AC43</f>
        <v>0</v>
      </c>
      <c r="AD47" s="48" t="n">
        <f aca="false">$D$28*$D$7/1000*AD43</f>
        <v>0</v>
      </c>
      <c r="AE47" s="48" t="n">
        <f aca="false">$D$28*$D$7/1000*AE43</f>
        <v>0</v>
      </c>
      <c r="AF47" s="48" t="n">
        <f aca="false">$D$28*$D$7/1000*AF43</f>
        <v>0</v>
      </c>
      <c r="AG47" s="48" t="n">
        <f aca="false">$D$28*$D$7/1000*AG43</f>
        <v>0</v>
      </c>
      <c r="AH47" s="48" t="n">
        <f aca="false">$D$28*$D$7/1000*AH43</f>
        <v>0</v>
      </c>
      <c r="AI47" s="48" t="n">
        <f aca="false">$D$28*$D$7/1000*AI43</f>
        <v>0</v>
      </c>
      <c r="AJ47" s="48" t="n">
        <f aca="false">$D$28*$D$7/1000*AJ43</f>
        <v>0</v>
      </c>
      <c r="AK47" s="48" t="n">
        <f aca="false">$D$28*$D$7/1000*AK43</f>
        <v>0</v>
      </c>
      <c r="AL47" s="48" t="n">
        <f aca="false">$D$28*$D$7/1000*AL43</f>
        <v>0</v>
      </c>
      <c r="AM47" s="48" t="n">
        <f aca="false">$D$28*$D$7/1000*AM43</f>
        <v>0</v>
      </c>
      <c r="AN47" s="48" t="n">
        <f aca="false">$D$28*$D$7/1000*AN43</f>
        <v>0</v>
      </c>
      <c r="AO47" s="48" t="n">
        <f aca="false">$D$28*$D$7/1000*AO43</f>
        <v>0</v>
      </c>
      <c r="AP47" s="48" t="n">
        <f aca="false">$D$28*$D$7/1000*AP43</f>
        <v>0</v>
      </c>
      <c r="AQ47" s="48" t="n">
        <f aca="false">$D$28*$D$7/1000*AQ43</f>
        <v>0</v>
      </c>
      <c r="AR47" s="48" t="n">
        <f aca="false">$D$28*$D$7/1000*AR43</f>
        <v>0</v>
      </c>
      <c r="AS47" s="48" t="n">
        <f aca="false">$D$28*$D$7/1000*AS43</f>
        <v>0</v>
      </c>
      <c r="AT47" s="48" t="n">
        <f aca="false">$D$28*$D$7/1000*AT43</f>
        <v>0</v>
      </c>
      <c r="AU47" s="48" t="n">
        <f aca="false">$D$28*$D$7/1000*AU43</f>
        <v>0</v>
      </c>
      <c r="AV47" s="48" t="n">
        <f aca="false">$D$28*$D$7/1000*AV43</f>
        <v>0</v>
      </c>
      <c r="AW47" s="48" t="n">
        <f aca="false">$D$28*$D$7/1000*AW43</f>
        <v>0</v>
      </c>
      <c r="AX47" s="48" t="n">
        <f aca="false">$D$28*$D$7/1000*AX43</f>
        <v>0</v>
      </c>
      <c r="AY47" s="48" t="n">
        <f aca="false">$D$28*$D$7/1000*AY43</f>
        <v>0</v>
      </c>
      <c r="AZ47" s="48" t="n">
        <f aca="false">$D$28*$D$7/1000*AZ43</f>
        <v>0</v>
      </c>
      <c r="BA47" s="48" t="n">
        <f aca="false">$D$28*$D$7/1000*BA43</f>
        <v>0</v>
      </c>
      <c r="BB47" s="48" t="n">
        <f aca="false">$D$28*$D$7/1000*BB43</f>
        <v>0</v>
      </c>
      <c r="BC47" s="48" t="n">
        <f aca="false">$D$28*$D$7/1000*BC43</f>
        <v>0</v>
      </c>
      <c r="BD47" s="48" t="n">
        <f aca="false">$D$28*$D$7/1000*BD43</f>
        <v>0</v>
      </c>
      <c r="BE47" s="48" t="n">
        <f aca="false">$D$28*$D$7/1000*BE43</f>
        <v>0</v>
      </c>
      <c r="BF47" s="48" t="n">
        <f aca="false">$D$28*$D$7/1000*BF43</f>
        <v>0</v>
      </c>
      <c r="BG47" s="48" t="n">
        <f aca="false">$D$28*$D$7/1000*BG43</f>
        <v>0</v>
      </c>
      <c r="BH47" s="48" t="n">
        <f aca="false">$D$28*$D$7/1000*BH43</f>
        <v>0</v>
      </c>
      <c r="BI47" s="48" t="n">
        <f aca="false">$D$28*$D$7/1000*BI43</f>
        <v>0</v>
      </c>
      <c r="BJ47" s="48" t="n">
        <f aca="false">$D$28*$D$7/1000*BJ43</f>
        <v>0</v>
      </c>
      <c r="BK47" s="48" t="n">
        <f aca="false">$D$28*$D$7/1000*BK43</f>
        <v>0</v>
      </c>
      <c r="BL47" s="48" t="n">
        <f aca="false">$D$28*$D$7/1000*BL43</f>
        <v>0</v>
      </c>
      <c r="BM47" s="48" t="n">
        <f aca="false">$D$28*$D$7/1000*BM43</f>
        <v>0</v>
      </c>
      <c r="BN47" s="48" t="n">
        <f aca="false">$D$28*$D$7/1000*BN43</f>
        <v>0</v>
      </c>
      <c r="BO47" s="48" t="n">
        <f aca="false">$D$28*$D$7/1000*BO43</f>
        <v>0</v>
      </c>
      <c r="BP47" s="48" t="n">
        <f aca="false">$D$28*$D$7/1000*BP43</f>
        <v>0</v>
      </c>
      <c r="BQ47" s="48" t="n">
        <f aca="false">$D$28*$D$7/1000*BQ43</f>
        <v>0</v>
      </c>
      <c r="BR47" s="48" t="n">
        <f aca="false">$D$28*$D$7/1000*BR43</f>
        <v>0</v>
      </c>
      <c r="BS47" s="48" t="n">
        <f aca="false">$D$28*$D$7/1000*BS43</f>
        <v>0</v>
      </c>
      <c r="BT47" s="48" t="n">
        <f aca="false">$D$28*$D$7/1000*BT43</f>
        <v>0</v>
      </c>
      <c r="BU47" s="48" t="n">
        <f aca="false">$D$28*$D$7/1000*BU43</f>
        <v>0</v>
      </c>
      <c r="BV47" s="48" t="n">
        <f aca="false">$D$28*$D$7/1000*BV43</f>
        <v>0</v>
      </c>
      <c r="BW47" s="48" t="n">
        <f aca="false">$D$28*$D$7/1000*BW43</f>
        <v>0</v>
      </c>
      <c r="BX47" s="48" t="n">
        <f aca="false">$D$28*$D$7/1000*BX43</f>
        <v>0</v>
      </c>
    </row>
    <row r="48" customFormat="false" ht="15" hidden="false" customHeight="false" outlineLevel="0" collapsed="false">
      <c r="A48" s="1"/>
      <c r="B48" s="4" t="s">
        <v>318</v>
      </c>
      <c r="C48" s="8" t="s">
        <v>126</v>
      </c>
      <c r="D48" s="44" t="n">
        <f aca="false">SUM(G48:BX48)</f>
        <v>1125</v>
      </c>
      <c r="E48" s="1"/>
      <c r="F48" s="1"/>
      <c r="G48" s="44" t="n">
        <f aca="false">G46+G47</f>
        <v>0</v>
      </c>
      <c r="H48" s="44" t="n">
        <f aca="false">H46+H47</f>
        <v>0</v>
      </c>
      <c r="I48" s="44" t="n">
        <f aca="false">I46+I47</f>
        <v>450</v>
      </c>
      <c r="J48" s="44" t="n">
        <f aca="false">J46+J47</f>
        <v>675</v>
      </c>
      <c r="K48" s="44" t="n">
        <f aca="false">K46+K47</f>
        <v>0</v>
      </c>
      <c r="L48" s="44" t="n">
        <f aca="false">L46+L47</f>
        <v>0</v>
      </c>
      <c r="M48" s="44" t="n">
        <f aca="false">M46+M47</f>
        <v>0</v>
      </c>
      <c r="N48" s="44" t="n">
        <f aca="false">N46+N47</f>
        <v>0</v>
      </c>
      <c r="O48" s="44" t="n">
        <f aca="false">O46+O47</f>
        <v>0</v>
      </c>
      <c r="P48" s="44" t="n">
        <f aca="false">P46+P47</f>
        <v>0</v>
      </c>
      <c r="Q48" s="44" t="n">
        <f aca="false">Q46+Q47</f>
        <v>0</v>
      </c>
      <c r="R48" s="44" t="n">
        <f aca="false">R46+R47</f>
        <v>0</v>
      </c>
      <c r="S48" s="44" t="n">
        <f aca="false">S46+S47</f>
        <v>0</v>
      </c>
      <c r="T48" s="44" t="n">
        <f aca="false">T46+T47</f>
        <v>0</v>
      </c>
      <c r="U48" s="44" t="n">
        <f aca="false">U46+U47</f>
        <v>0</v>
      </c>
      <c r="V48" s="44" t="n">
        <f aca="false">V46+V47</f>
        <v>0</v>
      </c>
      <c r="W48" s="44" t="n">
        <f aca="false">W46+W47</f>
        <v>0</v>
      </c>
      <c r="X48" s="44" t="n">
        <f aca="false">X46+X47</f>
        <v>0</v>
      </c>
      <c r="Y48" s="44" t="n">
        <f aca="false">Y46+Y47</f>
        <v>0</v>
      </c>
      <c r="Z48" s="44" t="n">
        <f aca="false">Z46+Z47</f>
        <v>0</v>
      </c>
      <c r="AA48" s="44" t="n">
        <f aca="false">AA46+AA47</f>
        <v>0</v>
      </c>
      <c r="AB48" s="44" t="n">
        <f aca="false">AB46+AB47</f>
        <v>0</v>
      </c>
      <c r="AC48" s="44" t="n">
        <f aca="false">AC46+AC47</f>
        <v>0</v>
      </c>
      <c r="AD48" s="44" t="n">
        <f aca="false">AD46+AD47</f>
        <v>0</v>
      </c>
      <c r="AE48" s="44" t="n">
        <f aca="false">AE46+AE47</f>
        <v>0</v>
      </c>
      <c r="AF48" s="44" t="n">
        <f aca="false">AF46+AF47</f>
        <v>0</v>
      </c>
      <c r="AG48" s="44" t="n">
        <f aca="false">AG46+AG47</f>
        <v>0</v>
      </c>
      <c r="AH48" s="44" t="n">
        <f aca="false">AH46+AH47</f>
        <v>0</v>
      </c>
      <c r="AI48" s="44" t="n">
        <f aca="false">AI46+AI47</f>
        <v>0</v>
      </c>
      <c r="AJ48" s="44" t="n">
        <f aca="false">AJ46+AJ47</f>
        <v>0</v>
      </c>
      <c r="AK48" s="44" t="n">
        <f aca="false">AK46+AK47</f>
        <v>0</v>
      </c>
      <c r="AL48" s="44" t="n">
        <f aca="false">AL46+AL47</f>
        <v>0</v>
      </c>
      <c r="AM48" s="44" t="n">
        <f aca="false">AM46+AM47</f>
        <v>0</v>
      </c>
      <c r="AN48" s="44" t="n">
        <f aca="false">AN46+AN47</f>
        <v>0</v>
      </c>
      <c r="AO48" s="44" t="n">
        <f aca="false">AO46+AO47</f>
        <v>0</v>
      </c>
      <c r="AP48" s="44" t="n">
        <f aca="false">AP46+AP47</f>
        <v>0</v>
      </c>
      <c r="AQ48" s="44" t="n">
        <f aca="false">AQ46+AQ47</f>
        <v>0</v>
      </c>
      <c r="AR48" s="44" t="n">
        <f aca="false">AR46+AR47</f>
        <v>0</v>
      </c>
      <c r="AS48" s="44" t="n">
        <f aca="false">AS46+AS47</f>
        <v>0</v>
      </c>
      <c r="AT48" s="44" t="n">
        <f aca="false">AT46+AT47</f>
        <v>0</v>
      </c>
      <c r="AU48" s="44" t="n">
        <f aca="false">AU46+AU47</f>
        <v>0</v>
      </c>
      <c r="AV48" s="44" t="n">
        <f aca="false">AV46+AV47</f>
        <v>0</v>
      </c>
      <c r="AW48" s="44" t="n">
        <f aca="false">AW46+AW47</f>
        <v>0</v>
      </c>
      <c r="AX48" s="44" t="n">
        <f aca="false">AX46+AX47</f>
        <v>0</v>
      </c>
      <c r="AY48" s="44" t="n">
        <f aca="false">AY46+AY47</f>
        <v>0</v>
      </c>
      <c r="AZ48" s="44" t="n">
        <f aca="false">AZ46+AZ47</f>
        <v>0</v>
      </c>
      <c r="BA48" s="44" t="n">
        <f aca="false">BA46+BA47</f>
        <v>0</v>
      </c>
      <c r="BB48" s="44" t="n">
        <f aca="false">BB46+BB47</f>
        <v>0</v>
      </c>
      <c r="BC48" s="44" t="n">
        <f aca="false">BC46+BC47</f>
        <v>0</v>
      </c>
      <c r="BD48" s="44" t="n">
        <f aca="false">BD46+BD47</f>
        <v>0</v>
      </c>
      <c r="BE48" s="44" t="n">
        <f aca="false">BE46+BE47</f>
        <v>0</v>
      </c>
      <c r="BF48" s="44" t="n">
        <f aca="false">BF46+BF47</f>
        <v>0</v>
      </c>
      <c r="BG48" s="44" t="n">
        <f aca="false">BG46+BG47</f>
        <v>0</v>
      </c>
      <c r="BH48" s="44" t="n">
        <f aca="false">BH46+BH47</f>
        <v>0</v>
      </c>
      <c r="BI48" s="44" t="n">
        <f aca="false">BI46+BI47</f>
        <v>0</v>
      </c>
      <c r="BJ48" s="44" t="n">
        <f aca="false">BJ46+BJ47</f>
        <v>0</v>
      </c>
      <c r="BK48" s="44" t="n">
        <f aca="false">BK46+BK47</f>
        <v>0</v>
      </c>
      <c r="BL48" s="44" t="n">
        <f aca="false">BL46+BL47</f>
        <v>0</v>
      </c>
      <c r="BM48" s="44" t="n">
        <f aca="false">BM46+BM47</f>
        <v>0</v>
      </c>
      <c r="BN48" s="44" t="n">
        <f aca="false">BN46+BN47</f>
        <v>0</v>
      </c>
      <c r="BO48" s="44" t="n">
        <f aca="false">BO46+BO47</f>
        <v>0</v>
      </c>
      <c r="BP48" s="44" t="n">
        <f aca="false">BP46+BP47</f>
        <v>0</v>
      </c>
      <c r="BQ48" s="44" t="n">
        <f aca="false">BQ46+BQ47</f>
        <v>0</v>
      </c>
      <c r="BR48" s="44" t="n">
        <f aca="false">BR46+BR47</f>
        <v>0</v>
      </c>
      <c r="BS48" s="44" t="n">
        <f aca="false">BS46+BS47</f>
        <v>0</v>
      </c>
      <c r="BT48" s="44" t="n">
        <f aca="false">BT46+BT47</f>
        <v>0</v>
      </c>
      <c r="BU48" s="44" t="n">
        <f aca="false">BU46+BU47</f>
        <v>0</v>
      </c>
      <c r="BV48" s="44" t="n">
        <f aca="false">BV46+BV47</f>
        <v>0</v>
      </c>
      <c r="BW48" s="44" t="n">
        <f aca="false">BW46+BW47</f>
        <v>0</v>
      </c>
      <c r="BX48" s="44" t="n">
        <f aca="false">BX46+BX47</f>
        <v>0</v>
      </c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</row>
    <row r="50" customFormat="false" ht="15" hidden="false" customHeight="false" outlineLevel="0" collapsed="false">
      <c r="A50" s="1"/>
      <c r="B50" s="13" t="s">
        <v>319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</row>
    <row r="51" customFormat="false" ht="15" hidden="false" customHeight="false" outlineLevel="0" collapsed="false">
      <c r="A51" s="1"/>
      <c r="B51" s="8" t="s">
        <v>320</v>
      </c>
      <c r="C51" s="8" t="s">
        <v>76</v>
      </c>
      <c r="D51" s="1"/>
      <c r="E51" s="1"/>
      <c r="F51" s="1"/>
      <c r="G51" s="49" t="n">
        <f aca="false">Input!J36</f>
        <v>496</v>
      </c>
      <c r="H51" s="49" t="n">
        <f aca="false">Input!K36</f>
        <v>445</v>
      </c>
      <c r="I51" s="49" t="n">
        <f aca="false">Input!L36</f>
        <v>420</v>
      </c>
      <c r="J51" s="49" t="n">
        <f aca="false">Input!M36</f>
        <v>410</v>
      </c>
      <c r="K51" s="49" t="n">
        <f aca="false">Input!N36</f>
        <v>408</v>
      </c>
      <c r="L51" s="49" t="n">
        <f aca="false">Input!O36</f>
        <v>406</v>
      </c>
      <c r="M51" s="49" t="n">
        <f aca="false">Input!P36</f>
        <v>404</v>
      </c>
      <c r="N51" s="49" t="n">
        <f aca="false">Input!Q36</f>
        <v>402</v>
      </c>
      <c r="O51" s="49" t="n">
        <f aca="false">Input!R36</f>
        <v>400</v>
      </c>
      <c r="P51" s="49" t="n">
        <f aca="false">Input!S36</f>
        <v>398</v>
      </c>
      <c r="Q51" s="49" t="n">
        <f aca="false">Input!T36</f>
        <v>396</v>
      </c>
      <c r="R51" s="49" t="n">
        <f aca="false">Input!U36</f>
        <v>394</v>
      </c>
      <c r="S51" s="49" t="n">
        <f aca="false">Input!V36</f>
        <v>392</v>
      </c>
      <c r="T51" s="49" t="n">
        <f aca="false">Input!W36</f>
        <v>390</v>
      </c>
      <c r="U51" s="49" t="n">
        <f aca="false">Input!X36</f>
        <v>389</v>
      </c>
      <c r="V51" s="49" t="n">
        <f aca="false">Input!Y36</f>
        <v>388</v>
      </c>
      <c r="W51" s="49" t="n">
        <f aca="false">Input!Z36</f>
        <v>387</v>
      </c>
      <c r="X51" s="49" t="n">
        <f aca="false">Input!AA36</f>
        <v>386</v>
      </c>
      <c r="Y51" s="49" t="n">
        <f aca="false">Input!AB36</f>
        <v>385</v>
      </c>
      <c r="Z51" s="49" t="n">
        <f aca="false">Input!AC36</f>
        <v>384</v>
      </c>
      <c r="AA51" s="49" t="n">
        <f aca="false">Input!AD36</f>
        <v>383</v>
      </c>
      <c r="AB51" s="49" t="n">
        <f aca="false">Input!AE36</f>
        <v>382</v>
      </c>
      <c r="AC51" s="49" t="n">
        <f aca="false">Input!AF36</f>
        <v>381</v>
      </c>
      <c r="AD51" s="49" t="n">
        <f aca="false">Input!AG36</f>
        <v>380</v>
      </c>
      <c r="AE51" s="49" t="n">
        <f aca="false">Input!AH36</f>
        <v>380</v>
      </c>
      <c r="AF51" s="49" t="n">
        <f aca="false">Input!AI36</f>
        <v>380</v>
      </c>
      <c r="AG51" s="49" t="n">
        <f aca="false">Input!AJ36</f>
        <v>380</v>
      </c>
      <c r="AH51" s="49" t="n">
        <f aca="false">Input!AK36</f>
        <v>380</v>
      </c>
      <c r="AI51" s="49" t="n">
        <f aca="false">Input!AL36</f>
        <v>380</v>
      </c>
      <c r="AJ51" s="49" t="n">
        <f aca="false">Input!AM36</f>
        <v>380</v>
      </c>
      <c r="AK51" s="49" t="n">
        <f aca="false">Input!AN36</f>
        <v>380</v>
      </c>
      <c r="AL51" s="49" t="n">
        <f aca="false">Input!AO36</f>
        <v>380</v>
      </c>
      <c r="AM51" s="49" t="n">
        <f aca="false">Input!AP36</f>
        <v>380</v>
      </c>
      <c r="AN51" s="49" t="n">
        <f aca="false">Input!AQ36</f>
        <v>380</v>
      </c>
      <c r="AO51" s="49" t="n">
        <f aca="false">Input!AR36</f>
        <v>380</v>
      </c>
      <c r="AP51" s="49" t="n">
        <f aca="false">Input!AS36</f>
        <v>380</v>
      </c>
      <c r="AQ51" s="49" t="n">
        <f aca="false">Input!AT36</f>
        <v>380</v>
      </c>
      <c r="AR51" s="49" t="n">
        <f aca="false">Input!AU36</f>
        <v>380</v>
      </c>
      <c r="AS51" s="49" t="n">
        <f aca="false">Input!AV36</f>
        <v>380</v>
      </c>
      <c r="AT51" s="49" t="n">
        <f aca="false">Input!AW36</f>
        <v>380</v>
      </c>
      <c r="AU51" s="49" t="n">
        <f aca="false">Input!AX36</f>
        <v>380</v>
      </c>
      <c r="AV51" s="49" t="n">
        <f aca="false">Input!AY36</f>
        <v>380</v>
      </c>
      <c r="AW51" s="49" t="n">
        <f aca="false">Input!AZ36</f>
        <v>380</v>
      </c>
      <c r="AX51" s="49" t="n">
        <f aca="false">Input!BA36</f>
        <v>380</v>
      </c>
      <c r="AY51" s="49" t="n">
        <f aca="false">Input!BB36</f>
        <v>380</v>
      </c>
      <c r="AZ51" s="49" t="n">
        <f aca="false">Input!BC36</f>
        <v>380</v>
      </c>
      <c r="BA51" s="49" t="n">
        <f aca="false">Input!BD36</f>
        <v>380</v>
      </c>
      <c r="BB51" s="49" t="n">
        <f aca="false">Input!BE36</f>
        <v>380</v>
      </c>
      <c r="BC51" s="49" t="n">
        <f aca="false">Input!BF36</f>
        <v>380</v>
      </c>
      <c r="BD51" s="49" t="n">
        <f aca="false">Input!BG36</f>
        <v>380</v>
      </c>
      <c r="BE51" s="49" t="n">
        <f aca="false">Input!BH36</f>
        <v>380</v>
      </c>
      <c r="BF51" s="49" t="n">
        <f aca="false">Input!BI36</f>
        <v>380</v>
      </c>
      <c r="BG51" s="49" t="n">
        <f aca="false">Input!BJ36</f>
        <v>380</v>
      </c>
      <c r="BH51" s="49" t="n">
        <f aca="false">Input!BK36</f>
        <v>380</v>
      </c>
      <c r="BI51" s="49" t="n">
        <f aca="false">Input!BL36</f>
        <v>380</v>
      </c>
      <c r="BJ51" s="49" t="n">
        <f aca="false">Input!BM36</f>
        <v>380</v>
      </c>
      <c r="BK51" s="49" t="n">
        <f aca="false">Input!BN36</f>
        <v>380</v>
      </c>
      <c r="BL51" s="49" t="n">
        <f aca="false">Input!BO36</f>
        <v>380</v>
      </c>
      <c r="BM51" s="49" t="n">
        <f aca="false">Input!BP36</f>
        <v>380</v>
      </c>
      <c r="BN51" s="49" t="n">
        <f aca="false">Input!BQ36</f>
        <v>380</v>
      </c>
      <c r="BO51" s="49" t="n">
        <f aca="false">Input!BR36</f>
        <v>380</v>
      </c>
      <c r="BP51" s="49" t="n">
        <f aca="false">Input!BS36</f>
        <v>380</v>
      </c>
      <c r="BQ51" s="49" t="n">
        <f aca="false">Input!BT36</f>
        <v>380</v>
      </c>
      <c r="BR51" s="49" t="n">
        <f aca="false">Input!BU36</f>
        <v>380</v>
      </c>
      <c r="BS51" s="49" t="n">
        <f aca="false">Input!BV36</f>
        <v>380</v>
      </c>
      <c r="BT51" s="49" t="n">
        <f aca="false">Input!BW36</f>
        <v>380</v>
      </c>
      <c r="BU51" s="49" t="n">
        <f aca="false">Input!BX36</f>
        <v>380</v>
      </c>
      <c r="BV51" s="49" t="n">
        <f aca="false">Input!BY36</f>
        <v>380</v>
      </c>
      <c r="BW51" s="49" t="n">
        <f aca="false">Input!BZ36</f>
        <v>380</v>
      </c>
      <c r="BX51" s="49" t="n">
        <f aca="false">Input!CA36</f>
        <v>380</v>
      </c>
    </row>
    <row r="52" customFormat="false" ht="15" hidden="false" customHeight="false" outlineLevel="0" collapsed="false">
      <c r="A52" s="1"/>
      <c r="B52" s="8" t="s">
        <v>417</v>
      </c>
      <c r="C52" s="8" t="s">
        <v>107</v>
      </c>
      <c r="D52" s="1"/>
      <c r="E52" s="1"/>
      <c r="F52" s="1"/>
      <c r="G52" s="49" t="n">
        <f aca="false">Input!J42</f>
        <v>214</v>
      </c>
      <c r="H52" s="49" t="n">
        <f aca="false">Input!K42</f>
        <v>165</v>
      </c>
      <c r="I52" s="49" t="n">
        <f aca="false">Input!L42</f>
        <v>145</v>
      </c>
      <c r="J52" s="49" t="n">
        <f aca="false">Input!M42</f>
        <v>135</v>
      </c>
      <c r="K52" s="49" t="n">
        <f aca="false">Input!N42</f>
        <v>135</v>
      </c>
      <c r="L52" s="49" t="n">
        <f aca="false">Input!O42</f>
        <v>135</v>
      </c>
      <c r="M52" s="49" t="n">
        <f aca="false">Input!P42</f>
        <v>135</v>
      </c>
      <c r="N52" s="49" t="n">
        <f aca="false">Input!Q42</f>
        <v>135</v>
      </c>
      <c r="O52" s="49" t="n">
        <f aca="false">Input!R42</f>
        <v>135</v>
      </c>
      <c r="P52" s="49" t="n">
        <f aca="false">Input!S42</f>
        <v>135</v>
      </c>
      <c r="Q52" s="49" t="n">
        <f aca="false">Input!T42</f>
        <v>135</v>
      </c>
      <c r="R52" s="49" t="n">
        <f aca="false">Input!U42</f>
        <v>135</v>
      </c>
      <c r="S52" s="49" t="n">
        <f aca="false">Input!V42</f>
        <v>135</v>
      </c>
      <c r="T52" s="49" t="n">
        <f aca="false">Input!W42</f>
        <v>135</v>
      </c>
      <c r="U52" s="49" t="n">
        <f aca="false">Input!X42</f>
        <v>135</v>
      </c>
      <c r="V52" s="49" t="n">
        <f aca="false">Input!Y42</f>
        <v>135</v>
      </c>
      <c r="W52" s="49" t="n">
        <f aca="false">Input!Z42</f>
        <v>135</v>
      </c>
      <c r="X52" s="49" t="n">
        <f aca="false">Input!AA42</f>
        <v>135</v>
      </c>
      <c r="Y52" s="49" t="n">
        <f aca="false">Input!AB42</f>
        <v>135</v>
      </c>
      <c r="Z52" s="49" t="n">
        <f aca="false">Input!AC42</f>
        <v>135</v>
      </c>
      <c r="AA52" s="49" t="n">
        <f aca="false">Input!AD42</f>
        <v>135</v>
      </c>
      <c r="AB52" s="49" t="n">
        <f aca="false">Input!AE42</f>
        <v>135</v>
      </c>
      <c r="AC52" s="49" t="n">
        <f aca="false">Input!AF42</f>
        <v>135</v>
      </c>
      <c r="AD52" s="49" t="n">
        <f aca="false">Input!AG42</f>
        <v>135</v>
      </c>
      <c r="AE52" s="49" t="n">
        <f aca="false">Input!AH42</f>
        <v>135</v>
      </c>
      <c r="AF52" s="49" t="n">
        <f aca="false">Input!AI42</f>
        <v>135</v>
      </c>
      <c r="AG52" s="49" t="n">
        <f aca="false">Input!AJ42</f>
        <v>135</v>
      </c>
      <c r="AH52" s="49" t="n">
        <f aca="false">Input!AK42</f>
        <v>135</v>
      </c>
      <c r="AI52" s="49" t="n">
        <f aca="false">Input!AL42</f>
        <v>135</v>
      </c>
      <c r="AJ52" s="49" t="n">
        <f aca="false">Input!AM42</f>
        <v>135</v>
      </c>
      <c r="AK52" s="49" t="n">
        <f aca="false">Input!AN42</f>
        <v>135</v>
      </c>
      <c r="AL52" s="49" t="n">
        <f aca="false">Input!AO42</f>
        <v>135</v>
      </c>
      <c r="AM52" s="49" t="n">
        <f aca="false">Input!AP42</f>
        <v>135</v>
      </c>
      <c r="AN52" s="49" t="n">
        <f aca="false">Input!AQ42</f>
        <v>135</v>
      </c>
      <c r="AO52" s="49" t="n">
        <f aca="false">Input!AR42</f>
        <v>135</v>
      </c>
      <c r="AP52" s="49" t="n">
        <f aca="false">Input!AS42</f>
        <v>135</v>
      </c>
      <c r="AQ52" s="49" t="n">
        <f aca="false">Input!AT42</f>
        <v>135</v>
      </c>
      <c r="AR52" s="49" t="n">
        <f aca="false">Input!AU42</f>
        <v>135</v>
      </c>
      <c r="AS52" s="49" t="n">
        <f aca="false">Input!AV42</f>
        <v>135</v>
      </c>
      <c r="AT52" s="49" t="n">
        <f aca="false">Input!AW42</f>
        <v>135</v>
      </c>
      <c r="AU52" s="49" t="n">
        <f aca="false">Input!AX42</f>
        <v>135</v>
      </c>
      <c r="AV52" s="49" t="n">
        <f aca="false">Input!AY42</f>
        <v>135</v>
      </c>
      <c r="AW52" s="49" t="n">
        <f aca="false">Input!AZ42</f>
        <v>135</v>
      </c>
      <c r="AX52" s="49" t="n">
        <f aca="false">Input!BA42</f>
        <v>135</v>
      </c>
      <c r="AY52" s="49" t="n">
        <f aca="false">Input!BB42</f>
        <v>135</v>
      </c>
      <c r="AZ52" s="49" t="n">
        <f aca="false">Input!BC42</f>
        <v>135</v>
      </c>
      <c r="BA52" s="49" t="n">
        <f aca="false">Input!BD42</f>
        <v>135</v>
      </c>
      <c r="BB52" s="49" t="n">
        <f aca="false">Input!BE42</f>
        <v>135</v>
      </c>
      <c r="BC52" s="49" t="n">
        <f aca="false">Input!BF42</f>
        <v>135</v>
      </c>
      <c r="BD52" s="49" t="n">
        <f aca="false">Input!BG42</f>
        <v>135</v>
      </c>
      <c r="BE52" s="49" t="n">
        <f aca="false">Input!BH42</f>
        <v>135</v>
      </c>
      <c r="BF52" s="49" t="n">
        <f aca="false">Input!BI42</f>
        <v>135</v>
      </c>
      <c r="BG52" s="49" t="n">
        <f aca="false">Input!BJ42</f>
        <v>135</v>
      </c>
      <c r="BH52" s="49" t="n">
        <f aca="false">Input!BK42</f>
        <v>135</v>
      </c>
      <c r="BI52" s="49" t="n">
        <f aca="false">Input!BL42</f>
        <v>135</v>
      </c>
      <c r="BJ52" s="49" t="n">
        <f aca="false">Input!BM42</f>
        <v>135</v>
      </c>
      <c r="BK52" s="49" t="n">
        <f aca="false">Input!BN42</f>
        <v>135</v>
      </c>
      <c r="BL52" s="49" t="n">
        <f aca="false">Input!BO42</f>
        <v>135</v>
      </c>
      <c r="BM52" s="49" t="n">
        <f aca="false">Input!BP42</f>
        <v>135</v>
      </c>
      <c r="BN52" s="49" t="n">
        <f aca="false">Input!BQ42</f>
        <v>135</v>
      </c>
      <c r="BO52" s="49" t="n">
        <f aca="false">Input!BR42</f>
        <v>135</v>
      </c>
      <c r="BP52" s="49" t="n">
        <f aca="false">Input!BS42</f>
        <v>135</v>
      </c>
      <c r="BQ52" s="49" t="n">
        <f aca="false">Input!BT42</f>
        <v>135</v>
      </c>
      <c r="BR52" s="49" t="n">
        <f aca="false">Input!BU42</f>
        <v>135</v>
      </c>
      <c r="BS52" s="49" t="n">
        <f aca="false">Input!BV42</f>
        <v>135</v>
      </c>
      <c r="BT52" s="49" t="n">
        <f aca="false">Input!BW42</f>
        <v>135</v>
      </c>
      <c r="BU52" s="49" t="n">
        <f aca="false">Input!BX42</f>
        <v>135</v>
      </c>
      <c r="BV52" s="49" t="n">
        <f aca="false">Input!BY42</f>
        <v>135</v>
      </c>
      <c r="BW52" s="49" t="n">
        <f aca="false">Input!BZ42</f>
        <v>135</v>
      </c>
      <c r="BX52" s="49" t="n">
        <f aca="false">Input!CA42</f>
        <v>135</v>
      </c>
    </row>
    <row r="53" customFormat="false" ht="15" hidden="false" customHeight="false" outlineLevel="0" collapsed="false">
      <c r="A53" s="1"/>
      <c r="B53" s="8" t="s">
        <v>418</v>
      </c>
      <c r="C53" s="8" t="s">
        <v>419</v>
      </c>
      <c r="D53" s="1"/>
      <c r="E53" s="1"/>
      <c r="F53" s="1"/>
      <c r="G53" s="49" t="n">
        <f aca="false">Input!J48*$D$16</f>
        <v>392.697</v>
      </c>
      <c r="H53" s="49" t="n">
        <f aca="false">Input!K48*$D$16</f>
        <v>429.057833333333</v>
      </c>
      <c r="I53" s="49" t="n">
        <f aca="false">Input!L48*$D$16</f>
        <v>465.418666666667</v>
      </c>
      <c r="J53" s="49" t="n">
        <f aca="false">Input!M48*$D$16</f>
        <v>501.7795</v>
      </c>
      <c r="K53" s="49" t="n">
        <f aca="false">Input!N48*$D$16</f>
        <v>523.596</v>
      </c>
      <c r="L53" s="49" t="n">
        <f aca="false">Input!O48*$D$16</f>
        <v>545.4125</v>
      </c>
      <c r="M53" s="49" t="n">
        <f aca="false">Input!P48*$D$16</f>
        <v>567.229</v>
      </c>
      <c r="N53" s="49" t="n">
        <f aca="false">Input!Q48*$D$16</f>
        <v>589.0455</v>
      </c>
      <c r="O53" s="49" t="n">
        <f aca="false">Input!R48*$D$16</f>
        <v>610.862</v>
      </c>
      <c r="P53" s="49" t="n">
        <f aca="false">Input!S48*$D$16</f>
        <v>619.5886</v>
      </c>
      <c r="Q53" s="49" t="n">
        <f aca="false">Input!T48*$D$16</f>
        <v>628.3152</v>
      </c>
      <c r="R53" s="49" t="n">
        <f aca="false">Input!U48*$D$16</f>
        <v>637.0418</v>
      </c>
      <c r="S53" s="49" t="n">
        <f aca="false">Input!V48*$D$16</f>
        <v>645.7684</v>
      </c>
      <c r="T53" s="49" t="n">
        <f aca="false">Input!W48*$D$16</f>
        <v>654.495</v>
      </c>
      <c r="U53" s="49" t="n">
        <f aca="false">Input!X48*$D$16</f>
        <v>654.495</v>
      </c>
      <c r="V53" s="49" t="n">
        <f aca="false">Input!Y48*$D$16</f>
        <v>654.495</v>
      </c>
      <c r="W53" s="49" t="n">
        <f aca="false">Input!Z48*$D$16</f>
        <v>654.495</v>
      </c>
      <c r="X53" s="49" t="n">
        <f aca="false">Input!AA48*$D$16</f>
        <v>654.495</v>
      </c>
      <c r="Y53" s="49" t="n">
        <f aca="false">Input!AB48*$D$16</f>
        <v>654.495</v>
      </c>
      <c r="Z53" s="49" t="n">
        <f aca="false">Input!AC48*$D$16</f>
        <v>654.495</v>
      </c>
      <c r="AA53" s="49" t="n">
        <f aca="false">Input!AD48*$D$16</f>
        <v>654.495</v>
      </c>
      <c r="AB53" s="49" t="n">
        <f aca="false">Input!AE48*$D$16</f>
        <v>654.495</v>
      </c>
      <c r="AC53" s="49" t="n">
        <f aca="false">Input!AF48*$D$16</f>
        <v>654.495</v>
      </c>
      <c r="AD53" s="49" t="n">
        <f aca="false">Input!AG48*$D$16</f>
        <v>654.495</v>
      </c>
      <c r="AE53" s="49" t="n">
        <f aca="false">Input!AH48*$D$16</f>
        <v>654.495</v>
      </c>
      <c r="AF53" s="49" t="n">
        <f aca="false">Input!AI48*$D$16</f>
        <v>654.495</v>
      </c>
      <c r="AG53" s="49" t="n">
        <f aca="false">Input!AJ48*$D$16</f>
        <v>654.495</v>
      </c>
      <c r="AH53" s="49" t="n">
        <f aca="false">Input!AK48*$D$16</f>
        <v>654.495</v>
      </c>
      <c r="AI53" s="49" t="n">
        <f aca="false">Input!AL48*$D$16</f>
        <v>654.495</v>
      </c>
      <c r="AJ53" s="49" t="n">
        <f aca="false">Input!AM48*$D$16</f>
        <v>654.495</v>
      </c>
      <c r="AK53" s="49" t="n">
        <f aca="false">Input!AN48*$D$16</f>
        <v>654.495</v>
      </c>
      <c r="AL53" s="49" t="n">
        <f aca="false">Input!AO48*$D$16</f>
        <v>654.495</v>
      </c>
      <c r="AM53" s="49" t="n">
        <f aca="false">Input!AP48*$D$16</f>
        <v>654.495</v>
      </c>
      <c r="AN53" s="49" t="n">
        <f aca="false">Input!AQ48*$D$16</f>
        <v>654.495</v>
      </c>
      <c r="AO53" s="49" t="n">
        <f aca="false">Input!AR48*$D$16</f>
        <v>654.495</v>
      </c>
      <c r="AP53" s="49" t="n">
        <f aca="false">Input!AS48*$D$16</f>
        <v>654.495</v>
      </c>
      <c r="AQ53" s="49" t="n">
        <f aca="false">Input!AT48*$D$16</f>
        <v>654.495</v>
      </c>
      <c r="AR53" s="49" t="n">
        <f aca="false">Input!AU48*$D$16</f>
        <v>654.495</v>
      </c>
      <c r="AS53" s="49" t="n">
        <f aca="false">Input!AV48*$D$16</f>
        <v>654.495</v>
      </c>
      <c r="AT53" s="49" t="n">
        <f aca="false">Input!AW48*$D$16</f>
        <v>654.495</v>
      </c>
      <c r="AU53" s="49" t="n">
        <f aca="false">Input!AX48*$D$16</f>
        <v>654.495</v>
      </c>
      <c r="AV53" s="49" t="n">
        <f aca="false">Input!AY48*$D$16</f>
        <v>654.495</v>
      </c>
      <c r="AW53" s="49" t="n">
        <f aca="false">Input!AZ48*$D$16</f>
        <v>654.495</v>
      </c>
      <c r="AX53" s="49" t="n">
        <f aca="false">Input!BA48*$D$16</f>
        <v>654.495</v>
      </c>
      <c r="AY53" s="49" t="n">
        <f aca="false">Input!BB48*$D$16</f>
        <v>654.495</v>
      </c>
      <c r="AZ53" s="49" t="n">
        <f aca="false">Input!BC48*$D$16</f>
        <v>654.495</v>
      </c>
      <c r="BA53" s="49" t="n">
        <f aca="false">Input!BD48*$D$16</f>
        <v>654.495</v>
      </c>
      <c r="BB53" s="49" t="n">
        <f aca="false">Input!BE48*$D$16</f>
        <v>654.495</v>
      </c>
      <c r="BC53" s="49" t="n">
        <f aca="false">Input!BF48*$D$16</f>
        <v>654.495</v>
      </c>
      <c r="BD53" s="49" t="n">
        <f aca="false">Input!BG48*$D$16</f>
        <v>654.495</v>
      </c>
      <c r="BE53" s="49" t="n">
        <f aca="false">Input!BH48*$D$16</f>
        <v>654.495</v>
      </c>
      <c r="BF53" s="49" t="n">
        <f aca="false">Input!BI48*$D$16</f>
        <v>654.495</v>
      </c>
      <c r="BG53" s="49" t="n">
        <f aca="false">Input!BJ48*$D$16</f>
        <v>654.495</v>
      </c>
      <c r="BH53" s="49" t="n">
        <f aca="false">Input!BK48*$D$16</f>
        <v>654.495</v>
      </c>
      <c r="BI53" s="49" t="n">
        <f aca="false">Input!BL48*$D$16</f>
        <v>654.495</v>
      </c>
      <c r="BJ53" s="49" t="n">
        <f aca="false">Input!BM48*$D$16</f>
        <v>654.495</v>
      </c>
      <c r="BK53" s="49" t="n">
        <f aca="false">Input!BN48*$D$16</f>
        <v>654.495</v>
      </c>
      <c r="BL53" s="49" t="n">
        <f aca="false">Input!BO48*$D$16</f>
        <v>654.495</v>
      </c>
      <c r="BM53" s="49" t="n">
        <f aca="false">Input!BP48*$D$16</f>
        <v>654.495</v>
      </c>
      <c r="BN53" s="49" t="n">
        <f aca="false">Input!BQ48*$D$16</f>
        <v>654.495</v>
      </c>
      <c r="BO53" s="49" t="n">
        <f aca="false">Input!BR48*$D$16</f>
        <v>654.495</v>
      </c>
      <c r="BP53" s="49" t="n">
        <f aca="false">Input!BS48*$D$16</f>
        <v>654.495</v>
      </c>
      <c r="BQ53" s="49" t="n">
        <f aca="false">Input!BT48*$D$16</f>
        <v>654.495</v>
      </c>
      <c r="BR53" s="49" t="n">
        <f aca="false">Input!BU48*$D$16</f>
        <v>654.495</v>
      </c>
      <c r="BS53" s="49" t="n">
        <f aca="false">Input!BV48*$D$16</f>
        <v>654.495</v>
      </c>
      <c r="BT53" s="49" t="n">
        <f aca="false">Input!BW48*$D$16</f>
        <v>654.495</v>
      </c>
      <c r="BU53" s="49" t="n">
        <f aca="false">Input!BX48*$D$16</f>
        <v>654.495</v>
      </c>
      <c r="BV53" s="49" t="n">
        <f aca="false">Input!BY48*$D$16</f>
        <v>654.495</v>
      </c>
      <c r="BW53" s="49" t="n">
        <f aca="false">Input!BZ48*$D$16</f>
        <v>654.495</v>
      </c>
      <c r="BX53" s="49" t="n">
        <f aca="false">Input!CA48*$D$16</f>
        <v>654.495</v>
      </c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</row>
    <row r="55" customFormat="false" ht="15" hidden="false" customHeight="false" outlineLevel="0" collapsed="false">
      <c r="A55" s="1"/>
      <c r="B55" s="13" t="s">
        <v>321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</row>
    <row r="56" customFormat="false" ht="15" hidden="false" customHeight="false" outlineLevel="0" collapsed="false">
      <c r="A56" s="1"/>
      <c r="B56" s="8" t="s">
        <v>322</v>
      </c>
      <c r="C56" s="8" t="s">
        <v>66</v>
      </c>
      <c r="D56" s="1"/>
      <c r="E56" s="1"/>
      <c r="F56" s="1"/>
      <c r="G56" s="43" t="n">
        <f aca="false">IF(G38=1,IFERROR(INDEX(Twin!$G$69:$BN$69,1,G39),0),0)</f>
        <v>0</v>
      </c>
      <c r="H56" s="43" t="n">
        <f aca="false">IF(H38=1,IFERROR(INDEX(Twin!$G$69:$BN$69,1,H39),0),0)</f>
        <v>0</v>
      </c>
      <c r="I56" s="43" t="n">
        <f aca="false">IF(I38=1,IFERROR(INDEX(Twin!$G$69:$BN$69,1,I39),0),0)</f>
        <v>0</v>
      </c>
      <c r="J56" s="43" t="n">
        <f aca="false">IF(J38=1,IFERROR(INDEX(Twin!$G$69:$BN$69,1,J39),0),0)</f>
        <v>0</v>
      </c>
      <c r="K56" s="43" t="n">
        <f aca="false">IF(K38=1,IFERROR(INDEX(Twin!$G$69:$BN$69,1,K39),0),0)</f>
        <v>0.0610559360730594</v>
      </c>
      <c r="L56" s="43" t="n">
        <f aca="false">IF(L38=1,IFERROR(INDEX(Twin!$G$69:$BN$69,1,L39),0),0)</f>
        <v>0.0556335616438356</v>
      </c>
      <c r="M56" s="43" t="n">
        <f aca="false">IF(M38=1,IFERROR(INDEX(Twin!$G$69:$BN$69,1,M39),0),0)</f>
        <v>0.0517294520547945</v>
      </c>
      <c r="N56" s="43" t="n">
        <f aca="false">IF(N38=1,IFERROR(INDEX(Twin!$G$69:$BN$69,1,N39),0),0)</f>
        <v>0.0476084474885845</v>
      </c>
      <c r="O56" s="43" t="n">
        <f aca="false">IF(O38=1,IFERROR(INDEX(Twin!$G$69:$BN$69,1,O39),0),0)</f>
        <v>0.0435958904109589</v>
      </c>
      <c r="P56" s="43" t="n">
        <f aca="false">IF(P38=1,IFERROR(INDEX(Twin!$G$69:$BN$69,1,P39),0),0)</f>
        <v>0.0422945205479452</v>
      </c>
      <c r="Q56" s="43" t="n">
        <f aca="false">IF(Q38=1,IFERROR(INDEX(Twin!$G$69:$BN$69,1,Q39),0),0)</f>
        <v>0.0405593607305936</v>
      </c>
      <c r="R56" s="43" t="n">
        <f aca="false">IF(R38=1,IFERROR(INDEX(Twin!$G$69:$BN$69,1,R39),0),0)</f>
        <v>0.0376312785388128</v>
      </c>
      <c r="S56" s="43" t="n">
        <f aca="false">IF(S38=1,IFERROR(INDEX(Twin!$G$69:$BN$69,1,S39),0),0)</f>
        <v>0.036763698630137</v>
      </c>
      <c r="T56" s="43" t="n">
        <f aca="false">IF(T38=1,IFERROR(INDEX(Twin!$G$69:$BN$69,1,T39),0),0)</f>
        <v>0.0354623287671233</v>
      </c>
      <c r="U56" s="43" t="n">
        <f aca="false">IF(U38=1,IFERROR(INDEX(Twin!$G$69:$BN$69,1,U39),0),0)</f>
        <v>0.0352454337899543</v>
      </c>
      <c r="V56" s="43" t="n">
        <f aca="false">IF(V38=1,IFERROR(INDEX(Twin!$G$69:$BN$69,1,V39),0),0)</f>
        <v>0.0350285388127854</v>
      </c>
      <c r="W56" s="43" t="n">
        <f aca="false">IF(W38=1,IFERROR(INDEX(Twin!$G$69:$BN$69,1,W39),0),0)</f>
        <v>0.0349200913242009</v>
      </c>
      <c r="X56" s="43" t="n">
        <f aca="false">IF(X38=1,IFERROR(INDEX(Twin!$G$69:$BN$69,1,X39),0),0)</f>
        <v>0.0348116438356164</v>
      </c>
      <c r="Y56" s="43" t="n">
        <f aca="false">IF(Y38=1,IFERROR(INDEX(Twin!$G$69:$BN$69,1,Y39),0),0)</f>
        <v>0.0339440639269406</v>
      </c>
      <c r="Z56" s="43" t="n">
        <f aca="false">IF(Z38=1,IFERROR(INDEX(Twin!$G$69:$BN$69,1,Z39),0),0)</f>
        <v>0.0335102739726027</v>
      </c>
      <c r="AA56" s="43" t="n">
        <f aca="false">IF(AA38=1,IFERROR(INDEX(Twin!$G$69:$BN$69,1,AA39),0),0)</f>
        <v>0.0335102739726027</v>
      </c>
      <c r="AB56" s="43" t="n">
        <f aca="false">IF(AB38=1,IFERROR(INDEX(Twin!$G$69:$BN$69,1,AB39),0),0)</f>
        <v>0.0330764840182648</v>
      </c>
      <c r="AC56" s="43" t="n">
        <f aca="false">IF(AC38=1,IFERROR(INDEX(Twin!$G$69:$BN$69,1,AC39),0),0)</f>
        <v>0.0326426940639269</v>
      </c>
      <c r="AD56" s="43" t="n">
        <f aca="false">IF(AD38=1,IFERROR(INDEX(Twin!$G$69:$BN$69,1,AD39),0),0)</f>
        <v>0.0326426940639269</v>
      </c>
      <c r="AE56" s="43" t="n">
        <f aca="false">IF(AE38=1,IFERROR(INDEX(Twin!$G$69:$BN$69,1,AE39),0),0)</f>
        <v>0.0326426940639269</v>
      </c>
      <c r="AF56" s="43" t="n">
        <f aca="false">IF(AF38=1,IFERROR(INDEX(Twin!$G$69:$BN$69,1,AF39),0),0)</f>
        <v>0.0326426940639269</v>
      </c>
      <c r="AG56" s="43" t="n">
        <f aca="false">IF(AG38=1,IFERROR(INDEX(Twin!$G$69:$BN$69,1,AG39),0),0)</f>
        <v>0.0326426940639269</v>
      </c>
      <c r="AH56" s="43" t="n">
        <f aca="false">IF(AH38=1,IFERROR(INDEX(Twin!$G$69:$BN$69,1,AH39),0),0)</f>
        <v>0.0326426940639269</v>
      </c>
      <c r="AI56" s="43" t="n">
        <f aca="false">IF(AI38=1,IFERROR(INDEX(Twin!$G$69:$BN$69,1,AI39),0),0)</f>
        <v>0.0326426940639269</v>
      </c>
      <c r="AJ56" s="43" t="n">
        <f aca="false">IF(AJ38=1,IFERROR(INDEX(Twin!$G$69:$BN$69,1,AJ39),0),0)</f>
        <v>0.0326426940639269</v>
      </c>
      <c r="AK56" s="43" t="n">
        <f aca="false">IF(AK38=1,IFERROR(INDEX(Twin!$G$69:$BN$69,1,AK39),0),0)</f>
        <v>0.0326426940639269</v>
      </c>
      <c r="AL56" s="43" t="n">
        <f aca="false">IF(AL38=1,IFERROR(INDEX(Twin!$G$69:$BN$69,1,AL39),0),0)</f>
        <v>0.0325342465753425</v>
      </c>
      <c r="AM56" s="43" t="n">
        <f aca="false">IF(AM38=1,IFERROR(INDEX(Twin!$G$69:$BN$69,1,AM39),0),0)</f>
        <v>0.0325342465753425</v>
      </c>
      <c r="AN56" s="43" t="n">
        <f aca="false">IF(AN38=1,IFERROR(INDEX(Twin!$G$69:$BN$69,1,AN39),0),0)</f>
        <v>0.0327511415525114</v>
      </c>
      <c r="AO56" s="43" t="n">
        <f aca="false">IF(AO38=1,IFERROR(INDEX(Twin!$G$69:$BN$69,1,AO39),0),0)</f>
        <v>0</v>
      </c>
      <c r="AP56" s="43" t="n">
        <f aca="false">IF(AP38=1,IFERROR(INDEX(Twin!$G$69:$BN$69,1,AP39),0),0)</f>
        <v>0</v>
      </c>
      <c r="AQ56" s="43" t="n">
        <f aca="false">IF(AQ38=1,IFERROR(INDEX(Twin!$G$69:$BN$69,1,AQ39),0),0)</f>
        <v>0</v>
      </c>
      <c r="AR56" s="43" t="n">
        <f aca="false">IF(AR38=1,IFERROR(INDEX(Twin!$G$69:$BN$69,1,AR39),0),0)</f>
        <v>0</v>
      </c>
      <c r="AS56" s="43" t="n">
        <f aca="false">IF(AS38=1,IFERROR(INDEX(Twin!$G$69:$BN$69,1,AS39),0),0)</f>
        <v>0</v>
      </c>
      <c r="AT56" s="43" t="n">
        <f aca="false">IF(AT38=1,IFERROR(INDEX(Twin!$G$69:$BN$69,1,AT39),0),0)</f>
        <v>0</v>
      </c>
      <c r="AU56" s="43" t="n">
        <f aca="false">IF(AU38=1,IFERROR(INDEX(Twin!$G$69:$BN$69,1,AU39),0),0)</f>
        <v>0</v>
      </c>
      <c r="AV56" s="43" t="n">
        <f aca="false">IF(AV38=1,IFERROR(INDEX(Twin!$G$69:$BN$69,1,AV39),0),0)</f>
        <v>0</v>
      </c>
      <c r="AW56" s="43" t="n">
        <f aca="false">IF(AW38=1,IFERROR(INDEX(Twin!$G$69:$BN$69,1,AW39),0),0)</f>
        <v>0</v>
      </c>
      <c r="AX56" s="43" t="n">
        <f aca="false">IF(AX38=1,IFERROR(INDEX(Twin!$G$69:$BN$69,1,AX39),0),0)</f>
        <v>0</v>
      </c>
      <c r="AY56" s="43" t="n">
        <f aca="false">IF(AY38=1,IFERROR(INDEX(Twin!$G$69:$BN$69,1,AY39),0),0)</f>
        <v>0</v>
      </c>
      <c r="AZ56" s="43" t="n">
        <f aca="false">IF(AZ38=1,IFERROR(INDEX(Twin!$G$69:$BN$69,1,AZ39),0),0)</f>
        <v>0</v>
      </c>
      <c r="BA56" s="43" t="n">
        <f aca="false">IF(BA38=1,IFERROR(INDEX(Twin!$G$69:$BN$69,1,BA39),0),0)</f>
        <v>0</v>
      </c>
      <c r="BB56" s="43" t="n">
        <f aca="false">IF(BB38=1,IFERROR(INDEX(Twin!$G$69:$BN$69,1,BB39),0),0)</f>
        <v>0</v>
      </c>
      <c r="BC56" s="43" t="n">
        <f aca="false">IF(BC38=1,IFERROR(INDEX(Twin!$G$69:$BN$69,1,BC39),0),0)</f>
        <v>0</v>
      </c>
      <c r="BD56" s="43" t="n">
        <f aca="false">IF(BD38=1,IFERROR(INDEX(Twin!$G$69:$BN$69,1,BD39),0),0)</f>
        <v>0</v>
      </c>
      <c r="BE56" s="43" t="n">
        <f aca="false">IF(BE38=1,IFERROR(INDEX(Twin!$G$69:$BN$69,1,BE39),0),0)</f>
        <v>0</v>
      </c>
      <c r="BF56" s="43" t="n">
        <f aca="false">IF(BF38=1,IFERROR(INDEX(Twin!$G$69:$BN$69,1,BF39),0),0)</f>
        <v>0</v>
      </c>
      <c r="BG56" s="43" t="n">
        <f aca="false">IF(BG38=1,IFERROR(INDEX(Twin!$G$69:$BN$69,1,BG39),0),0)</f>
        <v>0</v>
      </c>
      <c r="BH56" s="43" t="n">
        <f aca="false">IF(BH38=1,IFERROR(INDEX(Twin!$G$69:$BN$69,1,BH39),0),0)</f>
        <v>0</v>
      </c>
      <c r="BI56" s="43" t="n">
        <f aca="false">IF(BI38=1,IFERROR(INDEX(Twin!$G$69:$BN$69,1,BI39),0),0)</f>
        <v>0</v>
      </c>
      <c r="BJ56" s="43" t="n">
        <f aca="false">IF(BJ38=1,IFERROR(INDEX(Twin!$G$69:$BN$69,1,BJ39),0),0)</f>
        <v>0</v>
      </c>
      <c r="BK56" s="43" t="n">
        <f aca="false">IF(BK38=1,IFERROR(INDEX(Twin!$G$69:$BN$69,1,BK39),0),0)</f>
        <v>0</v>
      </c>
      <c r="BL56" s="43" t="n">
        <f aca="false">IF(BL38=1,IFERROR(INDEX(Twin!$G$69:$BN$69,1,BL39),0),0)</f>
        <v>0</v>
      </c>
      <c r="BM56" s="43" t="n">
        <f aca="false">IF(BM38=1,IFERROR(INDEX(Twin!$G$69:$BN$69,1,BM39),0),0)</f>
        <v>0</v>
      </c>
      <c r="BN56" s="43" t="n">
        <f aca="false">IF(BN38=1,IFERROR(INDEX(Twin!$G$69:$BN$69,1,BN39),0),0)</f>
        <v>0</v>
      </c>
      <c r="BO56" s="43" t="n">
        <f aca="false">IF(BO38=1,IFERROR(INDEX(Twin!$G$69:$BN$69,1,BO39),0),0)</f>
        <v>0</v>
      </c>
      <c r="BP56" s="43" t="n">
        <f aca="false">IF(BP38=1,IFERROR(INDEX(Twin!$G$69:$BN$69,1,BP39),0),0)</f>
        <v>0</v>
      </c>
      <c r="BQ56" s="43" t="n">
        <f aca="false">IF(BQ38=1,IFERROR(INDEX(Twin!$G$69:$BN$69,1,BQ39),0),0)</f>
        <v>0</v>
      </c>
      <c r="BR56" s="43" t="n">
        <f aca="false">IF(BR38=1,IFERROR(INDEX(Twin!$G$69:$BN$69,1,BR39),0),0)</f>
        <v>0</v>
      </c>
      <c r="BS56" s="43" t="n">
        <f aca="false">IF(BS38=1,IFERROR(INDEX(Twin!$G$69:$BN$69,1,BS39),0),0)</f>
        <v>0</v>
      </c>
      <c r="BT56" s="43" t="n">
        <f aca="false">IF(BT38=1,IFERROR(INDEX(Twin!$G$69:$BN$69,1,BT39),0),0)</f>
        <v>0</v>
      </c>
      <c r="BU56" s="43" t="n">
        <f aca="false">IF(BU38=1,IFERROR(INDEX(Twin!$G$69:$BN$69,1,BU39),0),0)</f>
        <v>0</v>
      </c>
      <c r="BV56" s="43" t="n">
        <f aca="false">IF(BV38=1,IFERROR(INDEX(Twin!$G$69:$BN$69,1,BV39),0),0)</f>
        <v>0</v>
      </c>
      <c r="BW56" s="43" t="n">
        <f aca="false">IF(BW38=1,IFERROR(INDEX(Twin!$G$69:$BN$69,1,BW39),0),0)</f>
        <v>0</v>
      </c>
      <c r="BX56" s="43" t="n">
        <f aca="false">IF(BX38=1,IFERROR(INDEX(Twin!$G$69:$BN$69,1,BX39),0),0)</f>
        <v>0</v>
      </c>
    </row>
    <row r="57" customFormat="false" ht="15" hidden="false" customHeight="false" outlineLevel="0" collapsed="false">
      <c r="A57" s="1"/>
      <c r="B57" s="8" t="s">
        <v>406</v>
      </c>
      <c r="C57" s="8" t="s">
        <v>324</v>
      </c>
      <c r="D57" s="44" t="n">
        <f aca="false">SUM(G57:BX57)</f>
        <v>2938065</v>
      </c>
      <c r="E57" s="1"/>
      <c r="F57" s="1"/>
      <c r="G57" s="48" t="n">
        <f aca="false">G56*$D$7*8760</f>
        <v>0</v>
      </c>
      <c r="H57" s="48" t="n">
        <f aca="false">H56*$D$7*8760</f>
        <v>0</v>
      </c>
      <c r="I57" s="48" t="n">
        <f aca="false">I56*$D$7*8760</f>
        <v>0</v>
      </c>
      <c r="J57" s="48" t="n">
        <f aca="false">J56*$D$7*8760</f>
        <v>0</v>
      </c>
      <c r="K57" s="48" t="n">
        <f aca="false">K56*$D$7*8760</f>
        <v>160455</v>
      </c>
      <c r="L57" s="48" t="n">
        <f aca="false">L56*$D$7*8760</f>
        <v>146205</v>
      </c>
      <c r="M57" s="48" t="n">
        <f aca="false">M56*$D$7*8760</f>
        <v>135945</v>
      </c>
      <c r="N57" s="48" t="n">
        <f aca="false">N56*$D$7*8760</f>
        <v>125115</v>
      </c>
      <c r="O57" s="48" t="n">
        <f aca="false">O56*$D$7*8760</f>
        <v>114570</v>
      </c>
      <c r="P57" s="48" t="n">
        <f aca="false">P56*$D$7*8760</f>
        <v>111150</v>
      </c>
      <c r="Q57" s="48" t="n">
        <f aca="false">Q56*$D$7*8760</f>
        <v>106590</v>
      </c>
      <c r="R57" s="48" t="n">
        <f aca="false">R56*$D$7*8760</f>
        <v>98895</v>
      </c>
      <c r="S57" s="48" t="n">
        <f aca="false">S56*$D$7*8760</f>
        <v>96615</v>
      </c>
      <c r="T57" s="48" t="n">
        <f aca="false">T56*$D$7*8760</f>
        <v>93195</v>
      </c>
      <c r="U57" s="48" t="n">
        <f aca="false">U56*$D$7*8760</f>
        <v>92625</v>
      </c>
      <c r="V57" s="48" t="n">
        <f aca="false">V56*$D$7*8760</f>
        <v>92055</v>
      </c>
      <c r="W57" s="48" t="n">
        <f aca="false">W56*$D$7*8760</f>
        <v>91770</v>
      </c>
      <c r="X57" s="48" t="n">
        <f aca="false">X56*$D$7*8760</f>
        <v>91485</v>
      </c>
      <c r="Y57" s="48" t="n">
        <f aca="false">Y56*$D$7*8760</f>
        <v>89205</v>
      </c>
      <c r="Z57" s="48" t="n">
        <f aca="false">Z56*$D$7*8760</f>
        <v>88065</v>
      </c>
      <c r="AA57" s="48" t="n">
        <f aca="false">AA56*$D$7*8760</f>
        <v>88065</v>
      </c>
      <c r="AB57" s="48" t="n">
        <f aca="false">AB56*$D$7*8760</f>
        <v>86925</v>
      </c>
      <c r="AC57" s="48" t="n">
        <f aca="false">AC56*$D$7*8760</f>
        <v>85785</v>
      </c>
      <c r="AD57" s="48" t="n">
        <f aca="false">AD56*$D$7*8760</f>
        <v>85785</v>
      </c>
      <c r="AE57" s="48" t="n">
        <f aca="false">AE56*$D$7*8760</f>
        <v>85785</v>
      </c>
      <c r="AF57" s="48" t="n">
        <f aca="false">AF56*$D$7*8760</f>
        <v>85785</v>
      </c>
      <c r="AG57" s="48" t="n">
        <f aca="false">AG56*$D$7*8760</f>
        <v>85785</v>
      </c>
      <c r="AH57" s="48" t="n">
        <f aca="false">AH56*$D$7*8760</f>
        <v>85785</v>
      </c>
      <c r="AI57" s="48" t="n">
        <f aca="false">AI56*$D$7*8760</f>
        <v>85785</v>
      </c>
      <c r="AJ57" s="48" t="n">
        <f aca="false">AJ56*$D$7*8760</f>
        <v>85785</v>
      </c>
      <c r="AK57" s="48" t="n">
        <f aca="false">AK56*$D$7*8760</f>
        <v>85785</v>
      </c>
      <c r="AL57" s="48" t="n">
        <f aca="false">AL56*$D$7*8760</f>
        <v>85500</v>
      </c>
      <c r="AM57" s="48" t="n">
        <f aca="false">AM56*$D$7*8760</f>
        <v>85500</v>
      </c>
      <c r="AN57" s="48" t="n">
        <f aca="false">AN56*$D$7*8760</f>
        <v>86070</v>
      </c>
      <c r="AO57" s="48" t="n">
        <f aca="false">AO56*$D$7*8760</f>
        <v>0</v>
      </c>
      <c r="AP57" s="48" t="n">
        <f aca="false">AP56*$D$7*8760</f>
        <v>0</v>
      </c>
      <c r="AQ57" s="48" t="n">
        <f aca="false">AQ56*$D$7*8760</f>
        <v>0</v>
      </c>
      <c r="AR57" s="48" t="n">
        <f aca="false">AR56*$D$7*8760</f>
        <v>0</v>
      </c>
      <c r="AS57" s="48" t="n">
        <f aca="false">AS56*$D$7*8760</f>
        <v>0</v>
      </c>
      <c r="AT57" s="48" t="n">
        <f aca="false">AT56*$D$7*8760</f>
        <v>0</v>
      </c>
      <c r="AU57" s="48" t="n">
        <f aca="false">AU56*$D$7*8760</f>
        <v>0</v>
      </c>
      <c r="AV57" s="48" t="n">
        <f aca="false">AV56*$D$7*8760</f>
        <v>0</v>
      </c>
      <c r="AW57" s="48" t="n">
        <f aca="false">AW56*$D$7*8760</f>
        <v>0</v>
      </c>
      <c r="AX57" s="48" t="n">
        <f aca="false">AX56*$D$7*8760</f>
        <v>0</v>
      </c>
      <c r="AY57" s="48" t="n">
        <f aca="false">AY56*$D$7*8760</f>
        <v>0</v>
      </c>
      <c r="AZ57" s="48" t="n">
        <f aca="false">AZ56*$D$7*8760</f>
        <v>0</v>
      </c>
      <c r="BA57" s="48" t="n">
        <f aca="false">BA56*$D$7*8760</f>
        <v>0</v>
      </c>
      <c r="BB57" s="48" t="n">
        <f aca="false">BB56*$D$7*8760</f>
        <v>0</v>
      </c>
      <c r="BC57" s="48" t="n">
        <f aca="false">BC56*$D$7*8760</f>
        <v>0</v>
      </c>
      <c r="BD57" s="48" t="n">
        <f aca="false">BD56*$D$7*8760</f>
        <v>0</v>
      </c>
      <c r="BE57" s="48" t="n">
        <f aca="false">BE56*$D$7*8760</f>
        <v>0</v>
      </c>
      <c r="BF57" s="48" t="n">
        <f aca="false">BF56*$D$7*8760</f>
        <v>0</v>
      </c>
      <c r="BG57" s="48" t="n">
        <f aca="false">BG56*$D$7*8760</f>
        <v>0</v>
      </c>
      <c r="BH57" s="48" t="n">
        <f aca="false">BH56*$D$7*8760</f>
        <v>0</v>
      </c>
      <c r="BI57" s="48" t="n">
        <f aca="false">BI56*$D$7*8760</f>
        <v>0</v>
      </c>
      <c r="BJ57" s="48" t="n">
        <f aca="false">BJ56*$D$7*8760</f>
        <v>0</v>
      </c>
      <c r="BK57" s="48" t="n">
        <f aca="false">BK56*$D$7*8760</f>
        <v>0</v>
      </c>
      <c r="BL57" s="48" t="n">
        <f aca="false">BL56*$D$7*8760</f>
        <v>0</v>
      </c>
      <c r="BM57" s="48" t="n">
        <f aca="false">BM56*$D$7*8760</f>
        <v>0</v>
      </c>
      <c r="BN57" s="48" t="n">
        <f aca="false">BN56*$D$7*8760</f>
        <v>0</v>
      </c>
      <c r="BO57" s="48" t="n">
        <f aca="false">BO56*$D$7*8760</f>
        <v>0</v>
      </c>
      <c r="BP57" s="48" t="n">
        <f aca="false">BP56*$D$7*8760</f>
        <v>0</v>
      </c>
      <c r="BQ57" s="48" t="n">
        <f aca="false">BQ56*$D$7*8760</f>
        <v>0</v>
      </c>
      <c r="BR57" s="48" t="n">
        <f aca="false">BR56*$D$7*8760</f>
        <v>0</v>
      </c>
      <c r="BS57" s="48" t="n">
        <f aca="false">BS56*$D$7*8760</f>
        <v>0</v>
      </c>
      <c r="BT57" s="48" t="n">
        <f aca="false">BT56*$D$7*8760</f>
        <v>0</v>
      </c>
      <c r="BU57" s="48" t="n">
        <f aca="false">BU56*$D$7*8760</f>
        <v>0</v>
      </c>
      <c r="BV57" s="48" t="n">
        <f aca="false">BV56*$D$7*8760</f>
        <v>0</v>
      </c>
      <c r="BW57" s="48" t="n">
        <f aca="false">BW56*$D$7*8760</f>
        <v>0</v>
      </c>
      <c r="BX57" s="48" t="n">
        <f aca="false">BX56*$D$7*8760</f>
        <v>0</v>
      </c>
    </row>
    <row r="58" customFormat="false" ht="15" hidden="false" customHeight="false" outlineLevel="0" collapsed="false">
      <c r="A58" s="1"/>
      <c r="B58" s="8" t="s">
        <v>325</v>
      </c>
      <c r="C58" s="8" t="s">
        <v>76</v>
      </c>
      <c r="D58" s="1"/>
      <c r="E58" s="1"/>
      <c r="F58" s="1"/>
      <c r="G58" s="49" t="n">
        <f aca="false">IF(G38=1,G51*IFERROR(INDEX(Twin!$G$73:$BN$73,1,G39),0),0)</f>
        <v>0</v>
      </c>
      <c r="H58" s="49" t="n">
        <f aca="false">IF(H38=1,H51*IFERROR(INDEX(Twin!$G$73:$BN$73,1,H39),0),0)</f>
        <v>0</v>
      </c>
      <c r="I58" s="49" t="n">
        <f aca="false">IF(I38=1,I51*IFERROR(INDEX(Twin!$G$73:$BN$73,1,I39),0),0)</f>
        <v>0</v>
      </c>
      <c r="J58" s="49" t="n">
        <f aca="false">IF(J38=1,J51*IFERROR(INDEX(Twin!$G$73:$BN$73,1,J39),0),0)</f>
        <v>0</v>
      </c>
      <c r="K58" s="49" t="n">
        <f aca="false">IF(K38=1,K51*IFERROR(INDEX(Twin!$G$73:$BN$73,1,K39),0),0)</f>
        <v>892.144466506057</v>
      </c>
      <c r="L58" s="49" t="n">
        <f aca="false">IF(L38=1,L51*IFERROR(INDEX(Twin!$G$73:$BN$73,1,L39),0),0)</f>
        <v>908.898249451778</v>
      </c>
      <c r="M58" s="49" t="n">
        <f aca="false">IF(M38=1,M51*IFERROR(INDEX(Twin!$G$73:$BN$73,1,M39),0),0)</f>
        <v>921.996572614905</v>
      </c>
      <c r="N58" s="49" t="n">
        <f aca="false">IF(N38=1,N51*IFERROR(INDEX(Twin!$G$73:$BN$73,1,N39),0),0)</f>
        <v>937.055641622716</v>
      </c>
      <c r="O58" s="49" t="n">
        <f aca="false">IF(O38=1,O51*IFERROR(INDEX(Twin!$G$73:$BN$73,1,O39),0),0)</f>
        <v>952.767389735234</v>
      </c>
      <c r="P58" s="49" t="n">
        <f aca="false">IF(P38=1,P51*IFERROR(INDEX(Twin!$G$73:$BN$73,1,P39),0),0)</f>
        <v>955.634598552613</v>
      </c>
      <c r="Q58" s="49" t="n">
        <f aca="false">IF(Q38=1,Q51*IFERROR(INDEX(Twin!$G$73:$BN$73,1,Q39),0),0)</f>
        <v>960.537695099446</v>
      </c>
      <c r="R58" s="49" t="n">
        <f aca="false">IF(R38=1,R51*IFERROR(INDEX(Twin!$G$73:$BN$73,1,R39),0),0)</f>
        <v>972.632655849552</v>
      </c>
      <c r="S58" s="49" t="n">
        <f aca="false">IF(S38=1,S51*IFERROR(INDEX(Twin!$G$73:$BN$73,1,S39),0),0)</f>
        <v>974.434098761233</v>
      </c>
      <c r="T58" s="49" t="n">
        <f aca="false">IF(T38=1,T51*IFERROR(INDEX(Twin!$G$73:$BN$73,1,T39),0),0)</f>
        <v>978.592254283443</v>
      </c>
      <c r="U58" s="49" t="n">
        <f aca="false">IF(U38=1,U51*IFERROR(INDEX(Twin!$G$73:$BN$73,1,U39),0),0)</f>
        <v>977.898557661175</v>
      </c>
      <c r="V58" s="49" t="n">
        <f aca="false">IF(V38=1,V51*IFERROR(INDEX(Twin!$G$73:$BN$73,1,V39),0),0)</f>
        <v>976.82673515796</v>
      </c>
      <c r="W58" s="49" t="n">
        <f aca="false">IF(W38=1,W51*IFERROR(INDEX(Twin!$G$73:$BN$73,1,W39),0),0)</f>
        <v>975.240611015679</v>
      </c>
      <c r="X58" s="49" t="n">
        <f aca="false">IF(X38=1,X51*IFERROR(INDEX(Twin!$G$73:$BN$73,1,X39),0),0)</f>
        <v>973.019109078869</v>
      </c>
      <c r="Y58" s="49" t="n">
        <f aca="false">IF(Y38=1,Y51*IFERROR(INDEX(Twin!$G$73:$BN$73,1,Y39),0),0)</f>
        <v>978.279659097093</v>
      </c>
      <c r="Z58" s="49" t="n">
        <f aca="false">IF(Z38=1,Z51*IFERROR(INDEX(Twin!$G$73:$BN$73,1,Z39),0),0)</f>
        <v>978.03278048089</v>
      </c>
      <c r="AA58" s="49" t="n">
        <f aca="false">IF(AA38=1,AA51*IFERROR(INDEX(Twin!$G$73:$BN$73,1,AA39),0),0)</f>
        <v>975.46967462646</v>
      </c>
      <c r="AB58" s="49" t="n">
        <f aca="false">IF(AB38=1,AB51*IFERROR(INDEX(Twin!$G$73:$BN$73,1,AB39),0),0)</f>
        <v>976.024373556614</v>
      </c>
      <c r="AC58" s="49" t="n">
        <f aca="false">IF(AC38=1,AC51*IFERROR(INDEX(Twin!$G$73:$BN$73,1,AC39),0),0)</f>
        <v>976.977806756497</v>
      </c>
      <c r="AD58" s="49" t="n">
        <f aca="false">IF(AD38=1,AD51*IFERROR(INDEX(Twin!$G$73:$BN$73,1,AD39),0),0)</f>
        <v>974.39377159243</v>
      </c>
      <c r="AE58" s="49" t="n">
        <f aca="false">IF(AE38=1,AE51*IFERROR(INDEX(Twin!$G$73:$BN$73,1,AE39),0),0)</f>
        <v>974.373982640323</v>
      </c>
      <c r="AF58" s="49" t="n">
        <f aca="false">IF(AF38=1,AF51*IFERROR(INDEX(Twin!$G$73:$BN$73,1,AF39),0),0)</f>
        <v>974.354193688215</v>
      </c>
      <c r="AG58" s="49" t="n">
        <f aca="false">IF(AG38=1,AG51*IFERROR(INDEX(Twin!$G$73:$BN$73,1,AG39),0),0)</f>
        <v>974.22353768099</v>
      </c>
      <c r="AH58" s="49" t="n">
        <f aca="false">IF(AH38=1,AH51*IFERROR(INDEX(Twin!$G$73:$BN$73,1,AH39),0),0)</f>
        <v>974.209823694744</v>
      </c>
      <c r="AI58" s="49" t="n">
        <f aca="false">IF(AI38=1,AI51*IFERROR(INDEX(Twin!$G$73:$BN$73,1,AI39),0),0)</f>
        <v>974.196109708498</v>
      </c>
      <c r="AJ58" s="49" t="n">
        <f aca="false">IF(AJ38=1,AJ51*IFERROR(INDEX(Twin!$G$73:$BN$73,1,AJ39),0),0)</f>
        <v>974.182395722252</v>
      </c>
      <c r="AK58" s="49" t="n">
        <f aca="false">IF(AK38=1,AK51*IFERROR(INDEX(Twin!$G$73:$BN$73,1,AK39),0),0)</f>
        <v>974.168681736006</v>
      </c>
      <c r="AL58" s="49" t="n">
        <f aca="false">IF(AL38=1,AL51*IFERROR(INDEX(Twin!$G$73:$BN$73,1,AL39),0),0)</f>
        <v>974.991998878224</v>
      </c>
      <c r="AM58" s="49" t="n">
        <f aca="false">IF(AM38=1,AM51*IFERROR(INDEX(Twin!$G$73:$BN$73,1,AM39),0),0)</f>
        <v>974.981983514342</v>
      </c>
      <c r="AN58" s="49" t="n">
        <f aca="false">IF(AN38=1,AN51*IFERROR(INDEX(Twin!$G$73:$BN$73,1,AN39),0),0)</f>
        <v>973.417708312494</v>
      </c>
      <c r="AO58" s="49" t="n">
        <f aca="false">IF(AO38=1,AO51*IFERROR(INDEX(Twin!$G$73:$BN$73,1,AO39),0),0)</f>
        <v>0</v>
      </c>
      <c r="AP58" s="49" t="n">
        <f aca="false">IF(AP38=1,AP51*IFERROR(INDEX(Twin!$G$73:$BN$73,1,AP39),0),0)</f>
        <v>0</v>
      </c>
      <c r="AQ58" s="49" t="n">
        <f aca="false">IF(AQ38=1,AQ51*IFERROR(INDEX(Twin!$G$73:$BN$73,1,AQ39),0),0)</f>
        <v>0</v>
      </c>
      <c r="AR58" s="49" t="n">
        <f aca="false">IF(AR38=1,AR51*IFERROR(INDEX(Twin!$G$73:$BN$73,1,AR39),0),0)</f>
        <v>0</v>
      </c>
      <c r="AS58" s="49" t="n">
        <f aca="false">IF(AS38=1,AS51*IFERROR(INDEX(Twin!$G$73:$BN$73,1,AS39),0),0)</f>
        <v>0</v>
      </c>
      <c r="AT58" s="49" t="n">
        <f aca="false">IF(AT38=1,AT51*IFERROR(INDEX(Twin!$G$73:$BN$73,1,AT39),0),0)</f>
        <v>0</v>
      </c>
      <c r="AU58" s="49" t="n">
        <f aca="false">IF(AU38=1,AU51*IFERROR(INDEX(Twin!$G$73:$BN$73,1,AU39),0),0)</f>
        <v>0</v>
      </c>
      <c r="AV58" s="49" t="n">
        <f aca="false">IF(AV38=1,AV51*IFERROR(INDEX(Twin!$G$73:$BN$73,1,AV39),0),0)</f>
        <v>0</v>
      </c>
      <c r="AW58" s="49" t="n">
        <f aca="false">IF(AW38=1,AW51*IFERROR(INDEX(Twin!$G$73:$BN$73,1,AW39),0),0)</f>
        <v>0</v>
      </c>
      <c r="AX58" s="49" t="n">
        <f aca="false">IF(AX38=1,AX51*IFERROR(INDEX(Twin!$G$73:$BN$73,1,AX39),0),0)</f>
        <v>0</v>
      </c>
      <c r="AY58" s="49" t="n">
        <f aca="false">IF(AY38=1,AY51*IFERROR(INDEX(Twin!$G$73:$BN$73,1,AY39),0),0)</f>
        <v>0</v>
      </c>
      <c r="AZ58" s="49" t="n">
        <f aca="false">IF(AZ38=1,AZ51*IFERROR(INDEX(Twin!$G$73:$BN$73,1,AZ39),0),0)</f>
        <v>0</v>
      </c>
      <c r="BA58" s="49" t="n">
        <f aca="false">IF(BA38=1,BA51*IFERROR(INDEX(Twin!$G$73:$BN$73,1,BA39),0),0)</f>
        <v>0</v>
      </c>
      <c r="BB58" s="49" t="n">
        <f aca="false">IF(BB38=1,BB51*IFERROR(INDEX(Twin!$G$73:$BN$73,1,BB39),0),0)</f>
        <v>0</v>
      </c>
      <c r="BC58" s="49" t="n">
        <f aca="false">IF(BC38=1,BC51*IFERROR(INDEX(Twin!$G$73:$BN$73,1,BC39),0),0)</f>
        <v>0</v>
      </c>
      <c r="BD58" s="49" t="n">
        <f aca="false">IF(BD38=1,BD51*IFERROR(INDEX(Twin!$G$73:$BN$73,1,BD39),0),0)</f>
        <v>0</v>
      </c>
      <c r="BE58" s="49" t="n">
        <f aca="false">IF(BE38=1,BE51*IFERROR(INDEX(Twin!$G$73:$BN$73,1,BE39),0),0)</f>
        <v>0</v>
      </c>
      <c r="BF58" s="49" t="n">
        <f aca="false">IF(BF38=1,BF51*IFERROR(INDEX(Twin!$G$73:$BN$73,1,BF39),0),0)</f>
        <v>0</v>
      </c>
      <c r="BG58" s="49" t="n">
        <f aca="false">IF(BG38=1,BG51*IFERROR(INDEX(Twin!$G$73:$BN$73,1,BG39),0),0)</f>
        <v>0</v>
      </c>
      <c r="BH58" s="49" t="n">
        <f aca="false">IF(BH38=1,BH51*IFERROR(INDEX(Twin!$G$73:$BN$73,1,BH39),0),0)</f>
        <v>0</v>
      </c>
      <c r="BI58" s="49" t="n">
        <f aca="false">IF(BI38=1,BI51*IFERROR(INDEX(Twin!$G$73:$BN$73,1,BI39),0),0)</f>
        <v>0</v>
      </c>
      <c r="BJ58" s="49" t="n">
        <f aca="false">IF(BJ38=1,BJ51*IFERROR(INDEX(Twin!$G$73:$BN$73,1,BJ39),0),0)</f>
        <v>0</v>
      </c>
      <c r="BK58" s="49" t="n">
        <f aca="false">IF(BK38=1,BK51*IFERROR(INDEX(Twin!$G$73:$BN$73,1,BK39),0),0)</f>
        <v>0</v>
      </c>
      <c r="BL58" s="49" t="n">
        <f aca="false">IF(BL38=1,BL51*IFERROR(INDEX(Twin!$G$73:$BN$73,1,BL39),0),0)</f>
        <v>0</v>
      </c>
      <c r="BM58" s="49" t="n">
        <f aca="false">IF(BM38=1,BM51*IFERROR(INDEX(Twin!$G$73:$BN$73,1,BM39),0),0)</f>
        <v>0</v>
      </c>
      <c r="BN58" s="49" t="n">
        <f aca="false">IF(BN38=1,BN51*IFERROR(INDEX(Twin!$G$73:$BN$73,1,BN39),0),0)</f>
        <v>0</v>
      </c>
      <c r="BO58" s="49" t="n">
        <f aca="false">IF(BO38=1,BO51*IFERROR(INDEX(Twin!$G$73:$BN$73,1,BO39),0),0)</f>
        <v>0</v>
      </c>
      <c r="BP58" s="49" t="n">
        <f aca="false">IF(BP38=1,BP51*IFERROR(INDEX(Twin!$G$73:$BN$73,1,BP39),0),0)</f>
        <v>0</v>
      </c>
      <c r="BQ58" s="49" t="n">
        <f aca="false">IF(BQ38=1,BQ51*IFERROR(INDEX(Twin!$G$73:$BN$73,1,BQ39),0),0)</f>
        <v>0</v>
      </c>
      <c r="BR58" s="49" t="n">
        <f aca="false">IF(BR38=1,BR51*IFERROR(INDEX(Twin!$G$73:$BN$73,1,BR39),0),0)</f>
        <v>0</v>
      </c>
      <c r="BS58" s="49" t="n">
        <f aca="false">IF(BS38=1,BS51*IFERROR(INDEX(Twin!$G$73:$BN$73,1,BS39),0),0)</f>
        <v>0</v>
      </c>
      <c r="BT58" s="49" t="n">
        <f aca="false">IF(BT38=1,BT51*IFERROR(INDEX(Twin!$G$73:$BN$73,1,BT39),0),0)</f>
        <v>0</v>
      </c>
      <c r="BU58" s="49" t="n">
        <f aca="false">IF(BU38=1,BU51*IFERROR(INDEX(Twin!$G$73:$BN$73,1,BU39),0),0)</f>
        <v>0</v>
      </c>
      <c r="BV58" s="49" t="n">
        <f aca="false">IF(BV38=1,BV51*IFERROR(INDEX(Twin!$G$73:$BN$73,1,BV39),0),0)</f>
        <v>0</v>
      </c>
      <c r="BW58" s="49" t="n">
        <f aca="false">IF(BW38=1,BW51*IFERROR(INDEX(Twin!$G$73:$BN$73,1,BW39),0),0)</f>
        <v>0</v>
      </c>
      <c r="BX58" s="49" t="n">
        <f aca="false">IF(BX38=1,BX51*IFERROR(INDEX(Twin!$G$73:$BN$73,1,BX39),0),0)</f>
        <v>0</v>
      </c>
    </row>
    <row r="59" customFormat="false" ht="15" hidden="false" customHeight="false" outlineLevel="0" collapsed="false">
      <c r="A59" s="1"/>
      <c r="B59" s="8" t="s">
        <v>326</v>
      </c>
      <c r="C59" s="8" t="s">
        <v>126</v>
      </c>
      <c r="D59" s="44" t="n">
        <f aca="false">SUM(G59:BX59)</f>
        <v>2823.99910398809</v>
      </c>
      <c r="E59" s="1"/>
      <c r="F59" s="1"/>
      <c r="G59" s="48" t="n">
        <f aca="false">G57*G58/1000000</f>
        <v>0</v>
      </c>
      <c r="H59" s="48" t="n">
        <f aca="false">H57*H58/1000000</f>
        <v>0</v>
      </c>
      <c r="I59" s="48" t="n">
        <f aca="false">I57*I58/1000000</f>
        <v>0</v>
      </c>
      <c r="J59" s="48" t="n">
        <f aca="false">J57*J58/1000000</f>
        <v>0</v>
      </c>
      <c r="K59" s="48" t="n">
        <f aca="false">K57*K58/1000000</f>
        <v>143.149040373229</v>
      </c>
      <c r="L59" s="48" t="n">
        <f aca="false">L57*L58/1000000</f>
        <v>132.885468561097</v>
      </c>
      <c r="M59" s="48" t="n">
        <f aca="false">M57*M58/1000000</f>
        <v>125.340824064133</v>
      </c>
      <c r="N59" s="48" t="n">
        <f aca="false">N57*N58/1000000</f>
        <v>117.239716601626</v>
      </c>
      <c r="O59" s="48" t="n">
        <f aca="false">O57*O58/1000000</f>
        <v>109.158559841966</v>
      </c>
      <c r="P59" s="48" t="n">
        <f aca="false">P57*P58/1000000</f>
        <v>106.218785629123</v>
      </c>
      <c r="Q59" s="48" t="n">
        <f aca="false">Q57*Q58/1000000</f>
        <v>102.38371292065</v>
      </c>
      <c r="R59" s="48" t="n">
        <f aca="false">R57*R58/1000000</f>
        <v>96.1885065002414</v>
      </c>
      <c r="S59" s="48" t="n">
        <f aca="false">S57*S58/1000000</f>
        <v>94.1449504518166</v>
      </c>
      <c r="T59" s="48" t="n">
        <f aca="false">T57*T58/1000000</f>
        <v>91.1999051379455</v>
      </c>
      <c r="U59" s="48" t="n">
        <f aca="false">U57*U58/1000000</f>
        <v>90.5778539033664</v>
      </c>
      <c r="V59" s="48" t="n">
        <f aca="false">V57*V58/1000000</f>
        <v>89.9217851049661</v>
      </c>
      <c r="W59" s="48" t="n">
        <f aca="false">W57*W58/1000000</f>
        <v>89.4978308729089</v>
      </c>
      <c r="X59" s="48" t="n">
        <f aca="false">X57*X58/1000000</f>
        <v>89.0166531940803</v>
      </c>
      <c r="Y59" s="48" t="n">
        <f aca="false">Y57*Y58/1000000</f>
        <v>87.2674369897562</v>
      </c>
      <c r="Z59" s="48" t="n">
        <f aca="false">Z57*Z58/1000000</f>
        <v>86.1304568130496</v>
      </c>
      <c r="AA59" s="48" t="n">
        <f aca="false">AA57*AA58/1000000</f>
        <v>85.9047368959792</v>
      </c>
      <c r="AB59" s="48" t="n">
        <f aca="false">AB57*AB58/1000000</f>
        <v>84.8409186714086</v>
      </c>
      <c r="AC59" s="48" t="n">
        <f aca="false">AC57*AC58/1000000</f>
        <v>83.8100411526061</v>
      </c>
      <c r="AD59" s="48" t="n">
        <f aca="false">AD57*AD58/1000000</f>
        <v>83.5883696960566</v>
      </c>
      <c r="AE59" s="48" t="n">
        <f aca="false">AE57*AE58/1000000</f>
        <v>83.5866721008001</v>
      </c>
      <c r="AF59" s="48" t="n">
        <f aca="false">AF57*AF58/1000000</f>
        <v>83.5849745055435</v>
      </c>
      <c r="AG59" s="48" t="n">
        <f aca="false">AG57*AG58/1000000</f>
        <v>83.5737661799638</v>
      </c>
      <c r="AH59" s="48" t="n">
        <f aca="false">AH57*AH58/1000000</f>
        <v>83.5725897256536</v>
      </c>
      <c r="AI59" s="48" t="n">
        <f aca="false">AI57*AI58/1000000</f>
        <v>83.5714132713435</v>
      </c>
      <c r="AJ59" s="48" t="n">
        <f aca="false">AJ57*AJ58/1000000</f>
        <v>83.5702368170334</v>
      </c>
      <c r="AK59" s="48" t="n">
        <f aca="false">AK57*AK58/1000000</f>
        <v>83.5690603627233</v>
      </c>
      <c r="AL59" s="48" t="n">
        <f aca="false">AL57*AL58/1000000</f>
        <v>83.3618159040882</v>
      </c>
      <c r="AM59" s="48" t="n">
        <f aca="false">AM57*AM58/1000000</f>
        <v>83.3609595904762</v>
      </c>
      <c r="AN59" s="48" t="n">
        <f aca="false">AN57*AN58/1000000</f>
        <v>83.7820621544564</v>
      </c>
      <c r="AO59" s="48" t="n">
        <f aca="false">AO57*AO58/1000000</f>
        <v>0</v>
      </c>
      <c r="AP59" s="48" t="n">
        <f aca="false">AP57*AP58/1000000</f>
        <v>0</v>
      </c>
      <c r="AQ59" s="48" t="n">
        <f aca="false">AQ57*AQ58/1000000</f>
        <v>0</v>
      </c>
      <c r="AR59" s="48" t="n">
        <f aca="false">AR57*AR58/1000000</f>
        <v>0</v>
      </c>
      <c r="AS59" s="48" t="n">
        <f aca="false">AS57*AS58/1000000</f>
        <v>0</v>
      </c>
      <c r="AT59" s="48" t="n">
        <f aca="false">AT57*AT58/1000000</f>
        <v>0</v>
      </c>
      <c r="AU59" s="48" t="n">
        <f aca="false">AU57*AU58/1000000</f>
        <v>0</v>
      </c>
      <c r="AV59" s="48" t="n">
        <f aca="false">AV57*AV58/1000000</f>
        <v>0</v>
      </c>
      <c r="AW59" s="48" t="n">
        <f aca="false">AW57*AW58/1000000</f>
        <v>0</v>
      </c>
      <c r="AX59" s="48" t="n">
        <f aca="false">AX57*AX58/1000000</f>
        <v>0</v>
      </c>
      <c r="AY59" s="48" t="n">
        <f aca="false">AY57*AY58/1000000</f>
        <v>0</v>
      </c>
      <c r="AZ59" s="48" t="n">
        <f aca="false">AZ57*AZ58/1000000</f>
        <v>0</v>
      </c>
      <c r="BA59" s="48" t="n">
        <f aca="false">BA57*BA58/1000000</f>
        <v>0</v>
      </c>
      <c r="BB59" s="48" t="n">
        <f aca="false">BB57*BB58/1000000</f>
        <v>0</v>
      </c>
      <c r="BC59" s="48" t="n">
        <f aca="false">BC57*BC58/1000000</f>
        <v>0</v>
      </c>
      <c r="BD59" s="48" t="n">
        <f aca="false">BD57*BD58/1000000</f>
        <v>0</v>
      </c>
      <c r="BE59" s="48" t="n">
        <f aca="false">BE57*BE58/1000000</f>
        <v>0</v>
      </c>
      <c r="BF59" s="48" t="n">
        <f aca="false">BF57*BF58/1000000</f>
        <v>0</v>
      </c>
      <c r="BG59" s="48" t="n">
        <f aca="false">BG57*BG58/1000000</f>
        <v>0</v>
      </c>
      <c r="BH59" s="48" t="n">
        <f aca="false">BH57*BH58/1000000</f>
        <v>0</v>
      </c>
      <c r="BI59" s="48" t="n">
        <f aca="false">BI57*BI58/1000000</f>
        <v>0</v>
      </c>
      <c r="BJ59" s="48" t="n">
        <f aca="false">BJ57*BJ58/1000000</f>
        <v>0</v>
      </c>
      <c r="BK59" s="48" t="n">
        <f aca="false">BK57*BK58/1000000</f>
        <v>0</v>
      </c>
      <c r="BL59" s="48" t="n">
        <f aca="false">BL57*BL58/1000000</f>
        <v>0</v>
      </c>
      <c r="BM59" s="48" t="n">
        <f aca="false">BM57*BM58/1000000</f>
        <v>0</v>
      </c>
      <c r="BN59" s="48" t="n">
        <f aca="false">BN57*BN58/1000000</f>
        <v>0</v>
      </c>
      <c r="BO59" s="48" t="n">
        <f aca="false">BO57*BO58/1000000</f>
        <v>0</v>
      </c>
      <c r="BP59" s="48" t="n">
        <f aca="false">BP57*BP58/1000000</f>
        <v>0</v>
      </c>
      <c r="BQ59" s="48" t="n">
        <f aca="false">BQ57*BQ58/1000000</f>
        <v>0</v>
      </c>
      <c r="BR59" s="48" t="n">
        <f aca="false">BR57*BR58/1000000</f>
        <v>0</v>
      </c>
      <c r="BS59" s="48" t="n">
        <f aca="false">BS57*BS58/1000000</f>
        <v>0</v>
      </c>
      <c r="BT59" s="48" t="n">
        <f aca="false">BT57*BT58/1000000</f>
        <v>0</v>
      </c>
      <c r="BU59" s="48" t="n">
        <f aca="false">BU57*BU58/1000000</f>
        <v>0</v>
      </c>
      <c r="BV59" s="48" t="n">
        <f aca="false">BV57*BV58/1000000</f>
        <v>0</v>
      </c>
      <c r="BW59" s="48" t="n">
        <f aca="false">BW57*BW58/1000000</f>
        <v>0</v>
      </c>
      <c r="BX59" s="48" t="n">
        <f aca="false">BX57*BX58/1000000</f>
        <v>0</v>
      </c>
    </row>
    <row r="60" customFormat="false" ht="15" hidden="false" customHeight="false" outlineLevel="0" collapsed="false">
      <c r="A60" s="1"/>
      <c r="B60" s="8" t="s">
        <v>408</v>
      </c>
      <c r="C60" s="8" t="s">
        <v>126</v>
      </c>
      <c r="D60" s="44" t="n">
        <f aca="false">SUM(G60:BX60)</f>
        <v>0</v>
      </c>
      <c r="E60" s="1"/>
      <c r="F60" s="1"/>
      <c r="G60" s="48" t="n">
        <f aca="false">0</f>
        <v>0</v>
      </c>
      <c r="H60" s="48" t="n">
        <f aca="false">0</f>
        <v>0</v>
      </c>
      <c r="I60" s="48" t="n">
        <f aca="false">0</f>
        <v>0</v>
      </c>
      <c r="J60" s="48" t="n">
        <f aca="false">0</f>
        <v>0</v>
      </c>
      <c r="K60" s="48" t="n">
        <f aca="false">0</f>
        <v>0</v>
      </c>
      <c r="L60" s="48" t="n">
        <f aca="false">0</f>
        <v>0</v>
      </c>
      <c r="M60" s="48" t="n">
        <f aca="false">0</f>
        <v>0</v>
      </c>
      <c r="N60" s="48" t="n">
        <f aca="false">0</f>
        <v>0</v>
      </c>
      <c r="O60" s="48" t="n">
        <f aca="false">0</f>
        <v>0</v>
      </c>
      <c r="P60" s="48" t="n">
        <f aca="false">0</f>
        <v>0</v>
      </c>
      <c r="Q60" s="48" t="n">
        <f aca="false">0</f>
        <v>0</v>
      </c>
      <c r="R60" s="48" t="n">
        <f aca="false">0</f>
        <v>0</v>
      </c>
      <c r="S60" s="48" t="n">
        <f aca="false">0</f>
        <v>0</v>
      </c>
      <c r="T60" s="48" t="n">
        <f aca="false">0</f>
        <v>0</v>
      </c>
      <c r="U60" s="48" t="n">
        <f aca="false">0</f>
        <v>0</v>
      </c>
      <c r="V60" s="48" t="n">
        <f aca="false">0</f>
        <v>0</v>
      </c>
      <c r="W60" s="48" t="n">
        <f aca="false">0</f>
        <v>0</v>
      </c>
      <c r="X60" s="48" t="n">
        <f aca="false">0</f>
        <v>0</v>
      </c>
      <c r="Y60" s="48" t="n">
        <f aca="false">0</f>
        <v>0</v>
      </c>
      <c r="Z60" s="48" t="n">
        <f aca="false">0</f>
        <v>0</v>
      </c>
      <c r="AA60" s="48" t="n">
        <f aca="false">0</f>
        <v>0</v>
      </c>
      <c r="AB60" s="48" t="n">
        <f aca="false">0</f>
        <v>0</v>
      </c>
      <c r="AC60" s="48" t="n">
        <f aca="false">0</f>
        <v>0</v>
      </c>
      <c r="AD60" s="48" t="n">
        <f aca="false">0</f>
        <v>0</v>
      </c>
      <c r="AE60" s="48" t="n">
        <f aca="false">0</f>
        <v>0</v>
      </c>
      <c r="AF60" s="48" t="n">
        <f aca="false">0</f>
        <v>0</v>
      </c>
      <c r="AG60" s="48" t="n">
        <f aca="false">0</f>
        <v>0</v>
      </c>
      <c r="AH60" s="48" t="n">
        <f aca="false">0</f>
        <v>0</v>
      </c>
      <c r="AI60" s="48" t="n">
        <f aca="false">0</f>
        <v>0</v>
      </c>
      <c r="AJ60" s="48" t="n">
        <f aca="false">0</f>
        <v>0</v>
      </c>
      <c r="AK60" s="48" t="n">
        <f aca="false">0</f>
        <v>0</v>
      </c>
      <c r="AL60" s="48" t="n">
        <f aca="false">0</f>
        <v>0</v>
      </c>
      <c r="AM60" s="48" t="n">
        <f aca="false">0</f>
        <v>0</v>
      </c>
      <c r="AN60" s="48" t="n">
        <f aca="false">0</f>
        <v>0</v>
      </c>
      <c r="AO60" s="48" t="n">
        <f aca="false">0</f>
        <v>0</v>
      </c>
      <c r="AP60" s="48" t="n">
        <f aca="false">0</f>
        <v>0</v>
      </c>
      <c r="AQ60" s="48" t="n">
        <f aca="false">0</f>
        <v>0</v>
      </c>
      <c r="AR60" s="48" t="n">
        <f aca="false">0</f>
        <v>0</v>
      </c>
      <c r="AS60" s="48" t="n">
        <f aca="false">0</f>
        <v>0</v>
      </c>
      <c r="AT60" s="48" t="n">
        <f aca="false">0</f>
        <v>0</v>
      </c>
      <c r="AU60" s="48" t="n">
        <f aca="false">0</f>
        <v>0</v>
      </c>
      <c r="AV60" s="48" t="n">
        <f aca="false">0</f>
        <v>0</v>
      </c>
      <c r="AW60" s="48" t="n">
        <f aca="false">0</f>
        <v>0</v>
      </c>
      <c r="AX60" s="48" t="n">
        <f aca="false">0</f>
        <v>0</v>
      </c>
      <c r="AY60" s="48" t="n">
        <f aca="false">0</f>
        <v>0</v>
      </c>
      <c r="AZ60" s="48" t="n">
        <f aca="false">0</f>
        <v>0</v>
      </c>
      <c r="BA60" s="48" t="n">
        <f aca="false">0</f>
        <v>0</v>
      </c>
      <c r="BB60" s="48" t="n">
        <f aca="false">0</f>
        <v>0</v>
      </c>
      <c r="BC60" s="48" t="n">
        <f aca="false">0</f>
        <v>0</v>
      </c>
      <c r="BD60" s="48" t="n">
        <f aca="false">0</f>
        <v>0</v>
      </c>
      <c r="BE60" s="48" t="n">
        <f aca="false">0</f>
        <v>0</v>
      </c>
      <c r="BF60" s="48" t="n">
        <f aca="false">0</f>
        <v>0</v>
      </c>
      <c r="BG60" s="48" t="n">
        <f aca="false">0</f>
        <v>0</v>
      </c>
      <c r="BH60" s="48" t="n">
        <f aca="false">0</f>
        <v>0</v>
      </c>
      <c r="BI60" s="48" t="n">
        <f aca="false">0</f>
        <v>0</v>
      </c>
      <c r="BJ60" s="48" t="n">
        <f aca="false">0</f>
        <v>0</v>
      </c>
      <c r="BK60" s="48" t="n">
        <f aca="false">0</f>
        <v>0</v>
      </c>
      <c r="BL60" s="48" t="n">
        <f aca="false">0</f>
        <v>0</v>
      </c>
      <c r="BM60" s="48" t="n">
        <f aca="false">0</f>
        <v>0</v>
      </c>
      <c r="BN60" s="48" t="n">
        <f aca="false">0</f>
        <v>0</v>
      </c>
      <c r="BO60" s="48" t="n">
        <f aca="false">0</f>
        <v>0</v>
      </c>
      <c r="BP60" s="48" t="n">
        <f aca="false">0</f>
        <v>0</v>
      </c>
      <c r="BQ60" s="48" t="n">
        <f aca="false">0</f>
        <v>0</v>
      </c>
      <c r="BR60" s="48" t="n">
        <f aca="false">0</f>
        <v>0</v>
      </c>
      <c r="BS60" s="48" t="n">
        <f aca="false">0</f>
        <v>0</v>
      </c>
      <c r="BT60" s="48" t="n">
        <f aca="false">0</f>
        <v>0</v>
      </c>
      <c r="BU60" s="48" t="n">
        <f aca="false">0</f>
        <v>0</v>
      </c>
      <c r="BV60" s="48" t="n">
        <f aca="false">0</f>
        <v>0</v>
      </c>
      <c r="BW60" s="48" t="n">
        <f aca="false">0</f>
        <v>0</v>
      </c>
      <c r="BX60" s="48" t="n">
        <f aca="false">0</f>
        <v>0</v>
      </c>
    </row>
    <row r="61" customFormat="false" ht="15" hidden="false" customHeight="false" outlineLevel="0" collapsed="false">
      <c r="A61" s="1"/>
      <c r="B61" s="8" t="s">
        <v>329</v>
      </c>
      <c r="C61" s="8" t="s">
        <v>126</v>
      </c>
      <c r="D61" s="44" t="n">
        <f aca="false">SUM(G61:BX61)</f>
        <v>0</v>
      </c>
      <c r="E61" s="1"/>
      <c r="F61" s="1"/>
      <c r="G61" s="48" t="n">
        <f aca="false">IF(AND(G38=1,G39&lt;=$D$34),$D$33*$D$30*$D$7*1000/1000000,0)</f>
        <v>0</v>
      </c>
      <c r="H61" s="48" t="n">
        <f aca="false">IF(AND(H38=1,H39&lt;=$D$34),$D$33*$D$30*$D$7*1000/1000000,0)</f>
        <v>0</v>
      </c>
      <c r="I61" s="48" t="n">
        <f aca="false">IF(AND(I38=1,I39&lt;=$D$34),$D$33*$D$30*$D$7*1000/1000000,0)</f>
        <v>0</v>
      </c>
      <c r="J61" s="48" t="n">
        <f aca="false">IF(AND(J38=1,J39&lt;=$D$34),$D$33*$D$30*$D$7*1000/1000000,0)</f>
        <v>0</v>
      </c>
      <c r="K61" s="48" t="n">
        <f aca="false">IF(AND(K38=1,K39&lt;=$D$34),$D$33*$D$30*$D$7*1000/1000000,0)</f>
        <v>0</v>
      </c>
      <c r="L61" s="48" t="n">
        <f aca="false">IF(AND(L38=1,L39&lt;=$D$34),$D$33*$D$30*$D$7*1000/1000000,0)</f>
        <v>0</v>
      </c>
      <c r="M61" s="48" t="n">
        <f aca="false">IF(AND(M38=1,M39&lt;=$D$34),$D$33*$D$30*$D$7*1000/1000000,0)</f>
        <v>0</v>
      </c>
      <c r="N61" s="48" t="n">
        <f aca="false">IF(AND(N38=1,N39&lt;=$D$34),$D$33*$D$30*$D$7*1000/1000000,0)</f>
        <v>0</v>
      </c>
      <c r="O61" s="48" t="n">
        <f aca="false">IF(AND(O38=1,O39&lt;=$D$34),$D$33*$D$30*$D$7*1000/1000000,0)</f>
        <v>0</v>
      </c>
      <c r="P61" s="48" t="n">
        <f aca="false">IF(AND(P38=1,P39&lt;=$D$34),$D$33*$D$30*$D$7*1000/1000000,0)</f>
        <v>0</v>
      </c>
      <c r="Q61" s="48" t="n">
        <f aca="false">IF(AND(Q38=1,Q39&lt;=$D$34),$D$33*$D$30*$D$7*1000/1000000,0)</f>
        <v>0</v>
      </c>
      <c r="R61" s="48" t="n">
        <f aca="false">IF(AND(R38=1,R39&lt;=$D$34),$D$33*$D$30*$D$7*1000/1000000,0)</f>
        <v>0</v>
      </c>
      <c r="S61" s="48" t="n">
        <f aca="false">IF(AND(S38=1,S39&lt;=$D$34),$D$33*$D$30*$D$7*1000/1000000,0)</f>
        <v>0</v>
      </c>
      <c r="T61" s="48" t="n">
        <f aca="false">IF(AND(T38=1,T39&lt;=$D$34),$D$33*$D$30*$D$7*1000/1000000,0)</f>
        <v>0</v>
      </c>
      <c r="U61" s="48" t="n">
        <f aca="false">IF(AND(U38=1,U39&lt;=$D$34),$D$33*$D$30*$D$7*1000/1000000,0)</f>
        <v>0</v>
      </c>
      <c r="V61" s="48" t="n">
        <f aca="false">IF(AND(V38=1,V39&lt;=$D$34),$D$33*$D$30*$D$7*1000/1000000,0)</f>
        <v>0</v>
      </c>
      <c r="W61" s="48" t="n">
        <f aca="false">IF(AND(W38=1,W39&lt;=$D$34),$D$33*$D$30*$D$7*1000/1000000,0)</f>
        <v>0</v>
      </c>
      <c r="X61" s="48" t="n">
        <f aca="false">IF(AND(X38=1,X39&lt;=$D$34),$D$33*$D$30*$D$7*1000/1000000,0)</f>
        <v>0</v>
      </c>
      <c r="Y61" s="48" t="n">
        <f aca="false">IF(AND(Y38=1,Y39&lt;=$D$34),$D$33*$D$30*$D$7*1000/1000000,0)</f>
        <v>0</v>
      </c>
      <c r="Z61" s="48" t="n">
        <f aca="false">IF(AND(Z38=1,Z39&lt;=$D$34),$D$33*$D$30*$D$7*1000/1000000,0)</f>
        <v>0</v>
      </c>
      <c r="AA61" s="48" t="n">
        <f aca="false">IF(AND(AA38=1,AA39&lt;=$D$34),$D$33*$D$30*$D$7*1000/1000000,0)</f>
        <v>0</v>
      </c>
      <c r="AB61" s="48" t="n">
        <f aca="false">IF(AND(AB38=1,AB39&lt;=$D$34),$D$33*$D$30*$D$7*1000/1000000,0)</f>
        <v>0</v>
      </c>
      <c r="AC61" s="48" t="n">
        <f aca="false">IF(AND(AC38=1,AC39&lt;=$D$34),$D$33*$D$30*$D$7*1000/1000000,0)</f>
        <v>0</v>
      </c>
      <c r="AD61" s="48" t="n">
        <f aca="false">IF(AND(AD38=1,AD39&lt;=$D$34),$D$33*$D$30*$D$7*1000/1000000,0)</f>
        <v>0</v>
      </c>
      <c r="AE61" s="48" t="n">
        <f aca="false">IF(AND(AE38=1,AE39&lt;=$D$34),$D$33*$D$30*$D$7*1000/1000000,0)</f>
        <v>0</v>
      </c>
      <c r="AF61" s="48" t="n">
        <f aca="false">IF(AND(AF38=1,AF39&lt;=$D$34),$D$33*$D$30*$D$7*1000/1000000,0)</f>
        <v>0</v>
      </c>
      <c r="AG61" s="48" t="n">
        <f aca="false">IF(AND(AG38=1,AG39&lt;=$D$34),$D$33*$D$30*$D$7*1000/1000000,0)</f>
        <v>0</v>
      </c>
      <c r="AH61" s="48" t="n">
        <f aca="false">IF(AND(AH38=1,AH39&lt;=$D$34),$D$33*$D$30*$D$7*1000/1000000,0)</f>
        <v>0</v>
      </c>
      <c r="AI61" s="48" t="n">
        <f aca="false">IF(AND(AI38=1,AI39&lt;=$D$34),$D$33*$D$30*$D$7*1000/1000000,0)</f>
        <v>0</v>
      </c>
      <c r="AJ61" s="48" t="n">
        <f aca="false">IF(AND(AJ38=1,AJ39&lt;=$D$34),$D$33*$D$30*$D$7*1000/1000000,0)</f>
        <v>0</v>
      </c>
      <c r="AK61" s="48" t="n">
        <f aca="false">IF(AND(AK38=1,AK39&lt;=$D$34),$D$33*$D$30*$D$7*1000/1000000,0)</f>
        <v>0</v>
      </c>
      <c r="AL61" s="48" t="n">
        <f aca="false">IF(AND(AL38=1,AL39&lt;=$D$34),$D$33*$D$30*$D$7*1000/1000000,0)</f>
        <v>0</v>
      </c>
      <c r="AM61" s="48" t="n">
        <f aca="false">IF(AND(AM38=1,AM39&lt;=$D$34),$D$33*$D$30*$D$7*1000/1000000,0)</f>
        <v>0</v>
      </c>
      <c r="AN61" s="48" t="n">
        <f aca="false">IF(AND(AN38=1,AN39&lt;=$D$34),$D$33*$D$30*$D$7*1000/1000000,0)</f>
        <v>0</v>
      </c>
      <c r="AO61" s="48" t="n">
        <f aca="false">IF(AND(AO38=1,AO39&lt;=$D$34),$D$33*$D$30*$D$7*1000/1000000,0)</f>
        <v>0</v>
      </c>
      <c r="AP61" s="48" t="n">
        <f aca="false">IF(AND(AP38=1,AP39&lt;=$D$34),$D$33*$D$30*$D$7*1000/1000000,0)</f>
        <v>0</v>
      </c>
      <c r="AQ61" s="48" t="n">
        <f aca="false">IF(AND(AQ38=1,AQ39&lt;=$D$34),$D$33*$D$30*$D$7*1000/1000000,0)</f>
        <v>0</v>
      </c>
      <c r="AR61" s="48" t="n">
        <f aca="false">IF(AND(AR38=1,AR39&lt;=$D$34),$D$33*$D$30*$D$7*1000/1000000,0)</f>
        <v>0</v>
      </c>
      <c r="AS61" s="48" t="n">
        <f aca="false">IF(AND(AS38=1,AS39&lt;=$D$34),$D$33*$D$30*$D$7*1000/1000000,0)</f>
        <v>0</v>
      </c>
      <c r="AT61" s="48" t="n">
        <f aca="false">IF(AND(AT38=1,AT39&lt;=$D$34),$D$33*$D$30*$D$7*1000/1000000,0)</f>
        <v>0</v>
      </c>
      <c r="AU61" s="48" t="n">
        <f aca="false">IF(AND(AU38=1,AU39&lt;=$D$34),$D$33*$D$30*$D$7*1000/1000000,0)</f>
        <v>0</v>
      </c>
      <c r="AV61" s="48" t="n">
        <f aca="false">IF(AND(AV38=1,AV39&lt;=$D$34),$D$33*$D$30*$D$7*1000/1000000,0)</f>
        <v>0</v>
      </c>
      <c r="AW61" s="48" t="n">
        <f aca="false">IF(AND(AW38=1,AW39&lt;=$D$34),$D$33*$D$30*$D$7*1000/1000000,0)</f>
        <v>0</v>
      </c>
      <c r="AX61" s="48" t="n">
        <f aca="false">IF(AND(AX38=1,AX39&lt;=$D$34),$D$33*$D$30*$D$7*1000/1000000,0)</f>
        <v>0</v>
      </c>
      <c r="AY61" s="48" t="n">
        <f aca="false">IF(AND(AY38=1,AY39&lt;=$D$34),$D$33*$D$30*$D$7*1000/1000000,0)</f>
        <v>0</v>
      </c>
      <c r="AZ61" s="48" t="n">
        <f aca="false">IF(AND(AZ38=1,AZ39&lt;=$D$34),$D$33*$D$30*$D$7*1000/1000000,0)</f>
        <v>0</v>
      </c>
      <c r="BA61" s="48" t="n">
        <f aca="false">IF(AND(BA38=1,BA39&lt;=$D$34),$D$33*$D$30*$D$7*1000/1000000,0)</f>
        <v>0</v>
      </c>
      <c r="BB61" s="48" t="n">
        <f aca="false">IF(AND(BB38=1,BB39&lt;=$D$34),$D$33*$D$30*$D$7*1000/1000000,0)</f>
        <v>0</v>
      </c>
      <c r="BC61" s="48" t="n">
        <f aca="false">IF(AND(BC38=1,BC39&lt;=$D$34),$D$33*$D$30*$D$7*1000/1000000,0)</f>
        <v>0</v>
      </c>
      <c r="BD61" s="48" t="n">
        <f aca="false">IF(AND(BD38=1,BD39&lt;=$D$34),$D$33*$D$30*$D$7*1000/1000000,0)</f>
        <v>0</v>
      </c>
      <c r="BE61" s="48" t="n">
        <f aca="false">IF(AND(BE38=1,BE39&lt;=$D$34),$D$33*$D$30*$D$7*1000/1000000,0)</f>
        <v>0</v>
      </c>
      <c r="BF61" s="48" t="n">
        <f aca="false">IF(AND(BF38=1,BF39&lt;=$D$34),$D$33*$D$30*$D$7*1000/1000000,0)</f>
        <v>0</v>
      </c>
      <c r="BG61" s="48" t="n">
        <f aca="false">IF(AND(BG38=1,BG39&lt;=$D$34),$D$33*$D$30*$D$7*1000/1000000,0)</f>
        <v>0</v>
      </c>
      <c r="BH61" s="48" t="n">
        <f aca="false">IF(AND(BH38=1,BH39&lt;=$D$34),$D$33*$D$30*$D$7*1000/1000000,0)</f>
        <v>0</v>
      </c>
      <c r="BI61" s="48" t="n">
        <f aca="false">IF(AND(BI38=1,BI39&lt;=$D$34),$D$33*$D$30*$D$7*1000/1000000,0)</f>
        <v>0</v>
      </c>
      <c r="BJ61" s="48" t="n">
        <f aca="false">IF(AND(BJ38=1,BJ39&lt;=$D$34),$D$33*$D$30*$D$7*1000/1000000,0)</f>
        <v>0</v>
      </c>
      <c r="BK61" s="48" t="n">
        <f aca="false">IF(AND(BK38=1,BK39&lt;=$D$34),$D$33*$D$30*$D$7*1000/1000000,0)</f>
        <v>0</v>
      </c>
      <c r="BL61" s="48" t="n">
        <f aca="false">IF(AND(BL38=1,BL39&lt;=$D$34),$D$33*$D$30*$D$7*1000/1000000,0)</f>
        <v>0</v>
      </c>
      <c r="BM61" s="48" t="n">
        <f aca="false">IF(AND(BM38=1,BM39&lt;=$D$34),$D$33*$D$30*$D$7*1000/1000000,0)</f>
        <v>0</v>
      </c>
      <c r="BN61" s="48" t="n">
        <f aca="false">IF(AND(BN38=1,BN39&lt;=$D$34),$D$33*$D$30*$D$7*1000/1000000,0)</f>
        <v>0</v>
      </c>
      <c r="BO61" s="48" t="n">
        <f aca="false">IF(AND(BO38=1,BO39&lt;=$D$34),$D$33*$D$30*$D$7*1000/1000000,0)</f>
        <v>0</v>
      </c>
      <c r="BP61" s="48" t="n">
        <f aca="false">IF(AND(BP38=1,BP39&lt;=$D$34),$D$33*$D$30*$D$7*1000/1000000,0)</f>
        <v>0</v>
      </c>
      <c r="BQ61" s="48" t="n">
        <f aca="false">IF(AND(BQ38=1,BQ39&lt;=$D$34),$D$33*$D$30*$D$7*1000/1000000,0)</f>
        <v>0</v>
      </c>
      <c r="BR61" s="48" t="n">
        <f aca="false">IF(AND(BR38=1,BR39&lt;=$D$34),$D$33*$D$30*$D$7*1000/1000000,0)</f>
        <v>0</v>
      </c>
      <c r="BS61" s="48" t="n">
        <f aca="false">IF(AND(BS38=1,BS39&lt;=$D$34),$D$33*$D$30*$D$7*1000/1000000,0)</f>
        <v>0</v>
      </c>
      <c r="BT61" s="48" t="n">
        <f aca="false">IF(AND(BT38=1,BT39&lt;=$D$34),$D$33*$D$30*$D$7*1000/1000000,0)</f>
        <v>0</v>
      </c>
      <c r="BU61" s="48" t="n">
        <f aca="false">IF(AND(BU38=1,BU39&lt;=$D$34),$D$33*$D$30*$D$7*1000/1000000,0)</f>
        <v>0</v>
      </c>
      <c r="BV61" s="48" t="n">
        <f aca="false">IF(AND(BV38=1,BV39&lt;=$D$34),$D$33*$D$30*$D$7*1000/1000000,0)</f>
        <v>0</v>
      </c>
      <c r="BW61" s="48" t="n">
        <f aca="false">IF(AND(BW38=1,BW39&lt;=$D$34),$D$33*$D$30*$D$7*1000/1000000,0)</f>
        <v>0</v>
      </c>
      <c r="BX61" s="48" t="n">
        <f aca="false">IF(AND(BX38=1,BX39&lt;=$D$34),$D$33*$D$30*$D$7*1000/1000000,0)</f>
        <v>0</v>
      </c>
    </row>
    <row r="62" customFormat="false" ht="15" hidden="false" customHeight="false" outlineLevel="0" collapsed="false">
      <c r="A62" s="1"/>
      <c r="B62" s="8" t="s">
        <v>330</v>
      </c>
      <c r="C62" s="8" t="s">
        <v>126</v>
      </c>
      <c r="D62" s="44" t="n">
        <f aca="false">SUM(G62:BX62)</f>
        <v>360</v>
      </c>
      <c r="E62" s="1"/>
      <c r="F62" s="1"/>
      <c r="G62" s="48" t="n">
        <f aca="false">IF(G38=1,$D$31*$D$7*1000/1000000,0)</f>
        <v>0</v>
      </c>
      <c r="H62" s="48" t="n">
        <f aca="false">IF(H38=1,$D$31*$D$7*1000/1000000,0)</f>
        <v>0</v>
      </c>
      <c r="I62" s="48" t="n">
        <f aca="false">IF(I38=1,$D$31*$D$7*1000/1000000,0)</f>
        <v>0</v>
      </c>
      <c r="J62" s="48" t="n">
        <f aca="false">IF(J38=1,$D$31*$D$7*1000/1000000,0)</f>
        <v>0</v>
      </c>
      <c r="K62" s="48" t="n">
        <f aca="false">IF(K38=1,$D$31*$D$7*1000/1000000,0)</f>
        <v>12</v>
      </c>
      <c r="L62" s="48" t="n">
        <f aca="false">IF(L38=1,$D$31*$D$7*1000/1000000,0)</f>
        <v>12</v>
      </c>
      <c r="M62" s="48" t="n">
        <f aca="false">IF(M38=1,$D$31*$D$7*1000/1000000,0)</f>
        <v>12</v>
      </c>
      <c r="N62" s="48" t="n">
        <f aca="false">IF(N38=1,$D$31*$D$7*1000/1000000,0)</f>
        <v>12</v>
      </c>
      <c r="O62" s="48" t="n">
        <f aca="false">IF(O38=1,$D$31*$D$7*1000/1000000,0)</f>
        <v>12</v>
      </c>
      <c r="P62" s="48" t="n">
        <f aca="false">IF(P38=1,$D$31*$D$7*1000/1000000,0)</f>
        <v>12</v>
      </c>
      <c r="Q62" s="48" t="n">
        <f aca="false">IF(Q38=1,$D$31*$D$7*1000/1000000,0)</f>
        <v>12</v>
      </c>
      <c r="R62" s="48" t="n">
        <f aca="false">IF(R38=1,$D$31*$D$7*1000/1000000,0)</f>
        <v>12</v>
      </c>
      <c r="S62" s="48" t="n">
        <f aca="false">IF(S38=1,$D$31*$D$7*1000/1000000,0)</f>
        <v>12</v>
      </c>
      <c r="T62" s="48" t="n">
        <f aca="false">IF(T38=1,$D$31*$D$7*1000/1000000,0)</f>
        <v>12</v>
      </c>
      <c r="U62" s="48" t="n">
        <f aca="false">IF(U38=1,$D$31*$D$7*1000/1000000,0)</f>
        <v>12</v>
      </c>
      <c r="V62" s="48" t="n">
        <f aca="false">IF(V38=1,$D$31*$D$7*1000/1000000,0)</f>
        <v>12</v>
      </c>
      <c r="W62" s="48" t="n">
        <f aca="false">IF(W38=1,$D$31*$D$7*1000/1000000,0)</f>
        <v>12</v>
      </c>
      <c r="X62" s="48" t="n">
        <f aca="false">IF(X38=1,$D$31*$D$7*1000/1000000,0)</f>
        <v>12</v>
      </c>
      <c r="Y62" s="48" t="n">
        <f aca="false">IF(Y38=1,$D$31*$D$7*1000/1000000,0)</f>
        <v>12</v>
      </c>
      <c r="Z62" s="48" t="n">
        <f aca="false">IF(Z38=1,$D$31*$D$7*1000/1000000,0)</f>
        <v>12</v>
      </c>
      <c r="AA62" s="48" t="n">
        <f aca="false">IF(AA38=1,$D$31*$D$7*1000/1000000,0)</f>
        <v>12</v>
      </c>
      <c r="AB62" s="48" t="n">
        <f aca="false">IF(AB38=1,$D$31*$D$7*1000/1000000,0)</f>
        <v>12</v>
      </c>
      <c r="AC62" s="48" t="n">
        <f aca="false">IF(AC38=1,$D$31*$D$7*1000/1000000,0)</f>
        <v>12</v>
      </c>
      <c r="AD62" s="48" t="n">
        <f aca="false">IF(AD38=1,$D$31*$D$7*1000/1000000,0)</f>
        <v>12</v>
      </c>
      <c r="AE62" s="48" t="n">
        <f aca="false">IF(AE38=1,$D$31*$D$7*1000/1000000,0)</f>
        <v>12</v>
      </c>
      <c r="AF62" s="48" t="n">
        <f aca="false">IF(AF38=1,$D$31*$D$7*1000/1000000,0)</f>
        <v>12</v>
      </c>
      <c r="AG62" s="48" t="n">
        <f aca="false">IF(AG38=1,$D$31*$D$7*1000/1000000,0)</f>
        <v>12</v>
      </c>
      <c r="AH62" s="48" t="n">
        <f aca="false">IF(AH38=1,$D$31*$D$7*1000/1000000,0)</f>
        <v>12</v>
      </c>
      <c r="AI62" s="48" t="n">
        <f aca="false">IF(AI38=1,$D$31*$D$7*1000/1000000,0)</f>
        <v>12</v>
      </c>
      <c r="AJ62" s="48" t="n">
        <f aca="false">IF(AJ38=1,$D$31*$D$7*1000/1000000,0)</f>
        <v>12</v>
      </c>
      <c r="AK62" s="48" t="n">
        <f aca="false">IF(AK38=1,$D$31*$D$7*1000/1000000,0)</f>
        <v>12</v>
      </c>
      <c r="AL62" s="48" t="n">
        <f aca="false">IF(AL38=1,$D$31*$D$7*1000/1000000,0)</f>
        <v>12</v>
      </c>
      <c r="AM62" s="48" t="n">
        <f aca="false">IF(AM38=1,$D$31*$D$7*1000/1000000,0)</f>
        <v>12</v>
      </c>
      <c r="AN62" s="48" t="n">
        <f aca="false">IF(AN38=1,$D$31*$D$7*1000/1000000,0)</f>
        <v>12</v>
      </c>
      <c r="AO62" s="48" t="n">
        <f aca="false">IF(AO38=1,$D$31*$D$7*1000/1000000,0)</f>
        <v>0</v>
      </c>
      <c r="AP62" s="48" t="n">
        <f aca="false">IF(AP38=1,$D$31*$D$7*1000/1000000,0)</f>
        <v>0</v>
      </c>
      <c r="AQ62" s="48" t="n">
        <f aca="false">IF(AQ38=1,$D$31*$D$7*1000/1000000,0)</f>
        <v>0</v>
      </c>
      <c r="AR62" s="48" t="n">
        <f aca="false">IF(AR38=1,$D$31*$D$7*1000/1000000,0)</f>
        <v>0</v>
      </c>
      <c r="AS62" s="48" t="n">
        <f aca="false">IF(AS38=1,$D$31*$D$7*1000/1000000,0)</f>
        <v>0</v>
      </c>
      <c r="AT62" s="48" t="n">
        <f aca="false">IF(AT38=1,$D$31*$D$7*1000/1000000,0)</f>
        <v>0</v>
      </c>
      <c r="AU62" s="48" t="n">
        <f aca="false">IF(AU38=1,$D$31*$D$7*1000/1000000,0)</f>
        <v>0</v>
      </c>
      <c r="AV62" s="48" t="n">
        <f aca="false">IF(AV38=1,$D$31*$D$7*1000/1000000,0)</f>
        <v>0</v>
      </c>
      <c r="AW62" s="48" t="n">
        <f aca="false">IF(AW38=1,$D$31*$D$7*1000/1000000,0)</f>
        <v>0</v>
      </c>
      <c r="AX62" s="48" t="n">
        <f aca="false">IF(AX38=1,$D$31*$D$7*1000/1000000,0)</f>
        <v>0</v>
      </c>
      <c r="AY62" s="48" t="n">
        <f aca="false">IF(AY38=1,$D$31*$D$7*1000/1000000,0)</f>
        <v>0</v>
      </c>
      <c r="AZ62" s="48" t="n">
        <f aca="false">IF(AZ38=1,$D$31*$D$7*1000/1000000,0)</f>
        <v>0</v>
      </c>
      <c r="BA62" s="48" t="n">
        <f aca="false">IF(BA38=1,$D$31*$D$7*1000/1000000,0)</f>
        <v>0</v>
      </c>
      <c r="BB62" s="48" t="n">
        <f aca="false">IF(BB38=1,$D$31*$D$7*1000/1000000,0)</f>
        <v>0</v>
      </c>
      <c r="BC62" s="48" t="n">
        <f aca="false">IF(BC38=1,$D$31*$D$7*1000/1000000,0)</f>
        <v>0</v>
      </c>
      <c r="BD62" s="48" t="n">
        <f aca="false">IF(BD38=1,$D$31*$D$7*1000/1000000,0)</f>
        <v>0</v>
      </c>
      <c r="BE62" s="48" t="n">
        <f aca="false">IF(BE38=1,$D$31*$D$7*1000/1000000,0)</f>
        <v>0</v>
      </c>
      <c r="BF62" s="48" t="n">
        <f aca="false">IF(BF38=1,$D$31*$D$7*1000/1000000,0)</f>
        <v>0</v>
      </c>
      <c r="BG62" s="48" t="n">
        <f aca="false">IF(BG38=1,$D$31*$D$7*1000/1000000,0)</f>
        <v>0</v>
      </c>
      <c r="BH62" s="48" t="n">
        <f aca="false">IF(BH38=1,$D$31*$D$7*1000/1000000,0)</f>
        <v>0</v>
      </c>
      <c r="BI62" s="48" t="n">
        <f aca="false">IF(BI38=1,$D$31*$D$7*1000/1000000,0)</f>
        <v>0</v>
      </c>
      <c r="BJ62" s="48" t="n">
        <f aca="false">IF(BJ38=1,$D$31*$D$7*1000/1000000,0)</f>
        <v>0</v>
      </c>
      <c r="BK62" s="48" t="n">
        <f aca="false">IF(BK38=1,$D$31*$D$7*1000/1000000,0)</f>
        <v>0</v>
      </c>
      <c r="BL62" s="48" t="n">
        <f aca="false">IF(BL38=1,$D$31*$D$7*1000/1000000,0)</f>
        <v>0</v>
      </c>
      <c r="BM62" s="48" t="n">
        <f aca="false">IF(BM38=1,$D$31*$D$7*1000/1000000,0)</f>
        <v>0</v>
      </c>
      <c r="BN62" s="48" t="n">
        <f aca="false">IF(BN38=1,$D$31*$D$7*1000/1000000,0)</f>
        <v>0</v>
      </c>
      <c r="BO62" s="48" t="n">
        <f aca="false">IF(BO38=1,$D$31*$D$7*1000/1000000,0)</f>
        <v>0</v>
      </c>
      <c r="BP62" s="48" t="n">
        <f aca="false">IF(BP38=1,$D$31*$D$7*1000/1000000,0)</f>
        <v>0</v>
      </c>
      <c r="BQ62" s="48" t="n">
        <f aca="false">IF(BQ38=1,$D$31*$D$7*1000/1000000,0)</f>
        <v>0</v>
      </c>
      <c r="BR62" s="48" t="n">
        <f aca="false">IF(BR38=1,$D$31*$D$7*1000/1000000,0)</f>
        <v>0</v>
      </c>
      <c r="BS62" s="48" t="n">
        <f aca="false">IF(BS38=1,$D$31*$D$7*1000/1000000,0)</f>
        <v>0</v>
      </c>
      <c r="BT62" s="48" t="n">
        <f aca="false">IF(BT38=1,$D$31*$D$7*1000/1000000,0)</f>
        <v>0</v>
      </c>
      <c r="BU62" s="48" t="n">
        <f aca="false">IF(BU38=1,$D$31*$D$7*1000/1000000,0)</f>
        <v>0</v>
      </c>
      <c r="BV62" s="48" t="n">
        <f aca="false">IF(BV38=1,$D$31*$D$7*1000/1000000,0)</f>
        <v>0</v>
      </c>
      <c r="BW62" s="48" t="n">
        <f aca="false">IF(BW38=1,$D$31*$D$7*1000/1000000,0)</f>
        <v>0</v>
      </c>
      <c r="BX62" s="48" t="n">
        <f aca="false">IF(BX38=1,$D$31*$D$7*1000/1000000,0)</f>
        <v>0</v>
      </c>
    </row>
    <row r="63" customFormat="false" ht="15" hidden="false" customHeight="false" outlineLevel="0" collapsed="false">
      <c r="A63" s="1"/>
      <c r="B63" s="4" t="s">
        <v>331</v>
      </c>
      <c r="C63" s="8" t="s">
        <v>126</v>
      </c>
      <c r="D63" s="44" t="n">
        <f aca="false">SUM(G63:BX63)</f>
        <v>3183.99910398809</v>
      </c>
      <c r="E63" s="1"/>
      <c r="F63" s="1"/>
      <c r="G63" s="44" t="n">
        <f aca="false">G59+G60+G61+G62</f>
        <v>0</v>
      </c>
      <c r="H63" s="44" t="n">
        <f aca="false">H59+H60+H61+H62</f>
        <v>0</v>
      </c>
      <c r="I63" s="44" t="n">
        <f aca="false">I59+I60+I61+I62</f>
        <v>0</v>
      </c>
      <c r="J63" s="44" t="n">
        <f aca="false">J59+J60+J61+J62</f>
        <v>0</v>
      </c>
      <c r="K63" s="44" t="n">
        <f aca="false">K59+K60+K61+K62</f>
        <v>155.149040373229</v>
      </c>
      <c r="L63" s="44" t="n">
        <f aca="false">L59+L60+L61+L62</f>
        <v>144.885468561097</v>
      </c>
      <c r="M63" s="44" t="n">
        <f aca="false">M59+M60+M61+M62</f>
        <v>137.340824064133</v>
      </c>
      <c r="N63" s="44" t="n">
        <f aca="false">N59+N60+N61+N62</f>
        <v>129.239716601626</v>
      </c>
      <c r="O63" s="44" t="n">
        <f aca="false">O59+O60+O61+O62</f>
        <v>121.158559841966</v>
      </c>
      <c r="P63" s="44" t="n">
        <f aca="false">P59+P60+P61+P62</f>
        <v>118.218785629123</v>
      </c>
      <c r="Q63" s="44" t="n">
        <f aca="false">Q59+Q60+Q61+Q62</f>
        <v>114.38371292065</v>
      </c>
      <c r="R63" s="44" t="n">
        <f aca="false">R59+R60+R61+R62</f>
        <v>108.188506500241</v>
      </c>
      <c r="S63" s="44" t="n">
        <f aca="false">S59+S60+S61+S62</f>
        <v>106.144950451817</v>
      </c>
      <c r="T63" s="44" t="n">
        <f aca="false">T59+T60+T61+T62</f>
        <v>103.199905137945</v>
      </c>
      <c r="U63" s="44" t="n">
        <f aca="false">U59+U60+U61+U62</f>
        <v>102.577853903366</v>
      </c>
      <c r="V63" s="44" t="n">
        <f aca="false">V59+V60+V61+V62</f>
        <v>101.921785104966</v>
      </c>
      <c r="W63" s="44" t="n">
        <f aca="false">W59+W60+W61+W62</f>
        <v>101.497830872909</v>
      </c>
      <c r="X63" s="44" t="n">
        <f aca="false">X59+X60+X61+X62</f>
        <v>101.01665319408</v>
      </c>
      <c r="Y63" s="44" t="n">
        <f aca="false">Y59+Y60+Y61+Y62</f>
        <v>99.2674369897562</v>
      </c>
      <c r="Z63" s="44" t="n">
        <f aca="false">Z59+Z60+Z61+Z62</f>
        <v>98.1304568130496</v>
      </c>
      <c r="AA63" s="44" t="n">
        <f aca="false">AA59+AA60+AA61+AA62</f>
        <v>97.9047368959792</v>
      </c>
      <c r="AB63" s="44" t="n">
        <f aca="false">AB59+AB60+AB61+AB62</f>
        <v>96.8409186714086</v>
      </c>
      <c r="AC63" s="44" t="n">
        <f aca="false">AC59+AC60+AC61+AC62</f>
        <v>95.8100411526061</v>
      </c>
      <c r="AD63" s="44" t="n">
        <f aca="false">AD59+AD60+AD61+AD62</f>
        <v>95.5883696960566</v>
      </c>
      <c r="AE63" s="44" t="n">
        <f aca="false">AE59+AE60+AE61+AE62</f>
        <v>95.5866721008001</v>
      </c>
      <c r="AF63" s="44" t="n">
        <f aca="false">AF59+AF60+AF61+AF62</f>
        <v>95.5849745055435</v>
      </c>
      <c r="AG63" s="44" t="n">
        <f aca="false">AG59+AG60+AG61+AG62</f>
        <v>95.5737661799638</v>
      </c>
      <c r="AH63" s="44" t="n">
        <f aca="false">AH59+AH60+AH61+AH62</f>
        <v>95.5725897256536</v>
      </c>
      <c r="AI63" s="44" t="n">
        <f aca="false">AI59+AI60+AI61+AI62</f>
        <v>95.5714132713435</v>
      </c>
      <c r="AJ63" s="44" t="n">
        <f aca="false">AJ59+AJ60+AJ61+AJ62</f>
        <v>95.5702368170334</v>
      </c>
      <c r="AK63" s="44" t="n">
        <f aca="false">AK59+AK60+AK61+AK62</f>
        <v>95.5690603627233</v>
      </c>
      <c r="AL63" s="44" t="n">
        <f aca="false">AL59+AL60+AL61+AL62</f>
        <v>95.3618159040882</v>
      </c>
      <c r="AM63" s="44" t="n">
        <f aca="false">AM59+AM60+AM61+AM62</f>
        <v>95.3609595904762</v>
      </c>
      <c r="AN63" s="44" t="n">
        <f aca="false">AN59+AN60+AN61+AN62</f>
        <v>95.7820621544564</v>
      </c>
      <c r="AO63" s="44" t="n">
        <f aca="false">AO59+AO60+AO61+AO62</f>
        <v>0</v>
      </c>
      <c r="AP63" s="44" t="n">
        <f aca="false">AP59+AP60+AP61+AP62</f>
        <v>0</v>
      </c>
      <c r="AQ63" s="44" t="n">
        <f aca="false">AQ59+AQ60+AQ61+AQ62</f>
        <v>0</v>
      </c>
      <c r="AR63" s="44" t="n">
        <f aca="false">AR59+AR60+AR61+AR62</f>
        <v>0</v>
      </c>
      <c r="AS63" s="44" t="n">
        <f aca="false">AS59+AS60+AS61+AS62</f>
        <v>0</v>
      </c>
      <c r="AT63" s="44" t="n">
        <f aca="false">AT59+AT60+AT61+AT62</f>
        <v>0</v>
      </c>
      <c r="AU63" s="44" t="n">
        <f aca="false">AU59+AU60+AU61+AU62</f>
        <v>0</v>
      </c>
      <c r="AV63" s="44" t="n">
        <f aca="false">AV59+AV60+AV61+AV62</f>
        <v>0</v>
      </c>
      <c r="AW63" s="44" t="n">
        <f aca="false">AW59+AW60+AW61+AW62</f>
        <v>0</v>
      </c>
      <c r="AX63" s="44" t="n">
        <f aca="false">AX59+AX60+AX61+AX62</f>
        <v>0</v>
      </c>
      <c r="AY63" s="44" t="n">
        <f aca="false">AY59+AY60+AY61+AY62</f>
        <v>0</v>
      </c>
      <c r="AZ63" s="44" t="n">
        <f aca="false">AZ59+AZ60+AZ61+AZ62</f>
        <v>0</v>
      </c>
      <c r="BA63" s="44" t="n">
        <f aca="false">BA59+BA60+BA61+BA62</f>
        <v>0</v>
      </c>
      <c r="BB63" s="44" t="n">
        <f aca="false">BB59+BB60+BB61+BB62</f>
        <v>0</v>
      </c>
      <c r="BC63" s="44" t="n">
        <f aca="false">BC59+BC60+BC61+BC62</f>
        <v>0</v>
      </c>
      <c r="BD63" s="44" t="n">
        <f aca="false">BD59+BD60+BD61+BD62</f>
        <v>0</v>
      </c>
      <c r="BE63" s="44" t="n">
        <f aca="false">BE59+BE60+BE61+BE62</f>
        <v>0</v>
      </c>
      <c r="BF63" s="44" t="n">
        <f aca="false">BF59+BF60+BF61+BF62</f>
        <v>0</v>
      </c>
      <c r="BG63" s="44" t="n">
        <f aca="false">BG59+BG60+BG61+BG62</f>
        <v>0</v>
      </c>
      <c r="BH63" s="44" t="n">
        <f aca="false">BH59+BH60+BH61+BH62</f>
        <v>0</v>
      </c>
      <c r="BI63" s="44" t="n">
        <f aca="false">BI59+BI60+BI61+BI62</f>
        <v>0</v>
      </c>
      <c r="BJ63" s="44" t="n">
        <f aca="false">BJ59+BJ60+BJ61+BJ62</f>
        <v>0</v>
      </c>
      <c r="BK63" s="44" t="n">
        <f aca="false">BK59+BK60+BK61+BK62</f>
        <v>0</v>
      </c>
      <c r="BL63" s="44" t="n">
        <f aca="false">BL59+BL60+BL61+BL62</f>
        <v>0</v>
      </c>
      <c r="BM63" s="44" t="n">
        <f aca="false">BM59+BM60+BM61+BM62</f>
        <v>0</v>
      </c>
      <c r="BN63" s="44" t="n">
        <f aca="false">BN59+BN60+BN61+BN62</f>
        <v>0</v>
      </c>
      <c r="BO63" s="44" t="n">
        <f aca="false">BO59+BO60+BO61+BO62</f>
        <v>0</v>
      </c>
      <c r="BP63" s="44" t="n">
        <f aca="false">BP59+BP60+BP61+BP62</f>
        <v>0</v>
      </c>
      <c r="BQ63" s="44" t="n">
        <f aca="false">BQ59+BQ60+BQ61+BQ62</f>
        <v>0</v>
      </c>
      <c r="BR63" s="44" t="n">
        <f aca="false">BR59+BR60+BR61+BR62</f>
        <v>0</v>
      </c>
      <c r="BS63" s="44" t="n">
        <f aca="false">BS59+BS60+BS61+BS62</f>
        <v>0</v>
      </c>
      <c r="BT63" s="44" t="n">
        <f aca="false">BT59+BT60+BT61+BT62</f>
        <v>0</v>
      </c>
      <c r="BU63" s="44" t="n">
        <f aca="false">BU59+BU60+BU61+BU62</f>
        <v>0</v>
      </c>
      <c r="BV63" s="44" t="n">
        <f aca="false">BV59+BV60+BV61+BV62</f>
        <v>0</v>
      </c>
      <c r="BW63" s="44" t="n">
        <f aca="false">BW59+BW60+BW61+BW62</f>
        <v>0</v>
      </c>
      <c r="BX63" s="44" t="n">
        <f aca="false">BX59+BX60+BX61+BX62</f>
        <v>0</v>
      </c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</row>
    <row r="65" customFormat="false" ht="15" hidden="false" customHeight="false" outlineLevel="0" collapsed="false">
      <c r="A65" s="1"/>
      <c r="B65" s="13" t="s">
        <v>332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</row>
    <row r="66" customFormat="false" ht="15" hidden="false" customHeight="false" outlineLevel="0" collapsed="false">
      <c r="A66" s="1"/>
      <c r="B66" s="8" t="s">
        <v>420</v>
      </c>
      <c r="C66" s="8" t="s">
        <v>421</v>
      </c>
      <c r="D66" s="44" t="n">
        <f aca="false">SUM(G66:BX66)</f>
        <v>7457555.93438493</v>
      </c>
      <c r="E66" s="1"/>
      <c r="F66" s="1"/>
      <c r="G66" s="48" t="n">
        <f aca="false">IF(G38=1,G57*IFERROR(INDEX(Twin!$G$77:$BN$77,1,G39),0),0)</f>
        <v>0</v>
      </c>
      <c r="H66" s="48" t="n">
        <f aca="false">IF(H38=1,H57*IFERROR(INDEX(Twin!$G$77:$BN$77,1,H39),0),0)</f>
        <v>0</v>
      </c>
      <c r="I66" s="48" t="n">
        <f aca="false">IF(I38=1,I57*IFERROR(INDEX(Twin!$G$77:$BN$77,1,I39),0),0)</f>
        <v>0</v>
      </c>
      <c r="J66" s="48" t="n">
        <f aca="false">IF(J38=1,J57*IFERROR(INDEX(Twin!$G$77:$BN$77,1,J39),0),0)</f>
        <v>0</v>
      </c>
      <c r="K66" s="48" t="n">
        <f aca="false">IF(K38=1,K57*IFERROR(INDEX(Twin!$G$77:$BN$77,1,K39),0),0)</f>
        <v>409036.850021487</v>
      </c>
      <c r="L66" s="48" t="n">
        <f aca="false">IF(L38=1,L57*IFERROR(INDEX(Twin!$G$77:$BN$77,1,L39),0),0)</f>
        <v>372156.478298238</v>
      </c>
      <c r="M66" s="48" t="n">
        <f aca="false">IF(M38=1,M57*IFERROR(INDEX(Twin!$G$77:$BN$77,1,M39),0),0)</f>
        <v>345546.219992079</v>
      </c>
      <c r="N66" s="48" t="n">
        <f aca="false">IF(N38=1,N57*IFERROR(INDEX(Twin!$G$77:$BN$77,1,N39),0),0)</f>
        <v>317957.159980451</v>
      </c>
      <c r="O66" s="48" t="n">
        <f aca="false">IF(O38=1,O57*IFERROR(INDEX(Twin!$G$77:$BN$77,1,O39),0),0)</f>
        <v>290937.85021529</v>
      </c>
      <c r="P66" s="48" t="n">
        <f aca="false">IF(P38=1,P57*IFERROR(INDEX(Twin!$G$77:$BN$77,1,P39),0),0)</f>
        <v>282019.067510975</v>
      </c>
      <c r="Q66" s="48" t="n">
        <f aca="false">IF(Q38=1,Q57*IFERROR(INDEX(Twin!$G$77:$BN$77,1,Q39),0),0)</f>
        <v>270609.45360095</v>
      </c>
      <c r="R66" s="48" t="n">
        <f aca="false">IF(R38=1,R57*IFERROR(INDEX(Twin!$G$77:$BN$77,1,R39),0),0)</f>
        <v>250638.977013238</v>
      </c>
      <c r="S66" s="48" t="n">
        <f aca="false">IF(S38=1,S57*IFERROR(INDEX(Twin!$G$77:$BN$77,1,S39),0),0)</f>
        <v>244722.339838385</v>
      </c>
      <c r="T66" s="48" t="n">
        <f aca="false">IF(T38=1,T57*IFERROR(INDEX(Twin!$G$77:$BN$77,1,T39),0),0)</f>
        <v>236066.518786286</v>
      </c>
      <c r="U66" s="48" t="n">
        <f aca="false">IF(U38=1,U57*IFERROR(INDEX(Twin!$G$77:$BN$77,1,U39),0),0)</f>
        <v>234707.883583171</v>
      </c>
      <c r="V66" s="48" t="n">
        <f aca="false">IF(V38=1,V57*IFERROR(INDEX(Twin!$G$77:$BN$77,1,V39),0),0)</f>
        <v>233393.075322093</v>
      </c>
      <c r="W66" s="48" t="n">
        <f aca="false">IF(W38=1,W57*IFERROR(INDEX(Twin!$G$77:$BN$77,1,W39),0),0)</f>
        <v>232735.671191554</v>
      </c>
      <c r="X66" s="48" t="n">
        <f aca="false">IF(X38=1,X57*IFERROR(INDEX(Twin!$G$77:$BN$77,1,X39),0),0)</f>
        <v>231968.699705924</v>
      </c>
      <c r="Y66" s="48" t="n">
        <f aca="false">IF(Y38=1,Y57*IFERROR(INDEX(Twin!$G$77:$BN$77,1,Y39),0),0)</f>
        <v>226424.591538377</v>
      </c>
      <c r="Z66" s="48" t="n">
        <f aca="false">IF(Z38=1,Z57*IFERROR(INDEX(Twin!$G$77:$BN$77,1,Z39),0),0)</f>
        <v>223327.487634504</v>
      </c>
      <c r="AA66" s="48" t="n">
        <f aca="false">IF(AA38=1,AA57*IFERROR(INDEX(Twin!$G$77:$BN$77,1,AA39),0),0)</f>
        <v>223327.487634504</v>
      </c>
      <c r="AB66" s="48" t="n">
        <f aca="false">IF(AB38=1,AB57*IFERROR(INDEX(Twin!$G$77:$BN$77,1,AB39),0),0)</f>
        <v>220434.909460131</v>
      </c>
      <c r="AC66" s="48" t="n">
        <f aca="false">IF(AC38=1,AC57*IFERROR(INDEX(Twin!$G$77:$BN$77,1,AC39),0),0)</f>
        <v>217761.465995939</v>
      </c>
      <c r="AD66" s="48" t="n">
        <f aca="false">IF(AD38=1,AD57*IFERROR(INDEX(Twin!$G$77:$BN$77,1,AD39),0),0)</f>
        <v>217761.465995939</v>
      </c>
      <c r="AE66" s="48" t="n">
        <f aca="false">IF(AE38=1,AE57*IFERROR(INDEX(Twin!$G$77:$BN$77,1,AE39),0),0)</f>
        <v>217761.465995939</v>
      </c>
      <c r="AF66" s="48" t="n">
        <f aca="false">IF(AF38=1,AF57*IFERROR(INDEX(Twin!$G$77:$BN$77,1,AF39),0),0)</f>
        <v>217761.465995939</v>
      </c>
      <c r="AG66" s="48" t="n">
        <f aca="false">IF(AG38=1,AG57*IFERROR(INDEX(Twin!$G$77:$BN$77,1,AG39),0),0)</f>
        <v>217688.421092545</v>
      </c>
      <c r="AH66" s="48" t="n">
        <f aca="false">IF(AH38=1,AH57*IFERROR(INDEX(Twin!$G$77:$BN$77,1,AH39),0),0)</f>
        <v>217688.421092545</v>
      </c>
      <c r="AI66" s="48" t="n">
        <f aca="false">IF(AI38=1,AI57*IFERROR(INDEX(Twin!$G$77:$BN$77,1,AI39),0),0)</f>
        <v>217688.421092545</v>
      </c>
      <c r="AJ66" s="48" t="n">
        <f aca="false">IF(AJ38=1,AJ57*IFERROR(INDEX(Twin!$G$77:$BN$77,1,AJ39),0),0)</f>
        <v>217688.421092545</v>
      </c>
      <c r="AK66" s="48" t="n">
        <f aca="false">IF(AK38=1,AK57*IFERROR(INDEX(Twin!$G$77:$BN$77,1,AK39),0),0)</f>
        <v>217688.421092545</v>
      </c>
      <c r="AL66" s="48" t="n">
        <f aca="false">IF(AL38=1,AL57*IFERROR(INDEX(Twin!$G$77:$BN$77,1,AL39),0),0)</f>
        <v>216914.145116577</v>
      </c>
      <c r="AM66" s="48" t="n">
        <f aca="false">IF(AM38=1,AM57*IFERROR(INDEX(Twin!$G$77:$BN$77,1,AM39),0),0)</f>
        <v>216914.145116577</v>
      </c>
      <c r="AN66" s="48" t="n">
        <f aca="false">IF(AN38=1,AN57*IFERROR(INDEX(Twin!$G$77:$BN$77,1,AN39),0),0)</f>
        <v>218228.953377655</v>
      </c>
      <c r="AO66" s="48" t="n">
        <f aca="false">IF(AO38=1,AO57*IFERROR(INDEX(Twin!$G$77:$BN$77,1,AO39),0),0)</f>
        <v>0</v>
      </c>
      <c r="AP66" s="48" t="n">
        <f aca="false">IF(AP38=1,AP57*IFERROR(INDEX(Twin!$G$77:$BN$77,1,AP39),0),0)</f>
        <v>0</v>
      </c>
      <c r="AQ66" s="48" t="n">
        <f aca="false">IF(AQ38=1,AQ57*IFERROR(INDEX(Twin!$G$77:$BN$77,1,AQ39),0),0)</f>
        <v>0</v>
      </c>
      <c r="AR66" s="48" t="n">
        <f aca="false">IF(AR38=1,AR57*IFERROR(INDEX(Twin!$G$77:$BN$77,1,AR39),0),0)</f>
        <v>0</v>
      </c>
      <c r="AS66" s="48" t="n">
        <f aca="false">IF(AS38=1,AS57*IFERROR(INDEX(Twin!$G$77:$BN$77,1,AS39),0),0)</f>
        <v>0</v>
      </c>
      <c r="AT66" s="48" t="n">
        <f aca="false">IF(AT38=1,AT57*IFERROR(INDEX(Twin!$G$77:$BN$77,1,AT39),0),0)</f>
        <v>0</v>
      </c>
      <c r="AU66" s="48" t="n">
        <f aca="false">IF(AU38=1,AU57*IFERROR(INDEX(Twin!$G$77:$BN$77,1,AU39),0),0)</f>
        <v>0</v>
      </c>
      <c r="AV66" s="48" t="n">
        <f aca="false">IF(AV38=1,AV57*IFERROR(INDEX(Twin!$G$77:$BN$77,1,AV39),0),0)</f>
        <v>0</v>
      </c>
      <c r="AW66" s="48" t="n">
        <f aca="false">IF(AW38=1,AW57*IFERROR(INDEX(Twin!$G$77:$BN$77,1,AW39),0),0)</f>
        <v>0</v>
      </c>
      <c r="AX66" s="48" t="n">
        <f aca="false">IF(AX38=1,AX57*IFERROR(INDEX(Twin!$G$77:$BN$77,1,AX39),0),0)</f>
        <v>0</v>
      </c>
      <c r="AY66" s="48" t="n">
        <f aca="false">IF(AY38=1,AY57*IFERROR(INDEX(Twin!$G$77:$BN$77,1,AY39),0),0)</f>
        <v>0</v>
      </c>
      <c r="AZ66" s="48" t="n">
        <f aca="false">IF(AZ38=1,AZ57*IFERROR(INDEX(Twin!$G$77:$BN$77,1,AZ39),0),0)</f>
        <v>0</v>
      </c>
      <c r="BA66" s="48" t="n">
        <f aca="false">IF(BA38=1,BA57*IFERROR(INDEX(Twin!$G$77:$BN$77,1,BA39),0),0)</f>
        <v>0</v>
      </c>
      <c r="BB66" s="48" t="n">
        <f aca="false">IF(BB38=1,BB57*IFERROR(INDEX(Twin!$G$77:$BN$77,1,BB39),0),0)</f>
        <v>0</v>
      </c>
      <c r="BC66" s="48" t="n">
        <f aca="false">IF(BC38=1,BC57*IFERROR(INDEX(Twin!$G$77:$BN$77,1,BC39),0),0)</f>
        <v>0</v>
      </c>
      <c r="BD66" s="48" t="n">
        <f aca="false">IF(BD38=1,BD57*IFERROR(INDEX(Twin!$G$77:$BN$77,1,BD39),0),0)</f>
        <v>0</v>
      </c>
      <c r="BE66" s="48" t="n">
        <f aca="false">IF(BE38=1,BE57*IFERROR(INDEX(Twin!$G$77:$BN$77,1,BE39),0),0)</f>
        <v>0</v>
      </c>
      <c r="BF66" s="48" t="n">
        <f aca="false">IF(BF38=1,BF57*IFERROR(INDEX(Twin!$G$77:$BN$77,1,BF39),0),0)</f>
        <v>0</v>
      </c>
      <c r="BG66" s="48" t="n">
        <f aca="false">IF(BG38=1,BG57*IFERROR(INDEX(Twin!$G$77:$BN$77,1,BG39),0),0)</f>
        <v>0</v>
      </c>
      <c r="BH66" s="48" t="n">
        <f aca="false">IF(BH38=1,BH57*IFERROR(INDEX(Twin!$G$77:$BN$77,1,BH39),0),0)</f>
        <v>0</v>
      </c>
      <c r="BI66" s="48" t="n">
        <f aca="false">IF(BI38=1,BI57*IFERROR(INDEX(Twin!$G$77:$BN$77,1,BI39),0),0)</f>
        <v>0</v>
      </c>
      <c r="BJ66" s="48" t="n">
        <f aca="false">IF(BJ38=1,BJ57*IFERROR(INDEX(Twin!$G$77:$BN$77,1,BJ39),0),0)</f>
        <v>0</v>
      </c>
      <c r="BK66" s="48" t="n">
        <f aca="false">IF(BK38=1,BK57*IFERROR(INDEX(Twin!$G$77:$BN$77,1,BK39),0),0)</f>
        <v>0</v>
      </c>
      <c r="BL66" s="48" t="n">
        <f aca="false">IF(BL38=1,BL57*IFERROR(INDEX(Twin!$G$77:$BN$77,1,BL39),0),0)</f>
        <v>0</v>
      </c>
      <c r="BM66" s="48" t="n">
        <f aca="false">IF(BM38=1,BM57*IFERROR(INDEX(Twin!$G$77:$BN$77,1,BM39),0),0)</f>
        <v>0</v>
      </c>
      <c r="BN66" s="48" t="n">
        <f aca="false">IF(BN38=1,BN57*IFERROR(INDEX(Twin!$G$77:$BN$77,1,BN39),0),0)</f>
        <v>0</v>
      </c>
      <c r="BO66" s="48" t="n">
        <f aca="false">IF(BO38=1,BO57*IFERROR(INDEX(Twin!$G$77:$BN$77,1,BO39),0),0)</f>
        <v>0</v>
      </c>
      <c r="BP66" s="48" t="n">
        <f aca="false">IF(BP38=1,BP57*IFERROR(INDEX(Twin!$G$77:$BN$77,1,BP39),0),0)</f>
        <v>0</v>
      </c>
      <c r="BQ66" s="48" t="n">
        <f aca="false">IF(BQ38=1,BQ57*IFERROR(INDEX(Twin!$G$77:$BN$77,1,BQ39),0),0)</f>
        <v>0</v>
      </c>
      <c r="BR66" s="48" t="n">
        <f aca="false">IF(BR38=1,BR57*IFERROR(INDEX(Twin!$G$77:$BN$77,1,BR39),0),0)</f>
        <v>0</v>
      </c>
      <c r="BS66" s="48" t="n">
        <f aca="false">IF(BS38=1,BS57*IFERROR(INDEX(Twin!$G$77:$BN$77,1,BS39),0),0)</f>
        <v>0</v>
      </c>
      <c r="BT66" s="48" t="n">
        <f aca="false">IF(BT38=1,BT57*IFERROR(INDEX(Twin!$G$77:$BN$77,1,BT39),0),0)</f>
        <v>0</v>
      </c>
      <c r="BU66" s="48" t="n">
        <f aca="false">IF(BU38=1,BU57*IFERROR(INDEX(Twin!$G$77:$BN$77,1,BU39),0),0)</f>
        <v>0</v>
      </c>
      <c r="BV66" s="48" t="n">
        <f aca="false">IF(BV38=1,BV57*IFERROR(INDEX(Twin!$G$77:$BN$77,1,BV39),0),0)</f>
        <v>0</v>
      </c>
      <c r="BW66" s="48" t="n">
        <f aca="false">IF(BW38=1,BW57*IFERROR(INDEX(Twin!$G$77:$BN$77,1,BW39),0),0)</f>
        <v>0</v>
      </c>
      <c r="BX66" s="48" t="n">
        <f aca="false">IF(BX38=1,BX57*IFERROR(INDEX(Twin!$G$77:$BN$77,1,BX39),0),0)</f>
        <v>0</v>
      </c>
    </row>
    <row r="67" customFormat="false" ht="15" hidden="false" customHeight="false" outlineLevel="0" collapsed="false">
      <c r="A67" s="1"/>
      <c r="B67" s="8" t="s">
        <v>422</v>
      </c>
      <c r="C67" s="8" t="s">
        <v>126</v>
      </c>
      <c r="D67" s="44" t="n">
        <f aca="false">SUM(G67:BX67)</f>
        <v>1006.77005114197</v>
      </c>
      <c r="E67" s="1"/>
      <c r="F67" s="1"/>
      <c r="G67" s="48" t="n">
        <f aca="false">G66*G52/1000000</f>
        <v>0</v>
      </c>
      <c r="H67" s="48" t="n">
        <f aca="false">H66*H52/1000000</f>
        <v>0</v>
      </c>
      <c r="I67" s="48" t="n">
        <f aca="false">I66*I52/1000000</f>
        <v>0</v>
      </c>
      <c r="J67" s="48" t="n">
        <f aca="false">J66*J52/1000000</f>
        <v>0</v>
      </c>
      <c r="K67" s="48" t="n">
        <f aca="false">K66*K52/1000000</f>
        <v>55.2199747529007</v>
      </c>
      <c r="L67" s="48" t="n">
        <f aca="false">L66*L52/1000000</f>
        <v>50.2411245702621</v>
      </c>
      <c r="M67" s="48" t="n">
        <f aca="false">M66*M52/1000000</f>
        <v>46.6487396989307</v>
      </c>
      <c r="N67" s="48" t="n">
        <f aca="false">N66*N52/1000000</f>
        <v>42.9242165973609</v>
      </c>
      <c r="O67" s="48" t="n">
        <f aca="false">O66*O52/1000000</f>
        <v>39.2766097790642</v>
      </c>
      <c r="P67" s="48" t="n">
        <f aca="false">P66*P52/1000000</f>
        <v>38.0725741139817</v>
      </c>
      <c r="Q67" s="48" t="n">
        <f aca="false">Q66*Q52/1000000</f>
        <v>36.5322762361283</v>
      </c>
      <c r="R67" s="48" t="n">
        <f aca="false">R66*R52/1000000</f>
        <v>33.8362618967871</v>
      </c>
      <c r="S67" s="48" t="n">
        <f aca="false">S66*S52/1000000</f>
        <v>33.037515878182</v>
      </c>
      <c r="T67" s="48" t="n">
        <f aca="false">T66*T52/1000000</f>
        <v>31.8689800361486</v>
      </c>
      <c r="U67" s="48" t="n">
        <f aca="false">U66*U52/1000000</f>
        <v>31.6855642837281</v>
      </c>
      <c r="V67" s="48" t="n">
        <f aca="false">V66*V52/1000000</f>
        <v>31.5080651684825</v>
      </c>
      <c r="W67" s="48" t="n">
        <f aca="false">W66*W52/1000000</f>
        <v>31.4193156108597</v>
      </c>
      <c r="X67" s="48" t="n">
        <f aca="false">X66*X52/1000000</f>
        <v>31.3157744602998</v>
      </c>
      <c r="Y67" s="48" t="n">
        <f aca="false">Y66*Y52/1000000</f>
        <v>30.5673198576809</v>
      </c>
      <c r="Z67" s="48" t="n">
        <f aca="false">Z66*Z52/1000000</f>
        <v>30.149210830658</v>
      </c>
      <c r="AA67" s="48" t="n">
        <f aca="false">AA66*AA52/1000000</f>
        <v>30.149210830658</v>
      </c>
      <c r="AB67" s="48" t="n">
        <f aca="false">AB66*AB52/1000000</f>
        <v>29.7587127771177</v>
      </c>
      <c r="AC67" s="48" t="n">
        <f aca="false">AC66*AC52/1000000</f>
        <v>29.3977979094517</v>
      </c>
      <c r="AD67" s="48" t="n">
        <f aca="false">AD66*AD52/1000000</f>
        <v>29.3977979094517</v>
      </c>
      <c r="AE67" s="48" t="n">
        <f aca="false">AE66*AE52/1000000</f>
        <v>29.3977979094517</v>
      </c>
      <c r="AF67" s="48" t="n">
        <f aca="false">AF66*AF52/1000000</f>
        <v>29.3977979094517</v>
      </c>
      <c r="AG67" s="48" t="n">
        <f aca="false">AG66*AG52/1000000</f>
        <v>29.3879368474936</v>
      </c>
      <c r="AH67" s="48" t="n">
        <f aca="false">AH66*AH52/1000000</f>
        <v>29.3879368474936</v>
      </c>
      <c r="AI67" s="48" t="n">
        <f aca="false">AI66*AI52/1000000</f>
        <v>29.3879368474936</v>
      </c>
      <c r="AJ67" s="48" t="n">
        <f aca="false">AJ66*AJ52/1000000</f>
        <v>29.3879368474936</v>
      </c>
      <c r="AK67" s="48" t="n">
        <f aca="false">AK66*AK52/1000000</f>
        <v>29.3879368474936</v>
      </c>
      <c r="AL67" s="48" t="n">
        <f aca="false">AL66*AL52/1000000</f>
        <v>29.2834095907379</v>
      </c>
      <c r="AM67" s="48" t="n">
        <f aca="false">AM66*AM52/1000000</f>
        <v>29.2834095907379</v>
      </c>
      <c r="AN67" s="48" t="n">
        <f aca="false">AN66*AN52/1000000</f>
        <v>29.4609087059835</v>
      </c>
      <c r="AO67" s="48" t="n">
        <f aca="false">AO66*AO52/1000000</f>
        <v>0</v>
      </c>
      <c r="AP67" s="48" t="n">
        <f aca="false">AP66*AP52/1000000</f>
        <v>0</v>
      </c>
      <c r="AQ67" s="48" t="n">
        <f aca="false">AQ66*AQ52/1000000</f>
        <v>0</v>
      </c>
      <c r="AR67" s="48" t="n">
        <f aca="false">AR66*AR52/1000000</f>
        <v>0</v>
      </c>
      <c r="AS67" s="48" t="n">
        <f aca="false">AS66*AS52/1000000</f>
        <v>0</v>
      </c>
      <c r="AT67" s="48" t="n">
        <f aca="false">AT66*AT52/1000000</f>
        <v>0</v>
      </c>
      <c r="AU67" s="48" t="n">
        <f aca="false">AU66*AU52/1000000</f>
        <v>0</v>
      </c>
      <c r="AV67" s="48" t="n">
        <f aca="false">AV66*AV52/1000000</f>
        <v>0</v>
      </c>
      <c r="AW67" s="48" t="n">
        <f aca="false">AW66*AW52/1000000</f>
        <v>0</v>
      </c>
      <c r="AX67" s="48" t="n">
        <f aca="false">AX66*AX52/1000000</f>
        <v>0</v>
      </c>
      <c r="AY67" s="48" t="n">
        <f aca="false">AY66*AY52/1000000</f>
        <v>0</v>
      </c>
      <c r="AZ67" s="48" t="n">
        <f aca="false">AZ66*AZ52/1000000</f>
        <v>0</v>
      </c>
      <c r="BA67" s="48" t="n">
        <f aca="false">BA66*BA52/1000000</f>
        <v>0</v>
      </c>
      <c r="BB67" s="48" t="n">
        <f aca="false">BB66*BB52/1000000</f>
        <v>0</v>
      </c>
      <c r="BC67" s="48" t="n">
        <f aca="false">BC66*BC52/1000000</f>
        <v>0</v>
      </c>
      <c r="BD67" s="48" t="n">
        <f aca="false">BD66*BD52/1000000</f>
        <v>0</v>
      </c>
      <c r="BE67" s="48" t="n">
        <f aca="false">BE66*BE52/1000000</f>
        <v>0</v>
      </c>
      <c r="BF67" s="48" t="n">
        <f aca="false">BF66*BF52/1000000</f>
        <v>0</v>
      </c>
      <c r="BG67" s="48" t="n">
        <f aca="false">BG66*BG52/1000000</f>
        <v>0</v>
      </c>
      <c r="BH67" s="48" t="n">
        <f aca="false">BH66*BH52/1000000</f>
        <v>0</v>
      </c>
      <c r="BI67" s="48" t="n">
        <f aca="false">BI66*BI52/1000000</f>
        <v>0</v>
      </c>
      <c r="BJ67" s="48" t="n">
        <f aca="false">BJ66*BJ52/1000000</f>
        <v>0</v>
      </c>
      <c r="BK67" s="48" t="n">
        <f aca="false">BK66*BK52/1000000</f>
        <v>0</v>
      </c>
      <c r="BL67" s="48" t="n">
        <f aca="false">BL66*BL52/1000000</f>
        <v>0</v>
      </c>
      <c r="BM67" s="48" t="n">
        <f aca="false">BM66*BM52/1000000</f>
        <v>0</v>
      </c>
      <c r="BN67" s="48" t="n">
        <f aca="false">BN66*BN52/1000000</f>
        <v>0</v>
      </c>
      <c r="BO67" s="48" t="n">
        <f aca="false">BO66*BO52/1000000</f>
        <v>0</v>
      </c>
      <c r="BP67" s="48" t="n">
        <f aca="false">BP66*BP52/1000000</f>
        <v>0</v>
      </c>
      <c r="BQ67" s="48" t="n">
        <f aca="false">BQ66*BQ52/1000000</f>
        <v>0</v>
      </c>
      <c r="BR67" s="48" t="n">
        <f aca="false">BR66*BR52/1000000</f>
        <v>0</v>
      </c>
      <c r="BS67" s="48" t="n">
        <f aca="false">BS66*BS52/1000000</f>
        <v>0</v>
      </c>
      <c r="BT67" s="48" t="n">
        <f aca="false">BT66*BT52/1000000</f>
        <v>0</v>
      </c>
      <c r="BU67" s="48" t="n">
        <f aca="false">BU66*BU52/1000000</f>
        <v>0</v>
      </c>
      <c r="BV67" s="48" t="n">
        <f aca="false">BV66*BV52/1000000</f>
        <v>0</v>
      </c>
      <c r="BW67" s="48" t="n">
        <f aca="false">BW66*BW52/1000000</f>
        <v>0</v>
      </c>
      <c r="BX67" s="48" t="n">
        <f aca="false">BX66*BX52/1000000</f>
        <v>0</v>
      </c>
    </row>
    <row r="68" customFormat="false" ht="15" hidden="false" customHeight="false" outlineLevel="0" collapsed="false">
      <c r="A68" s="1"/>
      <c r="B68" s="8" t="s">
        <v>423</v>
      </c>
      <c r="C68" s="8" t="s">
        <v>424</v>
      </c>
      <c r="D68" s="44" t="n">
        <f aca="false">SUM(G68:BX68)</f>
        <v>1495985.72043762</v>
      </c>
      <c r="E68" s="1"/>
      <c r="F68" s="1"/>
      <c r="G68" s="48" t="n">
        <f aca="false">G66*$D$26</f>
        <v>0</v>
      </c>
      <c r="H68" s="48" t="n">
        <f aca="false">H66*$D$26</f>
        <v>0</v>
      </c>
      <c r="I68" s="48" t="n">
        <f aca="false">I66*$D$26</f>
        <v>0</v>
      </c>
      <c r="J68" s="48" t="n">
        <f aca="false">J66*$D$26</f>
        <v>0</v>
      </c>
      <c r="K68" s="48" t="n">
        <f aca="false">K66*$D$26</f>
        <v>82052.7921143103</v>
      </c>
      <c r="L68" s="48" t="n">
        <f aca="false">L66*$D$26</f>
        <v>74654.5895466266</v>
      </c>
      <c r="M68" s="48" t="n">
        <f aca="false">M66*$D$26</f>
        <v>69316.5717304111</v>
      </c>
      <c r="N68" s="48" t="n">
        <f aca="false">N66*$D$26</f>
        <v>63782.2062920785</v>
      </c>
      <c r="O68" s="48" t="n">
        <f aca="false">O66*$D$26</f>
        <v>58362.1327531872</v>
      </c>
      <c r="P68" s="48" t="n">
        <f aca="false">P66*$D$26</f>
        <v>56573.0249427016</v>
      </c>
      <c r="Q68" s="48" t="n">
        <f aca="false">Q66*$D$26</f>
        <v>54284.2563923507</v>
      </c>
      <c r="R68" s="48" t="n">
        <f aca="false">R66*$D$26</f>
        <v>50278.1787888555</v>
      </c>
      <c r="S68" s="48" t="n">
        <f aca="false">S66*$D$26</f>
        <v>49091.30137158</v>
      </c>
      <c r="T68" s="48" t="n">
        <f aca="false">T66*$D$26</f>
        <v>47354.9436685289</v>
      </c>
      <c r="U68" s="48" t="n">
        <f aca="false">U66*$D$26</f>
        <v>47082.4014467841</v>
      </c>
      <c r="V68" s="48" t="n">
        <f aca="false">V66*$D$26</f>
        <v>46818.6509096118</v>
      </c>
      <c r="W68" s="48" t="n">
        <f aca="false">W66*$D$26</f>
        <v>46686.7756410257</v>
      </c>
      <c r="X68" s="48" t="n">
        <f aca="false">X66*$D$26</f>
        <v>46532.9211610084</v>
      </c>
      <c r="Y68" s="48" t="n">
        <f aca="false">Y66*$D$26</f>
        <v>45420.7730625985</v>
      </c>
      <c r="Z68" s="48" t="n">
        <f aca="false">Z66*$D$26</f>
        <v>44799.4940194814</v>
      </c>
      <c r="AA68" s="48" t="n">
        <f aca="false">AA66*$D$26</f>
        <v>44799.4940194814</v>
      </c>
      <c r="AB68" s="48" t="n">
        <f aca="false">AB66*$D$26</f>
        <v>44219.2428377023</v>
      </c>
      <c r="AC68" s="48" t="n">
        <f aca="false">AC66*$D$26</f>
        <v>43682.9500787853</v>
      </c>
      <c r="AD68" s="48" t="n">
        <f aca="false">AD66*$D$26</f>
        <v>43682.9500787853</v>
      </c>
      <c r="AE68" s="48" t="n">
        <f aca="false">AE66*$D$26</f>
        <v>43682.9500787853</v>
      </c>
      <c r="AF68" s="48" t="n">
        <f aca="false">AF66*$D$26</f>
        <v>43682.9500787853</v>
      </c>
      <c r="AG68" s="48" t="n">
        <f aca="false">AG66*$D$26</f>
        <v>43668.2972711646</v>
      </c>
      <c r="AH68" s="48" t="n">
        <f aca="false">AH66*$D$26</f>
        <v>43668.2972711646</v>
      </c>
      <c r="AI68" s="48" t="n">
        <f aca="false">AI66*$D$26</f>
        <v>43668.2972711646</v>
      </c>
      <c r="AJ68" s="48" t="n">
        <f aca="false">AJ66*$D$26</f>
        <v>43668.2972711646</v>
      </c>
      <c r="AK68" s="48" t="n">
        <f aca="false">AK66*$D$26</f>
        <v>43668.2972711646</v>
      </c>
      <c r="AL68" s="48" t="n">
        <f aca="false">AL66*$D$26</f>
        <v>43512.9775103853</v>
      </c>
      <c r="AM68" s="48" t="n">
        <f aca="false">AM66*$D$26</f>
        <v>43512.9775103853</v>
      </c>
      <c r="AN68" s="48" t="n">
        <f aca="false">AN66*$D$26</f>
        <v>43776.7280475577</v>
      </c>
      <c r="AO68" s="48" t="n">
        <f aca="false">AO66*$D$26</f>
        <v>0</v>
      </c>
      <c r="AP68" s="48" t="n">
        <f aca="false">AP66*$D$26</f>
        <v>0</v>
      </c>
      <c r="AQ68" s="48" t="n">
        <f aca="false">AQ66*$D$26</f>
        <v>0</v>
      </c>
      <c r="AR68" s="48" t="n">
        <f aca="false">AR66*$D$26</f>
        <v>0</v>
      </c>
      <c r="AS68" s="48" t="n">
        <f aca="false">AS66*$D$26</f>
        <v>0</v>
      </c>
      <c r="AT68" s="48" t="n">
        <f aca="false">AT66*$D$26</f>
        <v>0</v>
      </c>
      <c r="AU68" s="48" t="n">
        <f aca="false">AU66*$D$26</f>
        <v>0</v>
      </c>
      <c r="AV68" s="48" t="n">
        <f aca="false">AV66*$D$26</f>
        <v>0</v>
      </c>
      <c r="AW68" s="48" t="n">
        <f aca="false">AW66*$D$26</f>
        <v>0</v>
      </c>
      <c r="AX68" s="48" t="n">
        <f aca="false">AX66*$D$26</f>
        <v>0</v>
      </c>
      <c r="AY68" s="48" t="n">
        <f aca="false">AY66*$D$26</f>
        <v>0</v>
      </c>
      <c r="AZ68" s="48" t="n">
        <f aca="false">AZ66*$D$26</f>
        <v>0</v>
      </c>
      <c r="BA68" s="48" t="n">
        <f aca="false">BA66*$D$26</f>
        <v>0</v>
      </c>
      <c r="BB68" s="48" t="n">
        <f aca="false">BB66*$D$26</f>
        <v>0</v>
      </c>
      <c r="BC68" s="48" t="n">
        <f aca="false">BC66*$D$26</f>
        <v>0</v>
      </c>
      <c r="BD68" s="48" t="n">
        <f aca="false">BD66*$D$26</f>
        <v>0</v>
      </c>
      <c r="BE68" s="48" t="n">
        <f aca="false">BE66*$D$26</f>
        <v>0</v>
      </c>
      <c r="BF68" s="48" t="n">
        <f aca="false">BF66*$D$26</f>
        <v>0</v>
      </c>
      <c r="BG68" s="48" t="n">
        <f aca="false">BG66*$D$26</f>
        <v>0</v>
      </c>
      <c r="BH68" s="48" t="n">
        <f aca="false">BH66*$D$26</f>
        <v>0</v>
      </c>
      <c r="BI68" s="48" t="n">
        <f aca="false">BI66*$D$26</f>
        <v>0</v>
      </c>
      <c r="BJ68" s="48" t="n">
        <f aca="false">BJ66*$D$26</f>
        <v>0</v>
      </c>
      <c r="BK68" s="48" t="n">
        <f aca="false">BK66*$D$26</f>
        <v>0</v>
      </c>
      <c r="BL68" s="48" t="n">
        <f aca="false">BL66*$D$26</f>
        <v>0</v>
      </c>
      <c r="BM68" s="48" t="n">
        <f aca="false">BM66*$D$26</f>
        <v>0</v>
      </c>
      <c r="BN68" s="48" t="n">
        <f aca="false">BN66*$D$26</f>
        <v>0</v>
      </c>
      <c r="BO68" s="48" t="n">
        <f aca="false">BO66*$D$26</f>
        <v>0</v>
      </c>
      <c r="BP68" s="48" t="n">
        <f aca="false">BP66*$D$26</f>
        <v>0</v>
      </c>
      <c r="BQ68" s="48" t="n">
        <f aca="false">BQ66*$D$26</f>
        <v>0</v>
      </c>
      <c r="BR68" s="48" t="n">
        <f aca="false">BR66*$D$26</f>
        <v>0</v>
      </c>
      <c r="BS68" s="48" t="n">
        <f aca="false">BS66*$D$26</f>
        <v>0</v>
      </c>
      <c r="BT68" s="48" t="n">
        <f aca="false">BT66*$D$26</f>
        <v>0</v>
      </c>
      <c r="BU68" s="48" t="n">
        <f aca="false">BU66*$D$26</f>
        <v>0</v>
      </c>
      <c r="BV68" s="48" t="n">
        <f aca="false">BV66*$D$26</f>
        <v>0</v>
      </c>
      <c r="BW68" s="48" t="n">
        <f aca="false">BW66*$D$26</f>
        <v>0</v>
      </c>
      <c r="BX68" s="48" t="n">
        <f aca="false">BX66*$D$26</f>
        <v>0</v>
      </c>
    </row>
    <row r="69" customFormat="false" ht="15" hidden="false" customHeight="false" outlineLevel="0" collapsed="false">
      <c r="A69" s="1"/>
      <c r="B69" s="8" t="s">
        <v>425</v>
      </c>
      <c r="C69" s="8" t="s">
        <v>126</v>
      </c>
      <c r="D69" s="44" t="n">
        <f aca="false">SUM(G69:BX69)</f>
        <v>942.75920112692</v>
      </c>
      <c r="E69" s="1"/>
      <c r="F69" s="1"/>
      <c r="G69" s="48" t="n">
        <f aca="false">G68*G53/1000000</f>
        <v>0</v>
      </c>
      <c r="H69" s="48" t="n">
        <f aca="false">H68*H53/1000000</f>
        <v>0</v>
      </c>
      <c r="I69" s="48" t="n">
        <f aca="false">I68*I53/1000000</f>
        <v>0</v>
      </c>
      <c r="J69" s="48" t="n">
        <f aca="false">J68*J53/1000000</f>
        <v>0</v>
      </c>
      <c r="K69" s="48" t="n">
        <f aca="false">K68*K53/1000000</f>
        <v>42.9625137398844</v>
      </c>
      <c r="L69" s="48" t="n">
        <f aca="false">L68*L53/1000000</f>
        <v>40.7175463210995</v>
      </c>
      <c r="M69" s="48" t="n">
        <f aca="false">M68*M53/1000000</f>
        <v>39.3183696660694</v>
      </c>
      <c r="N69" s="48" t="n">
        <f aca="false">N68*N53/1000000</f>
        <v>37.5706215964205</v>
      </c>
      <c r="O69" s="48" t="n">
        <f aca="false">O68*O53/1000000</f>
        <v>35.6512091378774</v>
      </c>
      <c r="P69" s="48" t="n">
        <f aca="false">P68*P53/1000000</f>
        <v>35.0520013220136</v>
      </c>
      <c r="Q69" s="48" t="n">
        <f aca="false">Q68*Q53/1000000</f>
        <v>34.1076234120111</v>
      </c>
      <c r="R69" s="48" t="n">
        <f aca="false">R68*R53/1000000</f>
        <v>32.0293015163743</v>
      </c>
      <c r="S69" s="48" t="n">
        <f aca="false">S68*S53/1000000</f>
        <v>31.701611140643</v>
      </c>
      <c r="T69" s="48" t="n">
        <f aca="false">T68*T53/1000000</f>
        <v>30.9935738563338</v>
      </c>
      <c r="U69" s="48" t="n">
        <f aca="false">U68*U53/1000000</f>
        <v>30.815196334913</v>
      </c>
      <c r="V69" s="48" t="n">
        <f aca="false">V68*V53/1000000</f>
        <v>30.6425729270864</v>
      </c>
      <c r="W69" s="48" t="n">
        <f aca="false">W68*W53/1000000</f>
        <v>30.5562612231731</v>
      </c>
      <c r="X69" s="48" t="n">
        <f aca="false">X68*X53/1000000</f>
        <v>30.4555642352742</v>
      </c>
      <c r="Y69" s="48" t="n">
        <f aca="false">Y68*Y53/1000000</f>
        <v>29.7276688656054</v>
      </c>
      <c r="Z69" s="48" t="n">
        <f aca="false">Z68*Z53/1000000</f>
        <v>29.3210448382805</v>
      </c>
      <c r="AA69" s="48" t="n">
        <f aca="false">AA68*AA53/1000000</f>
        <v>29.3210448382805</v>
      </c>
      <c r="AB69" s="48" t="n">
        <f aca="false">AB68*AB53/1000000</f>
        <v>28.941273341062</v>
      </c>
      <c r="AC69" s="48" t="n">
        <f aca="false">AC68*AC53/1000000</f>
        <v>28.5902724118146</v>
      </c>
      <c r="AD69" s="48" t="n">
        <f aca="false">AD68*AD53/1000000</f>
        <v>28.5902724118146</v>
      </c>
      <c r="AE69" s="48" t="n">
        <f aca="false">AE68*AE53/1000000</f>
        <v>28.5902724118146</v>
      </c>
      <c r="AF69" s="48" t="n">
        <f aca="false">AF68*AF53/1000000</f>
        <v>28.5902724118146</v>
      </c>
      <c r="AG69" s="48" t="n">
        <f aca="false">AG68*AG53/1000000</f>
        <v>28.5806822224909</v>
      </c>
      <c r="AH69" s="48" t="n">
        <f aca="false">AH68*AH53/1000000</f>
        <v>28.5806822224909</v>
      </c>
      <c r="AI69" s="48" t="n">
        <f aca="false">AI68*AI53/1000000</f>
        <v>28.5806822224909</v>
      </c>
      <c r="AJ69" s="48" t="n">
        <f aca="false">AJ68*AJ53/1000000</f>
        <v>28.5806822224909</v>
      </c>
      <c r="AK69" s="48" t="n">
        <f aca="false">AK68*AK53/1000000</f>
        <v>28.5806822224909</v>
      </c>
      <c r="AL69" s="48" t="n">
        <f aca="false">AL68*AL53/1000000</f>
        <v>28.4790262156596</v>
      </c>
      <c r="AM69" s="48" t="n">
        <f aca="false">AM68*AM53/1000000</f>
        <v>28.4790262156596</v>
      </c>
      <c r="AN69" s="48" t="n">
        <f aca="false">AN68*AN53/1000000</f>
        <v>28.6516496234863</v>
      </c>
      <c r="AO69" s="48" t="n">
        <f aca="false">AO68*AO53/1000000</f>
        <v>0</v>
      </c>
      <c r="AP69" s="48" t="n">
        <f aca="false">AP68*AP53/1000000</f>
        <v>0</v>
      </c>
      <c r="AQ69" s="48" t="n">
        <f aca="false">AQ68*AQ53/1000000</f>
        <v>0</v>
      </c>
      <c r="AR69" s="48" t="n">
        <f aca="false">AR68*AR53/1000000</f>
        <v>0</v>
      </c>
      <c r="AS69" s="48" t="n">
        <f aca="false">AS68*AS53/1000000</f>
        <v>0</v>
      </c>
      <c r="AT69" s="48" t="n">
        <f aca="false">AT68*AT53/1000000</f>
        <v>0</v>
      </c>
      <c r="AU69" s="48" t="n">
        <f aca="false">AU68*AU53/1000000</f>
        <v>0</v>
      </c>
      <c r="AV69" s="48" t="n">
        <f aca="false">AV68*AV53/1000000</f>
        <v>0</v>
      </c>
      <c r="AW69" s="48" t="n">
        <f aca="false">AW68*AW53/1000000</f>
        <v>0</v>
      </c>
      <c r="AX69" s="48" t="n">
        <f aca="false">AX68*AX53/1000000</f>
        <v>0</v>
      </c>
      <c r="AY69" s="48" t="n">
        <f aca="false">AY68*AY53/1000000</f>
        <v>0</v>
      </c>
      <c r="AZ69" s="48" t="n">
        <f aca="false">AZ68*AZ53/1000000</f>
        <v>0</v>
      </c>
      <c r="BA69" s="48" t="n">
        <f aca="false">BA68*BA53/1000000</f>
        <v>0</v>
      </c>
      <c r="BB69" s="48" t="n">
        <f aca="false">BB68*BB53/1000000</f>
        <v>0</v>
      </c>
      <c r="BC69" s="48" t="n">
        <f aca="false">BC68*BC53/1000000</f>
        <v>0</v>
      </c>
      <c r="BD69" s="48" t="n">
        <f aca="false">BD68*BD53/1000000</f>
        <v>0</v>
      </c>
      <c r="BE69" s="48" t="n">
        <f aca="false">BE68*BE53/1000000</f>
        <v>0</v>
      </c>
      <c r="BF69" s="48" t="n">
        <f aca="false">BF68*BF53/1000000</f>
        <v>0</v>
      </c>
      <c r="BG69" s="48" t="n">
        <f aca="false">BG68*BG53/1000000</f>
        <v>0</v>
      </c>
      <c r="BH69" s="48" t="n">
        <f aca="false">BH68*BH53/1000000</f>
        <v>0</v>
      </c>
      <c r="BI69" s="48" t="n">
        <f aca="false">BI68*BI53/1000000</f>
        <v>0</v>
      </c>
      <c r="BJ69" s="48" t="n">
        <f aca="false">BJ68*BJ53/1000000</f>
        <v>0</v>
      </c>
      <c r="BK69" s="48" t="n">
        <f aca="false">BK68*BK53/1000000</f>
        <v>0</v>
      </c>
      <c r="BL69" s="48" t="n">
        <f aca="false">BL68*BL53/1000000</f>
        <v>0</v>
      </c>
      <c r="BM69" s="48" t="n">
        <f aca="false">BM68*BM53/1000000</f>
        <v>0</v>
      </c>
      <c r="BN69" s="48" t="n">
        <f aca="false">BN68*BN53/1000000</f>
        <v>0</v>
      </c>
      <c r="BO69" s="48" t="n">
        <f aca="false">BO68*BO53/1000000</f>
        <v>0</v>
      </c>
      <c r="BP69" s="48" t="n">
        <f aca="false">BP68*BP53/1000000</f>
        <v>0</v>
      </c>
      <c r="BQ69" s="48" t="n">
        <f aca="false">BQ68*BQ53/1000000</f>
        <v>0</v>
      </c>
      <c r="BR69" s="48" t="n">
        <f aca="false">BR68*BR53/1000000</f>
        <v>0</v>
      </c>
      <c r="BS69" s="48" t="n">
        <f aca="false">BS68*BS53/1000000</f>
        <v>0</v>
      </c>
      <c r="BT69" s="48" t="n">
        <f aca="false">BT68*BT53/1000000</f>
        <v>0</v>
      </c>
      <c r="BU69" s="48" t="n">
        <f aca="false">BU68*BU53/1000000</f>
        <v>0</v>
      </c>
      <c r="BV69" s="48" t="n">
        <f aca="false">BV68*BV53/1000000</f>
        <v>0</v>
      </c>
      <c r="BW69" s="48" t="n">
        <f aca="false">BW68*BW53/1000000</f>
        <v>0</v>
      </c>
      <c r="BX69" s="48" t="n">
        <f aca="false">BX68*BX53/1000000</f>
        <v>0</v>
      </c>
    </row>
    <row r="70" customFormat="false" ht="15" hidden="false" customHeight="false" outlineLevel="0" collapsed="false">
      <c r="A70" s="1"/>
      <c r="B70" s="8" t="s">
        <v>335</v>
      </c>
      <c r="C70" s="8" t="s">
        <v>126</v>
      </c>
      <c r="D70" s="44" t="n">
        <f aca="false">SUM(G70:BX70)</f>
        <v>58.7613</v>
      </c>
      <c r="E70" s="1"/>
      <c r="F70" s="1"/>
      <c r="G70" s="48" t="n">
        <f aca="false">G57*$D$15/1000000</f>
        <v>0</v>
      </c>
      <c r="H70" s="48" t="n">
        <f aca="false">H57*$D$15/1000000</f>
        <v>0</v>
      </c>
      <c r="I70" s="48" t="n">
        <f aca="false">I57*$D$15/1000000</f>
        <v>0</v>
      </c>
      <c r="J70" s="48" t="n">
        <f aca="false">J57*$D$15/1000000</f>
        <v>0</v>
      </c>
      <c r="K70" s="48" t="n">
        <f aca="false">K57*$D$15/1000000</f>
        <v>3.2091</v>
      </c>
      <c r="L70" s="48" t="n">
        <f aca="false">L57*$D$15/1000000</f>
        <v>2.9241</v>
      </c>
      <c r="M70" s="48" t="n">
        <f aca="false">M57*$D$15/1000000</f>
        <v>2.7189</v>
      </c>
      <c r="N70" s="48" t="n">
        <f aca="false">N57*$D$15/1000000</f>
        <v>2.5023</v>
      </c>
      <c r="O70" s="48" t="n">
        <f aca="false">O57*$D$15/1000000</f>
        <v>2.2914</v>
      </c>
      <c r="P70" s="48" t="n">
        <f aca="false">P57*$D$15/1000000</f>
        <v>2.223</v>
      </c>
      <c r="Q70" s="48" t="n">
        <f aca="false">Q57*$D$15/1000000</f>
        <v>2.1318</v>
      </c>
      <c r="R70" s="48" t="n">
        <f aca="false">R57*$D$15/1000000</f>
        <v>1.9779</v>
      </c>
      <c r="S70" s="48" t="n">
        <f aca="false">S57*$D$15/1000000</f>
        <v>1.9323</v>
      </c>
      <c r="T70" s="48" t="n">
        <f aca="false">T57*$D$15/1000000</f>
        <v>1.8639</v>
      </c>
      <c r="U70" s="48" t="n">
        <f aca="false">U57*$D$15/1000000</f>
        <v>1.8525</v>
      </c>
      <c r="V70" s="48" t="n">
        <f aca="false">V57*$D$15/1000000</f>
        <v>1.8411</v>
      </c>
      <c r="W70" s="48" t="n">
        <f aca="false">W57*$D$15/1000000</f>
        <v>1.8354</v>
      </c>
      <c r="X70" s="48" t="n">
        <f aca="false">X57*$D$15/1000000</f>
        <v>1.8297</v>
      </c>
      <c r="Y70" s="48" t="n">
        <f aca="false">Y57*$D$15/1000000</f>
        <v>1.7841</v>
      </c>
      <c r="Z70" s="48" t="n">
        <f aca="false">Z57*$D$15/1000000</f>
        <v>1.7613</v>
      </c>
      <c r="AA70" s="48" t="n">
        <f aca="false">AA57*$D$15/1000000</f>
        <v>1.7613</v>
      </c>
      <c r="AB70" s="48" t="n">
        <f aca="false">AB57*$D$15/1000000</f>
        <v>1.7385</v>
      </c>
      <c r="AC70" s="48" t="n">
        <f aca="false">AC57*$D$15/1000000</f>
        <v>1.7157</v>
      </c>
      <c r="AD70" s="48" t="n">
        <f aca="false">AD57*$D$15/1000000</f>
        <v>1.7157</v>
      </c>
      <c r="AE70" s="48" t="n">
        <f aca="false">AE57*$D$15/1000000</f>
        <v>1.7157</v>
      </c>
      <c r="AF70" s="48" t="n">
        <f aca="false">AF57*$D$15/1000000</f>
        <v>1.7157</v>
      </c>
      <c r="AG70" s="48" t="n">
        <f aca="false">AG57*$D$15/1000000</f>
        <v>1.7157</v>
      </c>
      <c r="AH70" s="48" t="n">
        <f aca="false">AH57*$D$15/1000000</f>
        <v>1.7157</v>
      </c>
      <c r="AI70" s="48" t="n">
        <f aca="false">AI57*$D$15/1000000</f>
        <v>1.7157</v>
      </c>
      <c r="AJ70" s="48" t="n">
        <f aca="false">AJ57*$D$15/1000000</f>
        <v>1.7157</v>
      </c>
      <c r="AK70" s="48" t="n">
        <f aca="false">AK57*$D$15/1000000</f>
        <v>1.7157</v>
      </c>
      <c r="AL70" s="48" t="n">
        <f aca="false">AL57*$D$15/1000000</f>
        <v>1.71</v>
      </c>
      <c r="AM70" s="48" t="n">
        <f aca="false">AM57*$D$15/1000000</f>
        <v>1.71</v>
      </c>
      <c r="AN70" s="48" t="n">
        <f aca="false">AN57*$D$15/1000000</f>
        <v>1.7214</v>
      </c>
      <c r="AO70" s="48" t="n">
        <f aca="false">AO57*$D$15/1000000</f>
        <v>0</v>
      </c>
      <c r="AP70" s="48" t="n">
        <f aca="false">AP57*$D$15/1000000</f>
        <v>0</v>
      </c>
      <c r="AQ70" s="48" t="n">
        <f aca="false">AQ57*$D$15/1000000</f>
        <v>0</v>
      </c>
      <c r="AR70" s="48" t="n">
        <f aca="false">AR57*$D$15/1000000</f>
        <v>0</v>
      </c>
      <c r="AS70" s="48" t="n">
        <f aca="false">AS57*$D$15/1000000</f>
        <v>0</v>
      </c>
      <c r="AT70" s="48" t="n">
        <f aca="false">AT57*$D$15/1000000</f>
        <v>0</v>
      </c>
      <c r="AU70" s="48" t="n">
        <f aca="false">AU57*$D$15/1000000</f>
        <v>0</v>
      </c>
      <c r="AV70" s="48" t="n">
        <f aca="false">AV57*$D$15/1000000</f>
        <v>0</v>
      </c>
      <c r="AW70" s="48" t="n">
        <f aca="false">AW57*$D$15/1000000</f>
        <v>0</v>
      </c>
      <c r="AX70" s="48" t="n">
        <f aca="false">AX57*$D$15/1000000</f>
        <v>0</v>
      </c>
      <c r="AY70" s="48" t="n">
        <f aca="false">AY57*$D$15/1000000</f>
        <v>0</v>
      </c>
      <c r="AZ70" s="48" t="n">
        <f aca="false">AZ57*$D$15/1000000</f>
        <v>0</v>
      </c>
      <c r="BA70" s="48" t="n">
        <f aca="false">BA57*$D$15/1000000</f>
        <v>0</v>
      </c>
      <c r="BB70" s="48" t="n">
        <f aca="false">BB57*$D$15/1000000</f>
        <v>0</v>
      </c>
      <c r="BC70" s="48" t="n">
        <f aca="false">BC57*$D$15/1000000</f>
        <v>0</v>
      </c>
      <c r="BD70" s="48" t="n">
        <f aca="false">BD57*$D$15/1000000</f>
        <v>0</v>
      </c>
      <c r="BE70" s="48" t="n">
        <f aca="false">BE57*$D$15/1000000</f>
        <v>0</v>
      </c>
      <c r="BF70" s="48" t="n">
        <f aca="false">BF57*$D$15/1000000</f>
        <v>0</v>
      </c>
      <c r="BG70" s="48" t="n">
        <f aca="false">BG57*$D$15/1000000</f>
        <v>0</v>
      </c>
      <c r="BH70" s="48" t="n">
        <f aca="false">BH57*$D$15/1000000</f>
        <v>0</v>
      </c>
      <c r="BI70" s="48" t="n">
        <f aca="false">BI57*$D$15/1000000</f>
        <v>0</v>
      </c>
      <c r="BJ70" s="48" t="n">
        <f aca="false">BJ57*$D$15/1000000</f>
        <v>0</v>
      </c>
      <c r="BK70" s="48" t="n">
        <f aca="false">BK57*$D$15/1000000</f>
        <v>0</v>
      </c>
      <c r="BL70" s="48" t="n">
        <f aca="false">BL57*$D$15/1000000</f>
        <v>0</v>
      </c>
      <c r="BM70" s="48" t="n">
        <f aca="false">BM57*$D$15/1000000</f>
        <v>0</v>
      </c>
      <c r="BN70" s="48" t="n">
        <f aca="false">BN57*$D$15/1000000</f>
        <v>0</v>
      </c>
      <c r="BO70" s="48" t="n">
        <f aca="false">BO57*$D$15/1000000</f>
        <v>0</v>
      </c>
      <c r="BP70" s="48" t="n">
        <f aca="false">BP57*$D$15/1000000</f>
        <v>0</v>
      </c>
      <c r="BQ70" s="48" t="n">
        <f aca="false">BQ57*$D$15/1000000</f>
        <v>0</v>
      </c>
      <c r="BR70" s="48" t="n">
        <f aca="false">BR57*$D$15/1000000</f>
        <v>0</v>
      </c>
      <c r="BS70" s="48" t="n">
        <f aca="false">BS57*$D$15/1000000</f>
        <v>0</v>
      </c>
      <c r="BT70" s="48" t="n">
        <f aca="false">BT57*$D$15/1000000</f>
        <v>0</v>
      </c>
      <c r="BU70" s="48" t="n">
        <f aca="false">BU57*$D$15/1000000</f>
        <v>0</v>
      </c>
      <c r="BV70" s="48" t="n">
        <f aca="false">BV57*$D$15/1000000</f>
        <v>0</v>
      </c>
      <c r="BW70" s="48" t="n">
        <f aca="false">BW57*$D$15/1000000</f>
        <v>0</v>
      </c>
      <c r="BX70" s="48" t="n">
        <f aca="false">BX57*$D$15/1000000</f>
        <v>0</v>
      </c>
    </row>
    <row r="71" customFormat="false" ht="15" hidden="false" customHeight="false" outlineLevel="0" collapsed="false">
      <c r="A71" s="1"/>
      <c r="B71" s="8" t="s">
        <v>426</v>
      </c>
      <c r="C71" s="8" t="s">
        <v>126</v>
      </c>
      <c r="D71" s="44" t="n">
        <f aca="false">SUM(G71:BX71)</f>
        <v>112.721043</v>
      </c>
      <c r="E71" s="1"/>
      <c r="F71" s="1"/>
      <c r="G71" s="48" t="n">
        <f aca="false">IF(G38=1,G57*IFERROR(INDEX(Twin!$G$81:$BN$81,1,G39),0)/1000000,0)</f>
        <v>0</v>
      </c>
      <c r="H71" s="48" t="n">
        <f aca="false">IF(H38=1,H57*IFERROR(INDEX(Twin!$G$81:$BN$81,1,H39),0)/1000000,0)</f>
        <v>0</v>
      </c>
      <c r="I71" s="48" t="n">
        <f aca="false">IF(I38=1,I57*IFERROR(INDEX(Twin!$G$81:$BN$81,1,I39),0)/1000000,0)</f>
        <v>0</v>
      </c>
      <c r="J71" s="48" t="n">
        <f aca="false">IF(J38=1,J57*IFERROR(INDEX(Twin!$G$81:$BN$81,1,J39),0)/1000000,0)</f>
        <v>0</v>
      </c>
      <c r="K71" s="48" t="n">
        <f aca="false">IF(K38=1,K57*IFERROR(INDEX(Twin!$G$81:$BN$81,1,K39),0)/1000000,0)</f>
        <v>5.5887075</v>
      </c>
      <c r="L71" s="48" t="n">
        <f aca="false">IF(L38=1,L57*IFERROR(INDEX(Twin!$G$81:$BN$81,1,L39),0)/1000000,0)</f>
        <v>5.1659925</v>
      </c>
      <c r="M71" s="48" t="n">
        <f aca="false">IF(M38=1,M57*IFERROR(INDEX(Twin!$G$81:$BN$81,1,M39),0)/1000000,0)</f>
        <v>4.9986075</v>
      </c>
      <c r="N71" s="48" t="n">
        <f aca="false">IF(N38=1,N57*IFERROR(INDEX(Twin!$G$81:$BN$81,1,N39),0)/1000000,0)</f>
        <v>4.6626225</v>
      </c>
      <c r="O71" s="48" t="n">
        <f aca="false">IF(O38=1,O57*IFERROR(INDEX(Twin!$G$81:$BN$81,1,O39),0)/1000000,0)</f>
        <v>4.2401505</v>
      </c>
      <c r="P71" s="48" t="n">
        <f aca="false">IF(P38=1,P57*IFERROR(INDEX(Twin!$G$81:$BN$81,1,P39),0)/1000000,0)</f>
        <v>4.1972715</v>
      </c>
      <c r="Q71" s="48" t="n">
        <f aca="false">IF(Q38=1,Q57*IFERROR(INDEX(Twin!$G$81:$BN$81,1,Q39),0)/1000000,0)</f>
        <v>3.988101</v>
      </c>
      <c r="R71" s="48" t="n">
        <f aca="false">IF(R38=1,R57*IFERROR(INDEX(Twin!$G$81:$BN$81,1,R39),0)/1000000,0)</f>
        <v>3.6473775</v>
      </c>
      <c r="S71" s="48" t="n">
        <f aca="false">IF(S38=1,S57*IFERROR(INDEX(Twin!$G$81:$BN$81,1,S39),0)/1000000,0)</f>
        <v>3.6883125</v>
      </c>
      <c r="T71" s="48" t="n">
        <f aca="false">IF(T38=1,T57*IFERROR(INDEX(Twin!$G$81:$BN$81,1,T39),0)/1000000,0)</f>
        <v>3.603648</v>
      </c>
      <c r="U71" s="48" t="n">
        <f aca="false">IF(U38=1,U57*IFERROR(INDEX(Twin!$G$81:$BN$81,1,U39),0)/1000000,0)</f>
        <v>3.603648</v>
      </c>
      <c r="V71" s="48" t="n">
        <f aca="false">IF(V38=1,V57*IFERROR(INDEX(Twin!$G$81:$BN$81,1,V39),0)/1000000,0)</f>
        <v>3.562713</v>
      </c>
      <c r="W71" s="48" t="n">
        <f aca="false">IF(W38=1,W57*IFERROR(INDEX(Twin!$G$81:$BN$81,1,W39),0)/1000000,0)</f>
        <v>3.562713</v>
      </c>
      <c r="X71" s="48" t="n">
        <f aca="false">IF(X38=1,X57*IFERROR(INDEX(Twin!$G$81:$BN$81,1,X39),0)/1000000,0)</f>
        <v>3.5199555</v>
      </c>
      <c r="Y71" s="48" t="n">
        <f aca="false">IF(Y38=1,Y57*IFERROR(INDEX(Twin!$G$81:$BN$81,1,Y39),0)/1000000,0)</f>
        <v>3.5608905</v>
      </c>
      <c r="Z71" s="48" t="n">
        <f aca="false">IF(Z38=1,Z57*IFERROR(INDEX(Twin!$G$81:$BN$81,1,Z39),0)/1000000,0)</f>
        <v>3.4751325</v>
      </c>
      <c r="AA71" s="48" t="n">
        <f aca="false">IF(AA38=1,AA57*IFERROR(INDEX(Twin!$G$81:$BN$81,1,AA39),0)/1000000,0)</f>
        <v>3.4751325</v>
      </c>
      <c r="AB71" s="48" t="n">
        <f aca="false">IF(AB38=1,AB57*IFERROR(INDEX(Twin!$G$81:$BN$81,1,AB39),0)/1000000,0)</f>
        <v>3.433104</v>
      </c>
      <c r="AC71" s="48" t="n">
        <f aca="false">IF(AC38=1,AC57*IFERROR(INDEX(Twin!$G$81:$BN$81,1,AC39),0)/1000000,0)</f>
        <v>3.392169</v>
      </c>
      <c r="AD71" s="48" t="n">
        <f aca="false">IF(AD38=1,AD57*IFERROR(INDEX(Twin!$G$81:$BN$81,1,AD39),0)/1000000,0)</f>
        <v>3.392169</v>
      </c>
      <c r="AE71" s="48" t="n">
        <f aca="false">IF(AE38=1,AE57*IFERROR(INDEX(Twin!$G$81:$BN$81,1,AE39),0)/1000000,0)</f>
        <v>3.392169</v>
      </c>
      <c r="AF71" s="48" t="n">
        <f aca="false">IF(AF38=1,AF57*IFERROR(INDEX(Twin!$G$81:$BN$81,1,AF39),0)/1000000,0)</f>
        <v>3.392169</v>
      </c>
      <c r="AG71" s="48" t="n">
        <f aca="false">IF(AG38=1,AG57*IFERROR(INDEX(Twin!$G$81:$BN$81,1,AG39),0)/1000000,0)</f>
        <v>3.392169</v>
      </c>
      <c r="AH71" s="48" t="n">
        <f aca="false">IF(AH38=1,AH57*IFERROR(INDEX(Twin!$G$81:$BN$81,1,AH39),0)/1000000,0)</f>
        <v>3.392169</v>
      </c>
      <c r="AI71" s="48" t="n">
        <f aca="false">IF(AI38=1,AI57*IFERROR(INDEX(Twin!$G$81:$BN$81,1,AI39),0)/1000000,0)</f>
        <v>3.392169</v>
      </c>
      <c r="AJ71" s="48" t="n">
        <f aca="false">IF(AJ38=1,AJ57*IFERROR(INDEX(Twin!$G$81:$BN$81,1,AJ39),0)/1000000,0)</f>
        <v>3.392169</v>
      </c>
      <c r="AK71" s="48" t="n">
        <f aca="false">IF(AK38=1,AK57*IFERROR(INDEX(Twin!$G$81:$BN$81,1,AK39),0)/1000000,0)</f>
        <v>3.392169</v>
      </c>
      <c r="AL71" s="48" t="n">
        <f aca="false">IF(AL38=1,AL57*IFERROR(INDEX(Twin!$G$81:$BN$81,1,AL39),0)/1000000,0)</f>
        <v>3.392169</v>
      </c>
      <c r="AM71" s="48" t="n">
        <f aca="false">IF(AM38=1,AM57*IFERROR(INDEX(Twin!$G$81:$BN$81,1,AM39),0)/1000000,0)</f>
        <v>3.392169</v>
      </c>
      <c r="AN71" s="48" t="n">
        <f aca="false">IF(AN38=1,AN57*IFERROR(INDEX(Twin!$G$81:$BN$81,1,AN39),0)/1000000,0)</f>
        <v>3.433104</v>
      </c>
      <c r="AO71" s="48" t="n">
        <f aca="false">IF(AO38=1,AO57*IFERROR(INDEX(Twin!$G$81:$BN$81,1,AO39),0)/1000000,0)</f>
        <v>0</v>
      </c>
      <c r="AP71" s="48" t="n">
        <f aca="false">IF(AP38=1,AP57*IFERROR(INDEX(Twin!$G$81:$BN$81,1,AP39),0)/1000000,0)</f>
        <v>0</v>
      </c>
      <c r="AQ71" s="48" t="n">
        <f aca="false">IF(AQ38=1,AQ57*IFERROR(INDEX(Twin!$G$81:$BN$81,1,AQ39),0)/1000000,0)</f>
        <v>0</v>
      </c>
      <c r="AR71" s="48" t="n">
        <f aca="false">IF(AR38=1,AR57*IFERROR(INDEX(Twin!$G$81:$BN$81,1,AR39),0)/1000000,0)</f>
        <v>0</v>
      </c>
      <c r="AS71" s="48" t="n">
        <f aca="false">IF(AS38=1,AS57*IFERROR(INDEX(Twin!$G$81:$BN$81,1,AS39),0)/1000000,0)</f>
        <v>0</v>
      </c>
      <c r="AT71" s="48" t="n">
        <f aca="false">IF(AT38=1,AT57*IFERROR(INDEX(Twin!$G$81:$BN$81,1,AT39),0)/1000000,0)</f>
        <v>0</v>
      </c>
      <c r="AU71" s="48" t="n">
        <f aca="false">IF(AU38=1,AU57*IFERROR(INDEX(Twin!$G$81:$BN$81,1,AU39),0)/1000000,0)</f>
        <v>0</v>
      </c>
      <c r="AV71" s="48" t="n">
        <f aca="false">IF(AV38=1,AV57*IFERROR(INDEX(Twin!$G$81:$BN$81,1,AV39),0)/1000000,0)</f>
        <v>0</v>
      </c>
      <c r="AW71" s="48" t="n">
        <f aca="false">IF(AW38=1,AW57*IFERROR(INDEX(Twin!$G$81:$BN$81,1,AW39),0)/1000000,0)</f>
        <v>0</v>
      </c>
      <c r="AX71" s="48" t="n">
        <f aca="false">IF(AX38=1,AX57*IFERROR(INDEX(Twin!$G$81:$BN$81,1,AX39),0)/1000000,0)</f>
        <v>0</v>
      </c>
      <c r="AY71" s="48" t="n">
        <f aca="false">IF(AY38=1,AY57*IFERROR(INDEX(Twin!$G$81:$BN$81,1,AY39),0)/1000000,0)</f>
        <v>0</v>
      </c>
      <c r="AZ71" s="48" t="n">
        <f aca="false">IF(AZ38=1,AZ57*IFERROR(INDEX(Twin!$G$81:$BN$81,1,AZ39),0)/1000000,0)</f>
        <v>0</v>
      </c>
      <c r="BA71" s="48" t="n">
        <f aca="false">IF(BA38=1,BA57*IFERROR(INDEX(Twin!$G$81:$BN$81,1,BA39),0)/1000000,0)</f>
        <v>0</v>
      </c>
      <c r="BB71" s="48" t="n">
        <f aca="false">IF(BB38=1,BB57*IFERROR(INDEX(Twin!$G$81:$BN$81,1,BB39),0)/1000000,0)</f>
        <v>0</v>
      </c>
      <c r="BC71" s="48" t="n">
        <f aca="false">IF(BC38=1,BC57*IFERROR(INDEX(Twin!$G$81:$BN$81,1,BC39),0)/1000000,0)</f>
        <v>0</v>
      </c>
      <c r="BD71" s="48" t="n">
        <f aca="false">IF(BD38=1,BD57*IFERROR(INDEX(Twin!$G$81:$BN$81,1,BD39),0)/1000000,0)</f>
        <v>0</v>
      </c>
      <c r="BE71" s="48" t="n">
        <f aca="false">IF(BE38=1,BE57*IFERROR(INDEX(Twin!$G$81:$BN$81,1,BE39),0)/1000000,0)</f>
        <v>0</v>
      </c>
      <c r="BF71" s="48" t="n">
        <f aca="false">IF(BF38=1,BF57*IFERROR(INDEX(Twin!$G$81:$BN$81,1,BF39),0)/1000000,0)</f>
        <v>0</v>
      </c>
      <c r="BG71" s="48" t="n">
        <f aca="false">IF(BG38=1,BG57*IFERROR(INDEX(Twin!$G$81:$BN$81,1,BG39),0)/1000000,0)</f>
        <v>0</v>
      </c>
      <c r="BH71" s="48" t="n">
        <f aca="false">IF(BH38=1,BH57*IFERROR(INDEX(Twin!$G$81:$BN$81,1,BH39),0)/1000000,0)</f>
        <v>0</v>
      </c>
      <c r="BI71" s="48" t="n">
        <f aca="false">IF(BI38=1,BI57*IFERROR(INDEX(Twin!$G$81:$BN$81,1,BI39),0)/1000000,0)</f>
        <v>0</v>
      </c>
      <c r="BJ71" s="48" t="n">
        <f aca="false">IF(BJ38=1,BJ57*IFERROR(INDEX(Twin!$G$81:$BN$81,1,BJ39),0)/1000000,0)</f>
        <v>0</v>
      </c>
      <c r="BK71" s="48" t="n">
        <f aca="false">IF(BK38=1,BK57*IFERROR(INDEX(Twin!$G$81:$BN$81,1,BK39),0)/1000000,0)</f>
        <v>0</v>
      </c>
      <c r="BL71" s="48" t="n">
        <f aca="false">IF(BL38=1,BL57*IFERROR(INDEX(Twin!$G$81:$BN$81,1,BL39),0)/1000000,0)</f>
        <v>0</v>
      </c>
      <c r="BM71" s="48" t="n">
        <f aca="false">IF(BM38=1,BM57*IFERROR(INDEX(Twin!$G$81:$BN$81,1,BM39),0)/1000000,0)</f>
        <v>0</v>
      </c>
      <c r="BN71" s="48" t="n">
        <f aca="false">IF(BN38=1,BN57*IFERROR(INDEX(Twin!$G$81:$BN$81,1,BN39),0)/1000000,0)</f>
        <v>0</v>
      </c>
      <c r="BO71" s="48" t="n">
        <f aca="false">IF(BO38=1,BO57*IFERROR(INDEX(Twin!$G$81:$BN$81,1,BO39),0)/1000000,0)</f>
        <v>0</v>
      </c>
      <c r="BP71" s="48" t="n">
        <f aca="false">IF(BP38=1,BP57*IFERROR(INDEX(Twin!$G$81:$BN$81,1,BP39),0)/1000000,0)</f>
        <v>0</v>
      </c>
      <c r="BQ71" s="48" t="n">
        <f aca="false">IF(BQ38=1,BQ57*IFERROR(INDEX(Twin!$G$81:$BN$81,1,BQ39),0)/1000000,0)</f>
        <v>0</v>
      </c>
      <c r="BR71" s="48" t="n">
        <f aca="false">IF(BR38=1,BR57*IFERROR(INDEX(Twin!$G$81:$BN$81,1,BR39),0)/1000000,0)</f>
        <v>0</v>
      </c>
      <c r="BS71" s="48" t="n">
        <f aca="false">IF(BS38=1,BS57*IFERROR(INDEX(Twin!$G$81:$BN$81,1,BS39),0)/1000000,0)</f>
        <v>0</v>
      </c>
      <c r="BT71" s="48" t="n">
        <f aca="false">IF(BT38=1,BT57*IFERROR(INDEX(Twin!$G$81:$BN$81,1,BT39),0)/1000000,0)</f>
        <v>0</v>
      </c>
      <c r="BU71" s="48" t="n">
        <f aca="false">IF(BU38=1,BU57*IFERROR(INDEX(Twin!$G$81:$BN$81,1,BU39),0)/1000000,0)</f>
        <v>0</v>
      </c>
      <c r="BV71" s="48" t="n">
        <f aca="false">IF(BV38=1,BV57*IFERROR(INDEX(Twin!$G$81:$BN$81,1,BV39),0)/1000000,0)</f>
        <v>0</v>
      </c>
      <c r="BW71" s="48" t="n">
        <f aca="false">IF(BW38=1,BW57*IFERROR(INDEX(Twin!$G$81:$BN$81,1,BW39),0)/1000000,0)</f>
        <v>0</v>
      </c>
      <c r="BX71" s="48" t="n">
        <f aca="false">IF(BX38=1,BX57*IFERROR(INDEX(Twin!$G$81:$BN$81,1,BX39),0)/1000000,0)</f>
        <v>0</v>
      </c>
    </row>
    <row r="72" customFormat="false" ht="15" hidden="false" customHeight="false" outlineLevel="0" collapsed="false">
      <c r="A72" s="1"/>
      <c r="B72" s="8" t="s">
        <v>427</v>
      </c>
      <c r="C72" s="8" t="s">
        <v>126</v>
      </c>
      <c r="D72" s="44" t="n">
        <f aca="false">SUM(G72:BX72)</f>
        <v>0</v>
      </c>
      <c r="E72" s="1"/>
      <c r="F72" s="1"/>
      <c r="G72" s="48" t="n">
        <f aca="false">0</f>
        <v>0</v>
      </c>
      <c r="H72" s="48" t="n">
        <f aca="false">0</f>
        <v>0</v>
      </c>
      <c r="I72" s="48" t="n">
        <f aca="false">0</f>
        <v>0</v>
      </c>
      <c r="J72" s="48" t="n">
        <f aca="false">0</f>
        <v>0</v>
      </c>
      <c r="K72" s="48" t="n">
        <f aca="false">0</f>
        <v>0</v>
      </c>
      <c r="L72" s="48" t="n">
        <f aca="false">0</f>
        <v>0</v>
      </c>
      <c r="M72" s="48" t="n">
        <f aca="false">0</f>
        <v>0</v>
      </c>
      <c r="N72" s="48" t="n">
        <f aca="false">0</f>
        <v>0</v>
      </c>
      <c r="O72" s="48" t="n">
        <f aca="false">0</f>
        <v>0</v>
      </c>
      <c r="P72" s="48" t="n">
        <f aca="false">0</f>
        <v>0</v>
      </c>
      <c r="Q72" s="48" t="n">
        <f aca="false">0</f>
        <v>0</v>
      </c>
      <c r="R72" s="48" t="n">
        <f aca="false">0</f>
        <v>0</v>
      </c>
      <c r="S72" s="48" t="n">
        <f aca="false">0</f>
        <v>0</v>
      </c>
      <c r="T72" s="48" t="n">
        <f aca="false">0</f>
        <v>0</v>
      </c>
      <c r="U72" s="48" t="n">
        <f aca="false">0</f>
        <v>0</v>
      </c>
      <c r="V72" s="48" t="n">
        <f aca="false">0</f>
        <v>0</v>
      </c>
      <c r="W72" s="48" t="n">
        <f aca="false">0</f>
        <v>0</v>
      </c>
      <c r="X72" s="48" t="n">
        <f aca="false">0</f>
        <v>0</v>
      </c>
      <c r="Y72" s="48" t="n">
        <f aca="false">0</f>
        <v>0</v>
      </c>
      <c r="Z72" s="48" t="n">
        <f aca="false">0</f>
        <v>0</v>
      </c>
      <c r="AA72" s="48" t="n">
        <f aca="false">0</f>
        <v>0</v>
      </c>
      <c r="AB72" s="48" t="n">
        <f aca="false">0</f>
        <v>0</v>
      </c>
      <c r="AC72" s="48" t="n">
        <f aca="false">0</f>
        <v>0</v>
      </c>
      <c r="AD72" s="48" t="n">
        <f aca="false">0</f>
        <v>0</v>
      </c>
      <c r="AE72" s="48" t="n">
        <f aca="false">0</f>
        <v>0</v>
      </c>
      <c r="AF72" s="48" t="n">
        <f aca="false">0</f>
        <v>0</v>
      </c>
      <c r="AG72" s="48" t="n">
        <f aca="false">0</f>
        <v>0</v>
      </c>
      <c r="AH72" s="48" t="n">
        <f aca="false">0</f>
        <v>0</v>
      </c>
      <c r="AI72" s="48" t="n">
        <f aca="false">0</f>
        <v>0</v>
      </c>
      <c r="AJ72" s="48" t="n">
        <f aca="false">0</f>
        <v>0</v>
      </c>
      <c r="AK72" s="48" t="n">
        <f aca="false">0</f>
        <v>0</v>
      </c>
      <c r="AL72" s="48" t="n">
        <f aca="false">0</f>
        <v>0</v>
      </c>
      <c r="AM72" s="48" t="n">
        <f aca="false">0</f>
        <v>0</v>
      </c>
      <c r="AN72" s="48" t="n">
        <f aca="false">0</f>
        <v>0</v>
      </c>
      <c r="AO72" s="48" t="n">
        <f aca="false">0</f>
        <v>0</v>
      </c>
      <c r="AP72" s="48" t="n">
        <f aca="false">0</f>
        <v>0</v>
      </c>
      <c r="AQ72" s="48" t="n">
        <f aca="false">0</f>
        <v>0</v>
      </c>
      <c r="AR72" s="48" t="n">
        <f aca="false">0</f>
        <v>0</v>
      </c>
      <c r="AS72" s="48" t="n">
        <f aca="false">0</f>
        <v>0</v>
      </c>
      <c r="AT72" s="48" t="n">
        <f aca="false">0</f>
        <v>0</v>
      </c>
      <c r="AU72" s="48" t="n">
        <f aca="false">0</f>
        <v>0</v>
      </c>
      <c r="AV72" s="48" t="n">
        <f aca="false">0</f>
        <v>0</v>
      </c>
      <c r="AW72" s="48" t="n">
        <f aca="false">0</f>
        <v>0</v>
      </c>
      <c r="AX72" s="48" t="n">
        <f aca="false">0</f>
        <v>0</v>
      </c>
      <c r="AY72" s="48" t="n">
        <f aca="false">0</f>
        <v>0</v>
      </c>
      <c r="AZ72" s="48" t="n">
        <f aca="false">0</f>
        <v>0</v>
      </c>
      <c r="BA72" s="48" t="n">
        <f aca="false">0</f>
        <v>0</v>
      </c>
      <c r="BB72" s="48" t="n">
        <f aca="false">0</f>
        <v>0</v>
      </c>
      <c r="BC72" s="48" t="n">
        <f aca="false">0</f>
        <v>0</v>
      </c>
      <c r="BD72" s="48" t="n">
        <f aca="false">0</f>
        <v>0</v>
      </c>
      <c r="BE72" s="48" t="n">
        <f aca="false">0</f>
        <v>0</v>
      </c>
      <c r="BF72" s="48" t="n">
        <f aca="false">0</f>
        <v>0</v>
      </c>
      <c r="BG72" s="48" t="n">
        <f aca="false">0</f>
        <v>0</v>
      </c>
      <c r="BH72" s="48" t="n">
        <f aca="false">0</f>
        <v>0</v>
      </c>
      <c r="BI72" s="48" t="n">
        <f aca="false">0</f>
        <v>0</v>
      </c>
      <c r="BJ72" s="48" t="n">
        <f aca="false">0</f>
        <v>0</v>
      </c>
      <c r="BK72" s="48" t="n">
        <f aca="false">0</f>
        <v>0</v>
      </c>
      <c r="BL72" s="48" t="n">
        <f aca="false">0</f>
        <v>0</v>
      </c>
      <c r="BM72" s="48" t="n">
        <f aca="false">0</f>
        <v>0</v>
      </c>
      <c r="BN72" s="48" t="n">
        <f aca="false">0</f>
        <v>0</v>
      </c>
      <c r="BO72" s="48" t="n">
        <f aca="false">0</f>
        <v>0</v>
      </c>
      <c r="BP72" s="48" t="n">
        <f aca="false">0</f>
        <v>0</v>
      </c>
      <c r="BQ72" s="48" t="n">
        <f aca="false">0</f>
        <v>0</v>
      </c>
      <c r="BR72" s="48" t="n">
        <f aca="false">0</f>
        <v>0</v>
      </c>
      <c r="BS72" s="48" t="n">
        <f aca="false">0</f>
        <v>0</v>
      </c>
      <c r="BT72" s="48" t="n">
        <f aca="false">0</f>
        <v>0</v>
      </c>
      <c r="BU72" s="48" t="n">
        <f aca="false">0</f>
        <v>0</v>
      </c>
      <c r="BV72" s="48" t="n">
        <f aca="false">0</f>
        <v>0</v>
      </c>
      <c r="BW72" s="48" t="n">
        <f aca="false">0</f>
        <v>0</v>
      </c>
      <c r="BX72" s="48" t="n">
        <f aca="false">0</f>
        <v>0</v>
      </c>
    </row>
    <row r="73" customFormat="false" ht="15" hidden="false" customHeight="false" outlineLevel="0" collapsed="false">
      <c r="A73" s="1"/>
      <c r="B73" s="8" t="s">
        <v>428</v>
      </c>
      <c r="C73" s="8" t="s">
        <v>126</v>
      </c>
      <c r="D73" s="44" t="n">
        <f aca="false">SUM(G73:BX73)</f>
        <v>495</v>
      </c>
      <c r="E73" s="1"/>
      <c r="F73" s="1"/>
      <c r="G73" s="48" t="n">
        <f aca="false">IF(G38=1,$D$14*$D$7*1000/1000000,0)</f>
        <v>0</v>
      </c>
      <c r="H73" s="48" t="n">
        <f aca="false">IF(H38=1,$D$14*$D$7*1000/1000000,0)</f>
        <v>0</v>
      </c>
      <c r="I73" s="48" t="n">
        <f aca="false">IF(I38=1,$D$14*$D$7*1000/1000000,0)</f>
        <v>0</v>
      </c>
      <c r="J73" s="48" t="n">
        <f aca="false">IF(J38=1,$D$14*$D$7*1000/1000000,0)</f>
        <v>0</v>
      </c>
      <c r="K73" s="48" t="n">
        <f aca="false">IF(K38=1,$D$14*$D$7*1000/1000000,0)</f>
        <v>16.5</v>
      </c>
      <c r="L73" s="48" t="n">
        <f aca="false">IF(L38=1,$D$14*$D$7*1000/1000000,0)</f>
        <v>16.5</v>
      </c>
      <c r="M73" s="48" t="n">
        <f aca="false">IF(M38=1,$D$14*$D$7*1000/1000000,0)</f>
        <v>16.5</v>
      </c>
      <c r="N73" s="48" t="n">
        <f aca="false">IF(N38=1,$D$14*$D$7*1000/1000000,0)</f>
        <v>16.5</v>
      </c>
      <c r="O73" s="48" t="n">
        <f aca="false">IF(O38=1,$D$14*$D$7*1000/1000000,0)</f>
        <v>16.5</v>
      </c>
      <c r="P73" s="48" t="n">
        <f aca="false">IF(P38=1,$D$14*$D$7*1000/1000000,0)</f>
        <v>16.5</v>
      </c>
      <c r="Q73" s="48" t="n">
        <f aca="false">IF(Q38=1,$D$14*$D$7*1000/1000000,0)</f>
        <v>16.5</v>
      </c>
      <c r="R73" s="48" t="n">
        <f aca="false">IF(R38=1,$D$14*$D$7*1000/1000000,0)</f>
        <v>16.5</v>
      </c>
      <c r="S73" s="48" t="n">
        <f aca="false">IF(S38=1,$D$14*$D$7*1000/1000000,0)</f>
        <v>16.5</v>
      </c>
      <c r="T73" s="48" t="n">
        <f aca="false">IF(T38=1,$D$14*$D$7*1000/1000000,0)</f>
        <v>16.5</v>
      </c>
      <c r="U73" s="48" t="n">
        <f aca="false">IF(U38=1,$D$14*$D$7*1000/1000000,0)</f>
        <v>16.5</v>
      </c>
      <c r="V73" s="48" t="n">
        <f aca="false">IF(V38=1,$D$14*$D$7*1000/1000000,0)</f>
        <v>16.5</v>
      </c>
      <c r="W73" s="48" t="n">
        <f aca="false">IF(W38=1,$D$14*$D$7*1000/1000000,0)</f>
        <v>16.5</v>
      </c>
      <c r="X73" s="48" t="n">
        <f aca="false">IF(X38=1,$D$14*$D$7*1000/1000000,0)</f>
        <v>16.5</v>
      </c>
      <c r="Y73" s="48" t="n">
        <f aca="false">IF(Y38=1,$D$14*$D$7*1000/1000000,0)</f>
        <v>16.5</v>
      </c>
      <c r="Z73" s="48" t="n">
        <f aca="false">IF(Z38=1,$D$14*$D$7*1000/1000000,0)</f>
        <v>16.5</v>
      </c>
      <c r="AA73" s="48" t="n">
        <f aca="false">IF(AA38=1,$D$14*$D$7*1000/1000000,0)</f>
        <v>16.5</v>
      </c>
      <c r="AB73" s="48" t="n">
        <f aca="false">IF(AB38=1,$D$14*$D$7*1000/1000000,0)</f>
        <v>16.5</v>
      </c>
      <c r="AC73" s="48" t="n">
        <f aca="false">IF(AC38=1,$D$14*$D$7*1000/1000000,0)</f>
        <v>16.5</v>
      </c>
      <c r="AD73" s="48" t="n">
        <f aca="false">IF(AD38=1,$D$14*$D$7*1000/1000000,0)</f>
        <v>16.5</v>
      </c>
      <c r="AE73" s="48" t="n">
        <f aca="false">IF(AE38=1,$D$14*$D$7*1000/1000000,0)</f>
        <v>16.5</v>
      </c>
      <c r="AF73" s="48" t="n">
        <f aca="false">IF(AF38=1,$D$14*$D$7*1000/1000000,0)</f>
        <v>16.5</v>
      </c>
      <c r="AG73" s="48" t="n">
        <f aca="false">IF(AG38=1,$D$14*$D$7*1000/1000000,0)</f>
        <v>16.5</v>
      </c>
      <c r="AH73" s="48" t="n">
        <f aca="false">IF(AH38=1,$D$14*$D$7*1000/1000000,0)</f>
        <v>16.5</v>
      </c>
      <c r="AI73" s="48" t="n">
        <f aca="false">IF(AI38=1,$D$14*$D$7*1000/1000000,0)</f>
        <v>16.5</v>
      </c>
      <c r="AJ73" s="48" t="n">
        <f aca="false">IF(AJ38=1,$D$14*$D$7*1000/1000000,0)</f>
        <v>16.5</v>
      </c>
      <c r="AK73" s="48" t="n">
        <f aca="false">IF(AK38=1,$D$14*$D$7*1000/1000000,0)</f>
        <v>16.5</v>
      </c>
      <c r="AL73" s="48" t="n">
        <f aca="false">IF(AL38=1,$D$14*$D$7*1000/1000000,0)</f>
        <v>16.5</v>
      </c>
      <c r="AM73" s="48" t="n">
        <f aca="false">IF(AM38=1,$D$14*$D$7*1000/1000000,0)</f>
        <v>16.5</v>
      </c>
      <c r="AN73" s="48" t="n">
        <f aca="false">IF(AN38=1,$D$14*$D$7*1000/1000000,0)</f>
        <v>16.5</v>
      </c>
      <c r="AO73" s="48" t="n">
        <f aca="false">IF(AO38=1,$D$14*$D$7*1000/1000000,0)</f>
        <v>0</v>
      </c>
      <c r="AP73" s="48" t="n">
        <f aca="false">IF(AP38=1,$D$14*$D$7*1000/1000000,0)</f>
        <v>0</v>
      </c>
      <c r="AQ73" s="48" t="n">
        <f aca="false">IF(AQ38=1,$D$14*$D$7*1000/1000000,0)</f>
        <v>0</v>
      </c>
      <c r="AR73" s="48" t="n">
        <f aca="false">IF(AR38=1,$D$14*$D$7*1000/1000000,0)</f>
        <v>0</v>
      </c>
      <c r="AS73" s="48" t="n">
        <f aca="false">IF(AS38=1,$D$14*$D$7*1000/1000000,0)</f>
        <v>0</v>
      </c>
      <c r="AT73" s="48" t="n">
        <f aca="false">IF(AT38=1,$D$14*$D$7*1000/1000000,0)</f>
        <v>0</v>
      </c>
      <c r="AU73" s="48" t="n">
        <f aca="false">IF(AU38=1,$D$14*$D$7*1000/1000000,0)</f>
        <v>0</v>
      </c>
      <c r="AV73" s="48" t="n">
        <f aca="false">IF(AV38=1,$D$14*$D$7*1000/1000000,0)</f>
        <v>0</v>
      </c>
      <c r="AW73" s="48" t="n">
        <f aca="false">IF(AW38=1,$D$14*$D$7*1000/1000000,0)</f>
        <v>0</v>
      </c>
      <c r="AX73" s="48" t="n">
        <f aca="false">IF(AX38=1,$D$14*$D$7*1000/1000000,0)</f>
        <v>0</v>
      </c>
      <c r="AY73" s="48" t="n">
        <f aca="false">IF(AY38=1,$D$14*$D$7*1000/1000000,0)</f>
        <v>0</v>
      </c>
      <c r="AZ73" s="48" t="n">
        <f aca="false">IF(AZ38=1,$D$14*$D$7*1000/1000000,0)</f>
        <v>0</v>
      </c>
      <c r="BA73" s="48" t="n">
        <f aca="false">IF(BA38=1,$D$14*$D$7*1000/1000000,0)</f>
        <v>0</v>
      </c>
      <c r="BB73" s="48" t="n">
        <f aca="false">IF(BB38=1,$D$14*$D$7*1000/1000000,0)</f>
        <v>0</v>
      </c>
      <c r="BC73" s="48" t="n">
        <f aca="false">IF(BC38=1,$D$14*$D$7*1000/1000000,0)</f>
        <v>0</v>
      </c>
      <c r="BD73" s="48" t="n">
        <f aca="false">IF(BD38=1,$D$14*$D$7*1000/1000000,0)</f>
        <v>0</v>
      </c>
      <c r="BE73" s="48" t="n">
        <f aca="false">IF(BE38=1,$D$14*$D$7*1000/1000000,0)</f>
        <v>0</v>
      </c>
      <c r="BF73" s="48" t="n">
        <f aca="false">IF(BF38=1,$D$14*$D$7*1000/1000000,0)</f>
        <v>0</v>
      </c>
      <c r="BG73" s="48" t="n">
        <f aca="false">IF(BG38=1,$D$14*$D$7*1000/1000000,0)</f>
        <v>0</v>
      </c>
      <c r="BH73" s="48" t="n">
        <f aca="false">IF(BH38=1,$D$14*$D$7*1000/1000000,0)</f>
        <v>0</v>
      </c>
      <c r="BI73" s="48" t="n">
        <f aca="false">IF(BI38=1,$D$14*$D$7*1000/1000000,0)</f>
        <v>0</v>
      </c>
      <c r="BJ73" s="48" t="n">
        <f aca="false">IF(BJ38=1,$D$14*$D$7*1000/1000000,0)</f>
        <v>0</v>
      </c>
      <c r="BK73" s="48" t="n">
        <f aca="false">IF(BK38=1,$D$14*$D$7*1000/1000000,0)</f>
        <v>0</v>
      </c>
      <c r="BL73" s="48" t="n">
        <f aca="false">IF(BL38=1,$D$14*$D$7*1000/1000000,0)</f>
        <v>0</v>
      </c>
      <c r="BM73" s="48" t="n">
        <f aca="false">IF(BM38=1,$D$14*$D$7*1000/1000000,0)</f>
        <v>0</v>
      </c>
      <c r="BN73" s="48" t="n">
        <f aca="false">IF(BN38=1,$D$14*$D$7*1000/1000000,0)</f>
        <v>0</v>
      </c>
      <c r="BO73" s="48" t="n">
        <f aca="false">IF(BO38=1,$D$14*$D$7*1000/1000000,0)</f>
        <v>0</v>
      </c>
      <c r="BP73" s="48" t="n">
        <f aca="false">IF(BP38=1,$D$14*$D$7*1000/1000000,0)</f>
        <v>0</v>
      </c>
      <c r="BQ73" s="48" t="n">
        <f aca="false">IF(BQ38=1,$D$14*$D$7*1000/1000000,0)</f>
        <v>0</v>
      </c>
      <c r="BR73" s="48" t="n">
        <f aca="false">IF(BR38=1,$D$14*$D$7*1000/1000000,0)</f>
        <v>0</v>
      </c>
      <c r="BS73" s="48" t="n">
        <f aca="false">IF(BS38=1,$D$14*$D$7*1000/1000000,0)</f>
        <v>0</v>
      </c>
      <c r="BT73" s="48" t="n">
        <f aca="false">IF(BT38=1,$D$14*$D$7*1000/1000000,0)</f>
        <v>0</v>
      </c>
      <c r="BU73" s="48" t="n">
        <f aca="false">IF(BU38=1,$D$14*$D$7*1000/1000000,0)</f>
        <v>0</v>
      </c>
      <c r="BV73" s="48" t="n">
        <f aca="false">IF(BV38=1,$D$14*$D$7*1000/1000000,0)</f>
        <v>0</v>
      </c>
      <c r="BW73" s="48" t="n">
        <f aca="false">IF(BW38=1,$D$14*$D$7*1000/1000000,0)</f>
        <v>0</v>
      </c>
      <c r="BX73" s="48" t="n">
        <f aca="false">IF(BX38=1,$D$14*$D$7*1000/1000000,0)</f>
        <v>0</v>
      </c>
    </row>
    <row r="74" customFormat="false" ht="15" hidden="false" customHeight="false" outlineLevel="0" collapsed="false">
      <c r="A74" s="1"/>
      <c r="B74" s="8" t="s">
        <v>339</v>
      </c>
      <c r="C74" s="8" t="s">
        <v>126</v>
      </c>
      <c r="D74" s="44" t="n">
        <f aca="false">SUM(G74:BX74)</f>
        <v>90</v>
      </c>
      <c r="E74" s="1"/>
      <c r="F74" s="1"/>
      <c r="G74" s="48" t="n">
        <f aca="false">IF(G38=1,$D$19*$D$20/1000,0)</f>
        <v>0</v>
      </c>
      <c r="H74" s="48" t="n">
        <f aca="false">IF(H38=1,$D$19*$D$20/1000,0)</f>
        <v>0</v>
      </c>
      <c r="I74" s="48" t="n">
        <f aca="false">IF(I38=1,$D$19*$D$20/1000,0)</f>
        <v>0</v>
      </c>
      <c r="J74" s="48" t="n">
        <f aca="false">IF(J38=1,$D$19*$D$20/1000,0)</f>
        <v>0</v>
      </c>
      <c r="K74" s="48" t="n">
        <f aca="false">IF(K38=1,$D$19*$D$20/1000,0)</f>
        <v>3</v>
      </c>
      <c r="L74" s="48" t="n">
        <f aca="false">IF(L38=1,$D$19*$D$20/1000,0)</f>
        <v>3</v>
      </c>
      <c r="M74" s="48" t="n">
        <f aca="false">IF(M38=1,$D$19*$D$20/1000,0)</f>
        <v>3</v>
      </c>
      <c r="N74" s="48" t="n">
        <f aca="false">IF(N38=1,$D$19*$D$20/1000,0)</f>
        <v>3</v>
      </c>
      <c r="O74" s="48" t="n">
        <f aca="false">IF(O38=1,$D$19*$D$20/1000,0)</f>
        <v>3</v>
      </c>
      <c r="P74" s="48" t="n">
        <f aca="false">IF(P38=1,$D$19*$D$20/1000,0)</f>
        <v>3</v>
      </c>
      <c r="Q74" s="48" t="n">
        <f aca="false">IF(Q38=1,$D$19*$D$20/1000,0)</f>
        <v>3</v>
      </c>
      <c r="R74" s="48" t="n">
        <f aca="false">IF(R38=1,$D$19*$D$20/1000,0)</f>
        <v>3</v>
      </c>
      <c r="S74" s="48" t="n">
        <f aca="false">IF(S38=1,$D$19*$D$20/1000,0)</f>
        <v>3</v>
      </c>
      <c r="T74" s="48" t="n">
        <f aca="false">IF(T38=1,$D$19*$D$20/1000,0)</f>
        <v>3</v>
      </c>
      <c r="U74" s="48" t="n">
        <f aca="false">IF(U38=1,$D$19*$D$20/1000,0)</f>
        <v>3</v>
      </c>
      <c r="V74" s="48" t="n">
        <f aca="false">IF(V38=1,$D$19*$D$20/1000,0)</f>
        <v>3</v>
      </c>
      <c r="W74" s="48" t="n">
        <f aca="false">IF(W38=1,$D$19*$D$20/1000,0)</f>
        <v>3</v>
      </c>
      <c r="X74" s="48" t="n">
        <f aca="false">IF(X38=1,$D$19*$D$20/1000,0)</f>
        <v>3</v>
      </c>
      <c r="Y74" s="48" t="n">
        <f aca="false">IF(Y38=1,$D$19*$D$20/1000,0)</f>
        <v>3</v>
      </c>
      <c r="Z74" s="48" t="n">
        <f aca="false">IF(Z38=1,$D$19*$D$20/1000,0)</f>
        <v>3</v>
      </c>
      <c r="AA74" s="48" t="n">
        <f aca="false">IF(AA38=1,$D$19*$D$20/1000,0)</f>
        <v>3</v>
      </c>
      <c r="AB74" s="48" t="n">
        <f aca="false">IF(AB38=1,$D$19*$D$20/1000,0)</f>
        <v>3</v>
      </c>
      <c r="AC74" s="48" t="n">
        <f aca="false">IF(AC38=1,$D$19*$D$20/1000,0)</f>
        <v>3</v>
      </c>
      <c r="AD74" s="48" t="n">
        <f aca="false">IF(AD38=1,$D$19*$D$20/1000,0)</f>
        <v>3</v>
      </c>
      <c r="AE74" s="48" t="n">
        <f aca="false">IF(AE38=1,$D$19*$D$20/1000,0)</f>
        <v>3</v>
      </c>
      <c r="AF74" s="48" t="n">
        <f aca="false">IF(AF38=1,$D$19*$D$20/1000,0)</f>
        <v>3</v>
      </c>
      <c r="AG74" s="48" t="n">
        <f aca="false">IF(AG38=1,$D$19*$D$20/1000,0)</f>
        <v>3</v>
      </c>
      <c r="AH74" s="48" t="n">
        <f aca="false">IF(AH38=1,$D$19*$D$20/1000,0)</f>
        <v>3</v>
      </c>
      <c r="AI74" s="48" t="n">
        <f aca="false">IF(AI38=1,$D$19*$D$20/1000,0)</f>
        <v>3</v>
      </c>
      <c r="AJ74" s="48" t="n">
        <f aca="false">IF(AJ38=1,$D$19*$D$20/1000,0)</f>
        <v>3</v>
      </c>
      <c r="AK74" s="48" t="n">
        <f aca="false">IF(AK38=1,$D$19*$D$20/1000,0)</f>
        <v>3</v>
      </c>
      <c r="AL74" s="48" t="n">
        <f aca="false">IF(AL38=1,$D$19*$D$20/1000,0)</f>
        <v>3</v>
      </c>
      <c r="AM74" s="48" t="n">
        <f aca="false">IF(AM38=1,$D$19*$D$20/1000,0)</f>
        <v>3</v>
      </c>
      <c r="AN74" s="48" t="n">
        <f aca="false">IF(AN38=1,$D$19*$D$20/1000,0)</f>
        <v>3</v>
      </c>
      <c r="AO74" s="48" t="n">
        <f aca="false">IF(AO38=1,$D$19*$D$20/1000,0)</f>
        <v>0</v>
      </c>
      <c r="AP74" s="48" t="n">
        <f aca="false">IF(AP38=1,$D$19*$D$20/1000,0)</f>
        <v>0</v>
      </c>
      <c r="AQ74" s="48" t="n">
        <f aca="false">IF(AQ38=1,$D$19*$D$20/1000,0)</f>
        <v>0</v>
      </c>
      <c r="AR74" s="48" t="n">
        <f aca="false">IF(AR38=1,$D$19*$D$20/1000,0)</f>
        <v>0</v>
      </c>
      <c r="AS74" s="48" t="n">
        <f aca="false">IF(AS38=1,$D$19*$D$20/1000,0)</f>
        <v>0</v>
      </c>
      <c r="AT74" s="48" t="n">
        <f aca="false">IF(AT38=1,$D$19*$D$20/1000,0)</f>
        <v>0</v>
      </c>
      <c r="AU74" s="48" t="n">
        <f aca="false">IF(AU38=1,$D$19*$D$20/1000,0)</f>
        <v>0</v>
      </c>
      <c r="AV74" s="48" t="n">
        <f aca="false">IF(AV38=1,$D$19*$D$20/1000,0)</f>
        <v>0</v>
      </c>
      <c r="AW74" s="48" t="n">
        <f aca="false">IF(AW38=1,$D$19*$D$20/1000,0)</f>
        <v>0</v>
      </c>
      <c r="AX74" s="48" t="n">
        <f aca="false">IF(AX38=1,$D$19*$D$20/1000,0)</f>
        <v>0</v>
      </c>
      <c r="AY74" s="48" t="n">
        <f aca="false">IF(AY38=1,$D$19*$D$20/1000,0)</f>
        <v>0</v>
      </c>
      <c r="AZ74" s="48" t="n">
        <f aca="false">IF(AZ38=1,$D$19*$D$20/1000,0)</f>
        <v>0</v>
      </c>
      <c r="BA74" s="48" t="n">
        <f aca="false">IF(BA38=1,$D$19*$D$20/1000,0)</f>
        <v>0</v>
      </c>
      <c r="BB74" s="48" t="n">
        <f aca="false">IF(BB38=1,$D$19*$D$20/1000,0)</f>
        <v>0</v>
      </c>
      <c r="BC74" s="48" t="n">
        <f aca="false">IF(BC38=1,$D$19*$D$20/1000,0)</f>
        <v>0</v>
      </c>
      <c r="BD74" s="48" t="n">
        <f aca="false">IF(BD38=1,$D$19*$D$20/1000,0)</f>
        <v>0</v>
      </c>
      <c r="BE74" s="48" t="n">
        <f aca="false">IF(BE38=1,$D$19*$D$20/1000,0)</f>
        <v>0</v>
      </c>
      <c r="BF74" s="48" t="n">
        <f aca="false">IF(BF38=1,$D$19*$D$20/1000,0)</f>
        <v>0</v>
      </c>
      <c r="BG74" s="48" t="n">
        <f aca="false">IF(BG38=1,$D$19*$D$20/1000,0)</f>
        <v>0</v>
      </c>
      <c r="BH74" s="48" t="n">
        <f aca="false">IF(BH38=1,$D$19*$D$20/1000,0)</f>
        <v>0</v>
      </c>
      <c r="BI74" s="48" t="n">
        <f aca="false">IF(BI38=1,$D$19*$D$20/1000,0)</f>
        <v>0</v>
      </c>
      <c r="BJ74" s="48" t="n">
        <f aca="false">IF(BJ38=1,$D$19*$D$20/1000,0)</f>
        <v>0</v>
      </c>
      <c r="BK74" s="48" t="n">
        <f aca="false">IF(BK38=1,$D$19*$D$20/1000,0)</f>
        <v>0</v>
      </c>
      <c r="BL74" s="48" t="n">
        <f aca="false">IF(BL38=1,$D$19*$D$20/1000,0)</f>
        <v>0</v>
      </c>
      <c r="BM74" s="48" t="n">
        <f aca="false">IF(BM38=1,$D$19*$D$20/1000,0)</f>
        <v>0</v>
      </c>
      <c r="BN74" s="48" t="n">
        <f aca="false">IF(BN38=1,$D$19*$D$20/1000,0)</f>
        <v>0</v>
      </c>
      <c r="BO74" s="48" t="n">
        <f aca="false">IF(BO38=1,$D$19*$D$20/1000,0)</f>
        <v>0</v>
      </c>
      <c r="BP74" s="48" t="n">
        <f aca="false">IF(BP38=1,$D$19*$D$20/1000,0)</f>
        <v>0</v>
      </c>
      <c r="BQ74" s="48" t="n">
        <f aca="false">IF(BQ38=1,$D$19*$D$20/1000,0)</f>
        <v>0</v>
      </c>
      <c r="BR74" s="48" t="n">
        <f aca="false">IF(BR38=1,$D$19*$D$20/1000,0)</f>
        <v>0</v>
      </c>
      <c r="BS74" s="48" t="n">
        <f aca="false">IF(BS38=1,$D$19*$D$20/1000,0)</f>
        <v>0</v>
      </c>
      <c r="BT74" s="48" t="n">
        <f aca="false">IF(BT38=1,$D$19*$D$20/1000,0)</f>
        <v>0</v>
      </c>
      <c r="BU74" s="48" t="n">
        <f aca="false">IF(BU38=1,$D$19*$D$20/1000,0)</f>
        <v>0</v>
      </c>
      <c r="BV74" s="48" t="n">
        <f aca="false">IF(BV38=1,$D$19*$D$20/1000,0)</f>
        <v>0</v>
      </c>
      <c r="BW74" s="48" t="n">
        <f aca="false">IF(BW38=1,$D$19*$D$20/1000,0)</f>
        <v>0</v>
      </c>
      <c r="BX74" s="48" t="n">
        <f aca="false">IF(BX38=1,$D$19*$D$20/1000,0)</f>
        <v>0</v>
      </c>
    </row>
    <row r="75" customFormat="false" ht="15" hidden="false" customHeight="false" outlineLevel="0" collapsed="false">
      <c r="A75" s="1"/>
      <c r="B75" s="8" t="s">
        <v>340</v>
      </c>
      <c r="C75" s="8" t="s">
        <v>126</v>
      </c>
      <c r="D75" s="44" t="n">
        <f aca="false">SUM(G75:BX75)</f>
        <v>0</v>
      </c>
      <c r="E75" s="1"/>
      <c r="F75" s="1"/>
      <c r="G75" s="48" t="n">
        <f aca="false">0</f>
        <v>0</v>
      </c>
      <c r="H75" s="48" t="n">
        <f aca="false">0</f>
        <v>0</v>
      </c>
      <c r="I75" s="48" t="n">
        <f aca="false">0</f>
        <v>0</v>
      </c>
      <c r="J75" s="48" t="n">
        <f aca="false">0</f>
        <v>0</v>
      </c>
      <c r="K75" s="48" t="n">
        <f aca="false">0</f>
        <v>0</v>
      </c>
      <c r="L75" s="48" t="n">
        <f aca="false">0</f>
        <v>0</v>
      </c>
      <c r="M75" s="48" t="n">
        <f aca="false">0</f>
        <v>0</v>
      </c>
      <c r="N75" s="48" t="n">
        <f aca="false">0</f>
        <v>0</v>
      </c>
      <c r="O75" s="48" t="n">
        <f aca="false">0</f>
        <v>0</v>
      </c>
      <c r="P75" s="48" t="n">
        <f aca="false">0</f>
        <v>0</v>
      </c>
      <c r="Q75" s="48" t="n">
        <f aca="false">0</f>
        <v>0</v>
      </c>
      <c r="R75" s="48" t="n">
        <f aca="false">0</f>
        <v>0</v>
      </c>
      <c r="S75" s="48" t="n">
        <f aca="false">0</f>
        <v>0</v>
      </c>
      <c r="T75" s="48" t="n">
        <f aca="false">0</f>
        <v>0</v>
      </c>
      <c r="U75" s="48" t="n">
        <f aca="false">0</f>
        <v>0</v>
      </c>
      <c r="V75" s="48" t="n">
        <f aca="false">0</f>
        <v>0</v>
      </c>
      <c r="W75" s="48" t="n">
        <f aca="false">0</f>
        <v>0</v>
      </c>
      <c r="X75" s="48" t="n">
        <f aca="false">0</f>
        <v>0</v>
      </c>
      <c r="Y75" s="48" t="n">
        <f aca="false">0</f>
        <v>0</v>
      </c>
      <c r="Z75" s="48" t="n">
        <f aca="false">0</f>
        <v>0</v>
      </c>
      <c r="AA75" s="48" t="n">
        <f aca="false">0</f>
        <v>0</v>
      </c>
      <c r="AB75" s="48" t="n">
        <f aca="false">0</f>
        <v>0</v>
      </c>
      <c r="AC75" s="48" t="n">
        <f aca="false">0</f>
        <v>0</v>
      </c>
      <c r="AD75" s="48" t="n">
        <f aca="false">0</f>
        <v>0</v>
      </c>
      <c r="AE75" s="48" t="n">
        <f aca="false">0</f>
        <v>0</v>
      </c>
      <c r="AF75" s="48" t="n">
        <f aca="false">0</f>
        <v>0</v>
      </c>
      <c r="AG75" s="48" t="n">
        <f aca="false">0</f>
        <v>0</v>
      </c>
      <c r="AH75" s="48" t="n">
        <f aca="false">0</f>
        <v>0</v>
      </c>
      <c r="AI75" s="48" t="n">
        <f aca="false">0</f>
        <v>0</v>
      </c>
      <c r="AJ75" s="48" t="n">
        <f aca="false">0</f>
        <v>0</v>
      </c>
      <c r="AK75" s="48" t="n">
        <f aca="false">0</f>
        <v>0</v>
      </c>
      <c r="AL75" s="48" t="n">
        <f aca="false">0</f>
        <v>0</v>
      </c>
      <c r="AM75" s="48" t="n">
        <f aca="false">0</f>
        <v>0</v>
      </c>
      <c r="AN75" s="48" t="n">
        <f aca="false">0</f>
        <v>0</v>
      </c>
      <c r="AO75" s="48" t="n">
        <f aca="false">0</f>
        <v>0</v>
      </c>
      <c r="AP75" s="48" t="n">
        <f aca="false">0</f>
        <v>0</v>
      </c>
      <c r="AQ75" s="48" t="n">
        <f aca="false">0</f>
        <v>0</v>
      </c>
      <c r="AR75" s="48" t="n">
        <f aca="false">0</f>
        <v>0</v>
      </c>
      <c r="AS75" s="48" t="n">
        <f aca="false">0</f>
        <v>0</v>
      </c>
      <c r="AT75" s="48" t="n">
        <f aca="false">0</f>
        <v>0</v>
      </c>
      <c r="AU75" s="48" t="n">
        <f aca="false">0</f>
        <v>0</v>
      </c>
      <c r="AV75" s="48" t="n">
        <f aca="false">0</f>
        <v>0</v>
      </c>
      <c r="AW75" s="48" t="n">
        <f aca="false">0</f>
        <v>0</v>
      </c>
      <c r="AX75" s="48" t="n">
        <f aca="false">0</f>
        <v>0</v>
      </c>
      <c r="AY75" s="48" t="n">
        <f aca="false">0</f>
        <v>0</v>
      </c>
      <c r="AZ75" s="48" t="n">
        <f aca="false">0</f>
        <v>0</v>
      </c>
      <c r="BA75" s="48" t="n">
        <f aca="false">0</f>
        <v>0</v>
      </c>
      <c r="BB75" s="48" t="n">
        <f aca="false">0</f>
        <v>0</v>
      </c>
      <c r="BC75" s="48" t="n">
        <f aca="false">0</f>
        <v>0</v>
      </c>
      <c r="BD75" s="48" t="n">
        <f aca="false">0</f>
        <v>0</v>
      </c>
      <c r="BE75" s="48" t="n">
        <f aca="false">0</f>
        <v>0</v>
      </c>
      <c r="BF75" s="48" t="n">
        <f aca="false">0</f>
        <v>0</v>
      </c>
      <c r="BG75" s="48" t="n">
        <f aca="false">0</f>
        <v>0</v>
      </c>
      <c r="BH75" s="48" t="n">
        <f aca="false">0</f>
        <v>0</v>
      </c>
      <c r="BI75" s="48" t="n">
        <f aca="false">0</f>
        <v>0</v>
      </c>
      <c r="BJ75" s="48" t="n">
        <f aca="false">0</f>
        <v>0</v>
      </c>
      <c r="BK75" s="48" t="n">
        <f aca="false">0</f>
        <v>0</v>
      </c>
      <c r="BL75" s="48" t="n">
        <f aca="false">0</f>
        <v>0</v>
      </c>
      <c r="BM75" s="48" t="n">
        <f aca="false">0</f>
        <v>0</v>
      </c>
      <c r="BN75" s="48" t="n">
        <f aca="false">0</f>
        <v>0</v>
      </c>
      <c r="BO75" s="48" t="n">
        <f aca="false">0</f>
        <v>0</v>
      </c>
      <c r="BP75" s="48" t="n">
        <f aca="false">0</f>
        <v>0</v>
      </c>
      <c r="BQ75" s="48" t="n">
        <f aca="false">0</f>
        <v>0</v>
      </c>
      <c r="BR75" s="48" t="n">
        <f aca="false">0</f>
        <v>0</v>
      </c>
      <c r="BS75" s="48" t="n">
        <f aca="false">0</f>
        <v>0</v>
      </c>
      <c r="BT75" s="48" t="n">
        <f aca="false">0</f>
        <v>0</v>
      </c>
      <c r="BU75" s="48" t="n">
        <f aca="false">0</f>
        <v>0</v>
      </c>
      <c r="BV75" s="48" t="n">
        <f aca="false">0</f>
        <v>0</v>
      </c>
      <c r="BW75" s="48" t="n">
        <f aca="false">0</f>
        <v>0</v>
      </c>
      <c r="BX75" s="48" t="n">
        <f aca="false">0</f>
        <v>0</v>
      </c>
    </row>
    <row r="76" customFormat="false" ht="15" hidden="false" customHeight="false" outlineLevel="0" collapsed="false">
      <c r="A76" s="1"/>
      <c r="B76" s="8" t="s">
        <v>429</v>
      </c>
      <c r="C76" s="8" t="s">
        <v>126</v>
      </c>
      <c r="D76" s="44" t="n">
        <f aca="false">SUM(G76:BX76)</f>
        <v>315</v>
      </c>
      <c r="E76" s="1"/>
      <c r="F76" s="1"/>
      <c r="G76" s="48" t="n">
        <f aca="false">IF(G38=1,$D$27*$D$7*1000/1000000,0)</f>
        <v>0</v>
      </c>
      <c r="H76" s="48" t="n">
        <f aca="false">IF(H38=1,$D$27*$D$7*1000/1000000,0)</f>
        <v>0</v>
      </c>
      <c r="I76" s="48" t="n">
        <f aca="false">IF(I38=1,$D$27*$D$7*1000/1000000,0)</f>
        <v>0</v>
      </c>
      <c r="J76" s="48" t="n">
        <f aca="false">IF(J38=1,$D$27*$D$7*1000/1000000,0)</f>
        <v>0</v>
      </c>
      <c r="K76" s="48" t="n">
        <f aca="false">IF(K38=1,$D$27*$D$7*1000/1000000,0)</f>
        <v>10.5</v>
      </c>
      <c r="L76" s="48" t="n">
        <f aca="false">IF(L38=1,$D$27*$D$7*1000/1000000,0)</f>
        <v>10.5</v>
      </c>
      <c r="M76" s="48" t="n">
        <f aca="false">IF(M38=1,$D$27*$D$7*1000/1000000,0)</f>
        <v>10.5</v>
      </c>
      <c r="N76" s="48" t="n">
        <f aca="false">IF(N38=1,$D$27*$D$7*1000/1000000,0)</f>
        <v>10.5</v>
      </c>
      <c r="O76" s="48" t="n">
        <f aca="false">IF(O38=1,$D$27*$D$7*1000/1000000,0)</f>
        <v>10.5</v>
      </c>
      <c r="P76" s="48" t="n">
        <f aca="false">IF(P38=1,$D$27*$D$7*1000/1000000,0)</f>
        <v>10.5</v>
      </c>
      <c r="Q76" s="48" t="n">
        <f aca="false">IF(Q38=1,$D$27*$D$7*1000/1000000,0)</f>
        <v>10.5</v>
      </c>
      <c r="R76" s="48" t="n">
        <f aca="false">IF(R38=1,$D$27*$D$7*1000/1000000,0)</f>
        <v>10.5</v>
      </c>
      <c r="S76" s="48" t="n">
        <f aca="false">IF(S38=1,$D$27*$D$7*1000/1000000,0)</f>
        <v>10.5</v>
      </c>
      <c r="T76" s="48" t="n">
        <f aca="false">IF(T38=1,$D$27*$D$7*1000/1000000,0)</f>
        <v>10.5</v>
      </c>
      <c r="U76" s="48" t="n">
        <f aca="false">IF(U38=1,$D$27*$D$7*1000/1000000,0)</f>
        <v>10.5</v>
      </c>
      <c r="V76" s="48" t="n">
        <f aca="false">IF(V38=1,$D$27*$D$7*1000/1000000,0)</f>
        <v>10.5</v>
      </c>
      <c r="W76" s="48" t="n">
        <f aca="false">IF(W38=1,$D$27*$D$7*1000/1000000,0)</f>
        <v>10.5</v>
      </c>
      <c r="X76" s="48" t="n">
        <f aca="false">IF(X38=1,$D$27*$D$7*1000/1000000,0)</f>
        <v>10.5</v>
      </c>
      <c r="Y76" s="48" t="n">
        <f aca="false">IF(Y38=1,$D$27*$D$7*1000/1000000,0)</f>
        <v>10.5</v>
      </c>
      <c r="Z76" s="48" t="n">
        <f aca="false">IF(Z38=1,$D$27*$D$7*1000/1000000,0)</f>
        <v>10.5</v>
      </c>
      <c r="AA76" s="48" t="n">
        <f aca="false">IF(AA38=1,$D$27*$D$7*1000/1000000,0)</f>
        <v>10.5</v>
      </c>
      <c r="AB76" s="48" t="n">
        <f aca="false">IF(AB38=1,$D$27*$D$7*1000/1000000,0)</f>
        <v>10.5</v>
      </c>
      <c r="AC76" s="48" t="n">
        <f aca="false">IF(AC38=1,$D$27*$D$7*1000/1000000,0)</f>
        <v>10.5</v>
      </c>
      <c r="AD76" s="48" t="n">
        <f aca="false">IF(AD38=1,$D$27*$D$7*1000/1000000,0)</f>
        <v>10.5</v>
      </c>
      <c r="AE76" s="48" t="n">
        <f aca="false">IF(AE38=1,$D$27*$D$7*1000/1000000,0)</f>
        <v>10.5</v>
      </c>
      <c r="AF76" s="48" t="n">
        <f aca="false">IF(AF38=1,$D$27*$D$7*1000/1000000,0)</f>
        <v>10.5</v>
      </c>
      <c r="AG76" s="48" t="n">
        <f aca="false">IF(AG38=1,$D$27*$D$7*1000/1000000,0)</f>
        <v>10.5</v>
      </c>
      <c r="AH76" s="48" t="n">
        <f aca="false">IF(AH38=1,$D$27*$D$7*1000/1000000,0)</f>
        <v>10.5</v>
      </c>
      <c r="AI76" s="48" t="n">
        <f aca="false">IF(AI38=1,$D$27*$D$7*1000/1000000,0)</f>
        <v>10.5</v>
      </c>
      <c r="AJ76" s="48" t="n">
        <f aca="false">IF(AJ38=1,$D$27*$D$7*1000/1000000,0)</f>
        <v>10.5</v>
      </c>
      <c r="AK76" s="48" t="n">
        <f aca="false">IF(AK38=1,$D$27*$D$7*1000/1000000,0)</f>
        <v>10.5</v>
      </c>
      <c r="AL76" s="48" t="n">
        <f aca="false">IF(AL38=1,$D$27*$D$7*1000/1000000,0)</f>
        <v>10.5</v>
      </c>
      <c r="AM76" s="48" t="n">
        <f aca="false">IF(AM38=1,$D$27*$D$7*1000/1000000,0)</f>
        <v>10.5</v>
      </c>
      <c r="AN76" s="48" t="n">
        <f aca="false">IF(AN38=1,$D$27*$D$7*1000/1000000,0)</f>
        <v>10.5</v>
      </c>
      <c r="AO76" s="48" t="n">
        <f aca="false">IF(AO38=1,$D$27*$D$7*1000/1000000,0)</f>
        <v>0</v>
      </c>
      <c r="AP76" s="48" t="n">
        <f aca="false">IF(AP38=1,$D$27*$D$7*1000/1000000,0)</f>
        <v>0</v>
      </c>
      <c r="AQ76" s="48" t="n">
        <f aca="false">IF(AQ38=1,$D$27*$D$7*1000/1000000,0)</f>
        <v>0</v>
      </c>
      <c r="AR76" s="48" t="n">
        <f aca="false">IF(AR38=1,$D$27*$D$7*1000/1000000,0)</f>
        <v>0</v>
      </c>
      <c r="AS76" s="48" t="n">
        <f aca="false">IF(AS38=1,$D$27*$D$7*1000/1000000,0)</f>
        <v>0</v>
      </c>
      <c r="AT76" s="48" t="n">
        <f aca="false">IF(AT38=1,$D$27*$D$7*1000/1000000,0)</f>
        <v>0</v>
      </c>
      <c r="AU76" s="48" t="n">
        <f aca="false">IF(AU38=1,$D$27*$D$7*1000/1000000,0)</f>
        <v>0</v>
      </c>
      <c r="AV76" s="48" t="n">
        <f aca="false">IF(AV38=1,$D$27*$D$7*1000/1000000,0)</f>
        <v>0</v>
      </c>
      <c r="AW76" s="48" t="n">
        <f aca="false">IF(AW38=1,$D$27*$D$7*1000/1000000,0)</f>
        <v>0</v>
      </c>
      <c r="AX76" s="48" t="n">
        <f aca="false">IF(AX38=1,$D$27*$D$7*1000/1000000,0)</f>
        <v>0</v>
      </c>
      <c r="AY76" s="48" t="n">
        <f aca="false">IF(AY38=1,$D$27*$D$7*1000/1000000,0)</f>
        <v>0</v>
      </c>
      <c r="AZ76" s="48" t="n">
        <f aca="false">IF(AZ38=1,$D$27*$D$7*1000/1000000,0)</f>
        <v>0</v>
      </c>
      <c r="BA76" s="48" t="n">
        <f aca="false">IF(BA38=1,$D$27*$D$7*1000/1000000,0)</f>
        <v>0</v>
      </c>
      <c r="BB76" s="48" t="n">
        <f aca="false">IF(BB38=1,$D$27*$D$7*1000/1000000,0)</f>
        <v>0</v>
      </c>
      <c r="BC76" s="48" t="n">
        <f aca="false">IF(BC38=1,$D$27*$D$7*1000/1000000,0)</f>
        <v>0</v>
      </c>
      <c r="BD76" s="48" t="n">
        <f aca="false">IF(BD38=1,$D$27*$D$7*1000/1000000,0)</f>
        <v>0</v>
      </c>
      <c r="BE76" s="48" t="n">
        <f aca="false">IF(BE38=1,$D$27*$D$7*1000/1000000,0)</f>
        <v>0</v>
      </c>
      <c r="BF76" s="48" t="n">
        <f aca="false">IF(BF38=1,$D$27*$D$7*1000/1000000,0)</f>
        <v>0</v>
      </c>
      <c r="BG76" s="48" t="n">
        <f aca="false">IF(BG38=1,$D$27*$D$7*1000/1000000,0)</f>
        <v>0</v>
      </c>
      <c r="BH76" s="48" t="n">
        <f aca="false">IF(BH38=1,$D$27*$D$7*1000/1000000,0)</f>
        <v>0</v>
      </c>
      <c r="BI76" s="48" t="n">
        <f aca="false">IF(BI38=1,$D$27*$D$7*1000/1000000,0)</f>
        <v>0</v>
      </c>
      <c r="BJ76" s="48" t="n">
        <f aca="false">IF(BJ38=1,$D$27*$D$7*1000/1000000,0)</f>
        <v>0</v>
      </c>
      <c r="BK76" s="48" t="n">
        <f aca="false">IF(BK38=1,$D$27*$D$7*1000/1000000,0)</f>
        <v>0</v>
      </c>
      <c r="BL76" s="48" t="n">
        <f aca="false">IF(BL38=1,$D$27*$D$7*1000/1000000,0)</f>
        <v>0</v>
      </c>
      <c r="BM76" s="48" t="n">
        <f aca="false">IF(BM38=1,$D$27*$D$7*1000/1000000,0)</f>
        <v>0</v>
      </c>
      <c r="BN76" s="48" t="n">
        <f aca="false">IF(BN38=1,$D$27*$D$7*1000/1000000,0)</f>
        <v>0</v>
      </c>
      <c r="BO76" s="48" t="n">
        <f aca="false">IF(BO38=1,$D$27*$D$7*1000/1000000,0)</f>
        <v>0</v>
      </c>
      <c r="BP76" s="48" t="n">
        <f aca="false">IF(BP38=1,$D$27*$D$7*1000/1000000,0)</f>
        <v>0</v>
      </c>
      <c r="BQ76" s="48" t="n">
        <f aca="false">IF(BQ38=1,$D$27*$D$7*1000/1000000,0)</f>
        <v>0</v>
      </c>
      <c r="BR76" s="48" t="n">
        <f aca="false">IF(BR38=1,$D$27*$D$7*1000/1000000,0)</f>
        <v>0</v>
      </c>
      <c r="BS76" s="48" t="n">
        <f aca="false">IF(BS38=1,$D$27*$D$7*1000/1000000,0)</f>
        <v>0</v>
      </c>
      <c r="BT76" s="48" t="n">
        <f aca="false">IF(BT38=1,$D$27*$D$7*1000/1000000,0)</f>
        <v>0</v>
      </c>
      <c r="BU76" s="48" t="n">
        <f aca="false">IF(BU38=1,$D$27*$D$7*1000/1000000,0)</f>
        <v>0</v>
      </c>
      <c r="BV76" s="48" t="n">
        <f aca="false">IF(BV38=1,$D$27*$D$7*1000/1000000,0)</f>
        <v>0</v>
      </c>
      <c r="BW76" s="48" t="n">
        <f aca="false">IF(BW38=1,$D$27*$D$7*1000/1000000,0)</f>
        <v>0</v>
      </c>
      <c r="BX76" s="48" t="n">
        <f aca="false">IF(BX38=1,$D$27*$D$7*1000/1000000,0)</f>
        <v>0</v>
      </c>
    </row>
    <row r="77" customFormat="false" ht="15" hidden="false" customHeight="false" outlineLevel="0" collapsed="false">
      <c r="A77" s="1"/>
      <c r="B77" s="8" t="s">
        <v>342</v>
      </c>
      <c r="C77" s="8" t="s">
        <v>126</v>
      </c>
      <c r="D77" s="44" t="n">
        <f aca="false">SUM(G77:BX77)</f>
        <v>73.44</v>
      </c>
      <c r="E77" s="1"/>
      <c r="F77" s="1"/>
      <c r="G77" s="48" t="n">
        <f aca="false">IF(G38=1,$D$22*$D$21*$D$24,0)</f>
        <v>0</v>
      </c>
      <c r="H77" s="48" t="n">
        <f aca="false">IF(H38=1,$D$22*$D$21*$D$24,0)</f>
        <v>0</v>
      </c>
      <c r="I77" s="48" t="n">
        <f aca="false">IF(I38=1,$D$22*$D$21*$D$24,0)</f>
        <v>0</v>
      </c>
      <c r="J77" s="48" t="n">
        <f aca="false">IF(J38=1,$D$22*$D$21*$D$24,0)</f>
        <v>0</v>
      </c>
      <c r="K77" s="48" t="n">
        <f aca="false">IF(K38=1,$D$22*$D$21*$D$24,0)</f>
        <v>2.448</v>
      </c>
      <c r="L77" s="48" t="n">
        <f aca="false">IF(L38=1,$D$22*$D$21*$D$24,0)</f>
        <v>2.448</v>
      </c>
      <c r="M77" s="48" t="n">
        <f aca="false">IF(M38=1,$D$22*$D$21*$D$24,0)</f>
        <v>2.448</v>
      </c>
      <c r="N77" s="48" t="n">
        <f aca="false">IF(N38=1,$D$22*$D$21*$D$24,0)</f>
        <v>2.448</v>
      </c>
      <c r="O77" s="48" t="n">
        <f aca="false">IF(O38=1,$D$22*$D$21*$D$24,0)</f>
        <v>2.448</v>
      </c>
      <c r="P77" s="48" t="n">
        <f aca="false">IF(P38=1,$D$22*$D$21*$D$24,0)</f>
        <v>2.448</v>
      </c>
      <c r="Q77" s="48" t="n">
        <f aca="false">IF(Q38=1,$D$22*$D$21*$D$24,0)</f>
        <v>2.448</v>
      </c>
      <c r="R77" s="48" t="n">
        <f aca="false">IF(R38=1,$D$22*$D$21*$D$24,0)</f>
        <v>2.448</v>
      </c>
      <c r="S77" s="48" t="n">
        <f aca="false">IF(S38=1,$D$22*$D$21*$D$24,0)</f>
        <v>2.448</v>
      </c>
      <c r="T77" s="48" t="n">
        <f aca="false">IF(T38=1,$D$22*$D$21*$D$24,0)</f>
        <v>2.448</v>
      </c>
      <c r="U77" s="48" t="n">
        <f aca="false">IF(U38=1,$D$22*$D$21*$D$24,0)</f>
        <v>2.448</v>
      </c>
      <c r="V77" s="48" t="n">
        <f aca="false">IF(V38=1,$D$22*$D$21*$D$24,0)</f>
        <v>2.448</v>
      </c>
      <c r="W77" s="48" t="n">
        <f aca="false">IF(W38=1,$D$22*$D$21*$D$24,0)</f>
        <v>2.448</v>
      </c>
      <c r="X77" s="48" t="n">
        <f aca="false">IF(X38=1,$D$22*$D$21*$D$24,0)</f>
        <v>2.448</v>
      </c>
      <c r="Y77" s="48" t="n">
        <f aca="false">IF(Y38=1,$D$22*$D$21*$D$24,0)</f>
        <v>2.448</v>
      </c>
      <c r="Z77" s="48" t="n">
        <f aca="false">IF(Z38=1,$D$22*$D$21*$D$24,0)</f>
        <v>2.448</v>
      </c>
      <c r="AA77" s="48" t="n">
        <f aca="false">IF(AA38=1,$D$22*$D$21*$D$24,0)</f>
        <v>2.448</v>
      </c>
      <c r="AB77" s="48" t="n">
        <f aca="false">IF(AB38=1,$D$22*$D$21*$D$24,0)</f>
        <v>2.448</v>
      </c>
      <c r="AC77" s="48" t="n">
        <f aca="false">IF(AC38=1,$D$22*$D$21*$D$24,0)</f>
        <v>2.448</v>
      </c>
      <c r="AD77" s="48" t="n">
        <f aca="false">IF(AD38=1,$D$22*$D$21*$D$24,0)</f>
        <v>2.448</v>
      </c>
      <c r="AE77" s="48" t="n">
        <f aca="false">IF(AE38=1,$D$22*$D$21*$D$24,0)</f>
        <v>2.448</v>
      </c>
      <c r="AF77" s="48" t="n">
        <f aca="false">IF(AF38=1,$D$22*$D$21*$D$24,0)</f>
        <v>2.448</v>
      </c>
      <c r="AG77" s="48" t="n">
        <f aca="false">IF(AG38=1,$D$22*$D$21*$D$24,0)</f>
        <v>2.448</v>
      </c>
      <c r="AH77" s="48" t="n">
        <f aca="false">IF(AH38=1,$D$22*$D$21*$D$24,0)</f>
        <v>2.448</v>
      </c>
      <c r="AI77" s="48" t="n">
        <f aca="false">IF(AI38=1,$D$22*$D$21*$D$24,0)</f>
        <v>2.448</v>
      </c>
      <c r="AJ77" s="48" t="n">
        <f aca="false">IF(AJ38=1,$D$22*$D$21*$D$24,0)</f>
        <v>2.448</v>
      </c>
      <c r="AK77" s="48" t="n">
        <f aca="false">IF(AK38=1,$D$22*$D$21*$D$24,0)</f>
        <v>2.448</v>
      </c>
      <c r="AL77" s="48" t="n">
        <f aca="false">IF(AL38=1,$D$22*$D$21*$D$24,0)</f>
        <v>2.448</v>
      </c>
      <c r="AM77" s="48" t="n">
        <f aca="false">IF(AM38=1,$D$22*$D$21*$D$24,0)</f>
        <v>2.448</v>
      </c>
      <c r="AN77" s="48" t="n">
        <f aca="false">IF(AN38=1,$D$22*$D$21*$D$24,0)</f>
        <v>2.448</v>
      </c>
      <c r="AO77" s="48" t="n">
        <f aca="false">IF(AO38=1,$D$22*$D$21*$D$24,0)</f>
        <v>0</v>
      </c>
      <c r="AP77" s="48" t="n">
        <f aca="false">IF(AP38=1,$D$22*$D$21*$D$24,0)</f>
        <v>0</v>
      </c>
      <c r="AQ77" s="48" t="n">
        <f aca="false">IF(AQ38=1,$D$22*$D$21*$D$24,0)</f>
        <v>0</v>
      </c>
      <c r="AR77" s="48" t="n">
        <f aca="false">IF(AR38=1,$D$22*$D$21*$D$24,0)</f>
        <v>0</v>
      </c>
      <c r="AS77" s="48" t="n">
        <f aca="false">IF(AS38=1,$D$22*$D$21*$D$24,0)</f>
        <v>0</v>
      </c>
      <c r="AT77" s="48" t="n">
        <f aca="false">IF(AT38=1,$D$22*$D$21*$D$24,0)</f>
        <v>0</v>
      </c>
      <c r="AU77" s="48" t="n">
        <f aca="false">IF(AU38=1,$D$22*$D$21*$D$24,0)</f>
        <v>0</v>
      </c>
      <c r="AV77" s="48" t="n">
        <f aca="false">IF(AV38=1,$D$22*$D$21*$D$24,0)</f>
        <v>0</v>
      </c>
      <c r="AW77" s="48" t="n">
        <f aca="false">IF(AW38=1,$D$22*$D$21*$D$24,0)</f>
        <v>0</v>
      </c>
      <c r="AX77" s="48" t="n">
        <f aca="false">IF(AX38=1,$D$22*$D$21*$D$24,0)</f>
        <v>0</v>
      </c>
      <c r="AY77" s="48" t="n">
        <f aca="false">IF(AY38=1,$D$22*$D$21*$D$24,0)</f>
        <v>0</v>
      </c>
      <c r="AZ77" s="48" t="n">
        <f aca="false">IF(AZ38=1,$D$22*$D$21*$D$24,0)</f>
        <v>0</v>
      </c>
      <c r="BA77" s="48" t="n">
        <f aca="false">IF(BA38=1,$D$22*$D$21*$D$24,0)</f>
        <v>0</v>
      </c>
      <c r="BB77" s="48" t="n">
        <f aca="false">IF(BB38=1,$D$22*$D$21*$D$24,0)</f>
        <v>0</v>
      </c>
      <c r="BC77" s="48" t="n">
        <f aca="false">IF(BC38=1,$D$22*$D$21*$D$24,0)</f>
        <v>0</v>
      </c>
      <c r="BD77" s="48" t="n">
        <f aca="false">IF(BD38=1,$D$22*$D$21*$D$24,0)</f>
        <v>0</v>
      </c>
      <c r="BE77" s="48" t="n">
        <f aca="false">IF(BE38=1,$D$22*$D$21*$D$24,0)</f>
        <v>0</v>
      </c>
      <c r="BF77" s="48" t="n">
        <f aca="false">IF(BF38=1,$D$22*$D$21*$D$24,0)</f>
        <v>0</v>
      </c>
      <c r="BG77" s="48" t="n">
        <f aca="false">IF(BG38=1,$D$22*$D$21*$D$24,0)</f>
        <v>0</v>
      </c>
      <c r="BH77" s="48" t="n">
        <f aca="false">IF(BH38=1,$D$22*$D$21*$D$24,0)</f>
        <v>0</v>
      </c>
      <c r="BI77" s="48" t="n">
        <f aca="false">IF(BI38=1,$D$22*$D$21*$D$24,0)</f>
        <v>0</v>
      </c>
      <c r="BJ77" s="48" t="n">
        <f aca="false">IF(BJ38=1,$D$22*$D$21*$D$24,0)</f>
        <v>0</v>
      </c>
      <c r="BK77" s="48" t="n">
        <f aca="false">IF(BK38=1,$D$22*$D$21*$D$24,0)</f>
        <v>0</v>
      </c>
      <c r="BL77" s="48" t="n">
        <f aca="false">IF(BL38=1,$D$22*$D$21*$D$24,0)</f>
        <v>0</v>
      </c>
      <c r="BM77" s="48" t="n">
        <f aca="false">IF(BM38=1,$D$22*$D$21*$D$24,0)</f>
        <v>0</v>
      </c>
      <c r="BN77" s="48" t="n">
        <f aca="false">IF(BN38=1,$D$22*$D$21*$D$24,0)</f>
        <v>0</v>
      </c>
      <c r="BO77" s="48" t="n">
        <f aca="false">IF(BO38=1,$D$22*$D$21*$D$24,0)</f>
        <v>0</v>
      </c>
      <c r="BP77" s="48" t="n">
        <f aca="false">IF(BP38=1,$D$22*$D$21*$D$24,0)</f>
        <v>0</v>
      </c>
      <c r="BQ77" s="48" t="n">
        <f aca="false">IF(BQ38=1,$D$22*$D$21*$D$24,0)</f>
        <v>0</v>
      </c>
      <c r="BR77" s="48" t="n">
        <f aca="false">IF(BR38=1,$D$22*$D$21*$D$24,0)</f>
        <v>0</v>
      </c>
      <c r="BS77" s="48" t="n">
        <f aca="false">IF(BS38=1,$D$22*$D$21*$D$24,0)</f>
        <v>0</v>
      </c>
      <c r="BT77" s="48" t="n">
        <f aca="false">IF(BT38=1,$D$22*$D$21*$D$24,0)</f>
        <v>0</v>
      </c>
      <c r="BU77" s="48" t="n">
        <f aca="false">IF(BU38=1,$D$22*$D$21*$D$24,0)</f>
        <v>0</v>
      </c>
      <c r="BV77" s="48" t="n">
        <f aca="false">IF(BV38=1,$D$22*$D$21*$D$24,0)</f>
        <v>0</v>
      </c>
      <c r="BW77" s="48" t="n">
        <f aca="false">IF(BW38=1,$D$22*$D$21*$D$24,0)</f>
        <v>0</v>
      </c>
      <c r="BX77" s="48" t="n">
        <f aca="false">IF(BX38=1,$D$22*$D$21*$D$24,0)</f>
        <v>0</v>
      </c>
    </row>
    <row r="78" customFormat="false" ht="15" hidden="false" customHeight="false" outlineLevel="0" collapsed="false">
      <c r="A78" s="1"/>
      <c r="B78" s="8" t="s">
        <v>343</v>
      </c>
      <c r="C78" s="8" t="s">
        <v>126</v>
      </c>
      <c r="D78" s="44" t="n">
        <f aca="false">SUM(G78:BX78)</f>
        <v>15.9199955199404</v>
      </c>
      <c r="E78" s="1"/>
      <c r="F78" s="1"/>
      <c r="G78" s="48" t="n">
        <f aca="false">IF(G38=1,$D$18*MAX(G63,0),0)</f>
        <v>0</v>
      </c>
      <c r="H78" s="48" t="n">
        <f aca="false">IF(H38=1,$D$18*MAX(H63,0),0)</f>
        <v>0</v>
      </c>
      <c r="I78" s="48" t="n">
        <f aca="false">IF(I38=1,$D$18*MAX(I63,0),0)</f>
        <v>0</v>
      </c>
      <c r="J78" s="48" t="n">
        <f aca="false">IF(J38=1,$D$18*MAX(J63,0),0)</f>
        <v>0</v>
      </c>
      <c r="K78" s="48" t="n">
        <f aca="false">IF(K38=1,$D$18*MAX(K63,0),0)</f>
        <v>0.775745201866147</v>
      </c>
      <c r="L78" s="48" t="n">
        <f aca="false">IF(L38=1,$D$18*MAX(L63,0),0)</f>
        <v>0.724427342805486</v>
      </c>
      <c r="M78" s="48" t="n">
        <f aca="false">IF(M38=1,$D$18*MAX(M63,0),0)</f>
        <v>0.686704120320666</v>
      </c>
      <c r="N78" s="48" t="n">
        <f aca="false">IF(N38=1,$D$18*MAX(N63,0),0)</f>
        <v>0.646198583008131</v>
      </c>
      <c r="O78" s="48" t="n">
        <f aca="false">IF(O38=1,$D$18*MAX(O63,0),0)</f>
        <v>0.605792799209829</v>
      </c>
      <c r="P78" s="48" t="n">
        <f aca="false">IF(P38=1,$D$18*MAX(P63,0),0)</f>
        <v>0.591093928145615</v>
      </c>
      <c r="Q78" s="48" t="n">
        <f aca="false">IF(Q38=1,$D$18*MAX(Q63,0),0)</f>
        <v>0.57191856460325</v>
      </c>
      <c r="R78" s="48" t="n">
        <f aca="false">IF(R38=1,$D$18*MAX(R63,0),0)</f>
        <v>0.540942532501207</v>
      </c>
      <c r="S78" s="48" t="n">
        <f aca="false">IF(S38=1,$D$18*MAX(S63,0),0)</f>
        <v>0.530724752259083</v>
      </c>
      <c r="T78" s="48" t="n">
        <f aca="false">IF(T38=1,$D$18*MAX(T63,0),0)</f>
        <v>0.515999525689728</v>
      </c>
      <c r="U78" s="48" t="n">
        <f aca="false">IF(U38=1,$D$18*MAX(U63,0),0)</f>
        <v>0.512889269516832</v>
      </c>
      <c r="V78" s="48" t="n">
        <f aca="false">IF(V38=1,$D$18*MAX(V63,0),0)</f>
        <v>0.50960892552483</v>
      </c>
      <c r="W78" s="48" t="n">
        <f aca="false">IF(W38=1,$D$18*MAX(W63,0),0)</f>
        <v>0.507489154364544</v>
      </c>
      <c r="X78" s="48" t="n">
        <f aca="false">IF(X38=1,$D$18*MAX(X63,0),0)</f>
        <v>0.505083265970402</v>
      </c>
      <c r="Y78" s="48" t="n">
        <f aca="false">IF(Y38=1,$D$18*MAX(Y63,0),0)</f>
        <v>0.496337184948781</v>
      </c>
      <c r="Z78" s="48" t="n">
        <f aca="false">IF(Z38=1,$D$18*MAX(Z63,0),0)</f>
        <v>0.490652284065248</v>
      </c>
      <c r="AA78" s="48" t="n">
        <f aca="false">IF(AA38=1,$D$18*MAX(AA63,0),0)</f>
        <v>0.489523684479896</v>
      </c>
      <c r="AB78" s="48" t="n">
        <f aca="false">IF(AB38=1,$D$18*MAX(AB63,0),0)</f>
        <v>0.484204593357043</v>
      </c>
      <c r="AC78" s="48" t="n">
        <f aca="false">IF(AC38=1,$D$18*MAX(AC63,0),0)</f>
        <v>0.47905020576303</v>
      </c>
      <c r="AD78" s="48" t="n">
        <f aca="false">IF(AD38=1,$D$18*MAX(AD63,0),0)</f>
        <v>0.477941848480283</v>
      </c>
      <c r="AE78" s="48" t="n">
        <f aca="false">IF(AE38=1,$D$18*MAX(AE63,0),0)</f>
        <v>0.477933360504</v>
      </c>
      <c r="AF78" s="48" t="n">
        <f aca="false">IF(AF38=1,$D$18*MAX(AF63,0),0)</f>
        <v>0.477924872527718</v>
      </c>
      <c r="AG78" s="48" t="n">
        <f aca="false">IF(AG38=1,$D$18*MAX(AG63,0),0)</f>
        <v>0.477868830899819</v>
      </c>
      <c r="AH78" s="48" t="n">
        <f aca="false">IF(AH38=1,$D$18*MAX(AH63,0),0)</f>
        <v>0.477862948628268</v>
      </c>
      <c r="AI78" s="48" t="n">
        <f aca="false">IF(AI38=1,$D$18*MAX(AI63,0),0)</f>
        <v>0.477857066356718</v>
      </c>
      <c r="AJ78" s="48" t="n">
        <f aca="false">IF(AJ38=1,$D$18*MAX(AJ63,0),0)</f>
        <v>0.477851184085167</v>
      </c>
      <c r="AK78" s="48" t="n">
        <f aca="false">IF(AK38=1,$D$18*MAX(AK63,0),0)</f>
        <v>0.477845301813617</v>
      </c>
      <c r="AL78" s="48" t="n">
        <f aca="false">IF(AL38=1,$D$18*MAX(AL63,0),0)</f>
        <v>0.476809079520441</v>
      </c>
      <c r="AM78" s="48" t="n">
        <f aca="false">IF(AM38=1,$D$18*MAX(AM63,0),0)</f>
        <v>0.476804797952381</v>
      </c>
      <c r="AN78" s="48" t="n">
        <f aca="false">IF(AN38=1,$D$18*MAX(AN63,0),0)</f>
        <v>0.478910310772282</v>
      </c>
      <c r="AO78" s="48" t="n">
        <f aca="false">IF(AO38=1,$D$18*MAX(AO63,0),0)</f>
        <v>0</v>
      </c>
      <c r="AP78" s="48" t="n">
        <f aca="false">IF(AP38=1,$D$18*MAX(AP63,0),0)</f>
        <v>0</v>
      </c>
      <c r="AQ78" s="48" t="n">
        <f aca="false">IF(AQ38=1,$D$18*MAX(AQ63,0),0)</f>
        <v>0</v>
      </c>
      <c r="AR78" s="48" t="n">
        <f aca="false">IF(AR38=1,$D$18*MAX(AR63,0),0)</f>
        <v>0</v>
      </c>
      <c r="AS78" s="48" t="n">
        <f aca="false">IF(AS38=1,$D$18*MAX(AS63,0),0)</f>
        <v>0</v>
      </c>
      <c r="AT78" s="48" t="n">
        <f aca="false">IF(AT38=1,$D$18*MAX(AT63,0),0)</f>
        <v>0</v>
      </c>
      <c r="AU78" s="48" t="n">
        <f aca="false">IF(AU38=1,$D$18*MAX(AU63,0),0)</f>
        <v>0</v>
      </c>
      <c r="AV78" s="48" t="n">
        <f aca="false">IF(AV38=1,$D$18*MAX(AV63,0),0)</f>
        <v>0</v>
      </c>
      <c r="AW78" s="48" t="n">
        <f aca="false">IF(AW38=1,$D$18*MAX(AW63,0),0)</f>
        <v>0</v>
      </c>
      <c r="AX78" s="48" t="n">
        <f aca="false">IF(AX38=1,$D$18*MAX(AX63,0),0)</f>
        <v>0</v>
      </c>
      <c r="AY78" s="48" t="n">
        <f aca="false">IF(AY38=1,$D$18*MAX(AY63,0),0)</f>
        <v>0</v>
      </c>
      <c r="AZ78" s="48" t="n">
        <f aca="false">IF(AZ38=1,$D$18*MAX(AZ63,0),0)</f>
        <v>0</v>
      </c>
      <c r="BA78" s="48" t="n">
        <f aca="false">IF(BA38=1,$D$18*MAX(BA63,0),0)</f>
        <v>0</v>
      </c>
      <c r="BB78" s="48" t="n">
        <f aca="false">IF(BB38=1,$D$18*MAX(BB63,0),0)</f>
        <v>0</v>
      </c>
      <c r="BC78" s="48" t="n">
        <f aca="false">IF(BC38=1,$D$18*MAX(BC63,0),0)</f>
        <v>0</v>
      </c>
      <c r="BD78" s="48" t="n">
        <f aca="false">IF(BD38=1,$D$18*MAX(BD63,0),0)</f>
        <v>0</v>
      </c>
      <c r="BE78" s="48" t="n">
        <f aca="false">IF(BE38=1,$D$18*MAX(BE63,0),0)</f>
        <v>0</v>
      </c>
      <c r="BF78" s="48" t="n">
        <f aca="false">IF(BF38=1,$D$18*MAX(BF63,0),0)</f>
        <v>0</v>
      </c>
      <c r="BG78" s="48" t="n">
        <f aca="false">IF(BG38=1,$D$18*MAX(BG63,0),0)</f>
        <v>0</v>
      </c>
      <c r="BH78" s="48" t="n">
        <f aca="false">IF(BH38=1,$D$18*MAX(BH63,0),0)</f>
        <v>0</v>
      </c>
      <c r="BI78" s="48" t="n">
        <f aca="false">IF(BI38=1,$D$18*MAX(BI63,0),0)</f>
        <v>0</v>
      </c>
      <c r="BJ78" s="48" t="n">
        <f aca="false">IF(BJ38=1,$D$18*MAX(BJ63,0),0)</f>
        <v>0</v>
      </c>
      <c r="BK78" s="48" t="n">
        <f aca="false">IF(BK38=1,$D$18*MAX(BK63,0),0)</f>
        <v>0</v>
      </c>
      <c r="BL78" s="48" t="n">
        <f aca="false">IF(BL38=1,$D$18*MAX(BL63,0),0)</f>
        <v>0</v>
      </c>
      <c r="BM78" s="48" t="n">
        <f aca="false">IF(BM38=1,$D$18*MAX(BM63,0),0)</f>
        <v>0</v>
      </c>
      <c r="BN78" s="48" t="n">
        <f aca="false">IF(BN38=1,$D$18*MAX(BN63,0),0)</f>
        <v>0</v>
      </c>
      <c r="BO78" s="48" t="n">
        <f aca="false">IF(BO38=1,$D$18*MAX(BO63,0),0)</f>
        <v>0</v>
      </c>
      <c r="BP78" s="48" t="n">
        <f aca="false">IF(BP38=1,$D$18*MAX(BP63,0),0)</f>
        <v>0</v>
      </c>
      <c r="BQ78" s="48" t="n">
        <f aca="false">IF(BQ38=1,$D$18*MAX(BQ63,0),0)</f>
        <v>0</v>
      </c>
      <c r="BR78" s="48" t="n">
        <f aca="false">IF(BR38=1,$D$18*MAX(BR63,0),0)</f>
        <v>0</v>
      </c>
      <c r="BS78" s="48" t="n">
        <f aca="false">IF(BS38=1,$D$18*MAX(BS63,0),0)</f>
        <v>0</v>
      </c>
      <c r="BT78" s="48" t="n">
        <f aca="false">IF(BT38=1,$D$18*MAX(BT63,0),0)</f>
        <v>0</v>
      </c>
      <c r="BU78" s="48" t="n">
        <f aca="false">IF(BU38=1,$D$18*MAX(BU63,0),0)</f>
        <v>0</v>
      </c>
      <c r="BV78" s="48" t="n">
        <f aca="false">IF(BV38=1,$D$18*MAX(BV63,0),0)</f>
        <v>0</v>
      </c>
      <c r="BW78" s="48" t="n">
        <f aca="false">IF(BW38=1,$D$18*MAX(BW63,0),0)</f>
        <v>0</v>
      </c>
      <c r="BX78" s="48" t="n">
        <f aca="false">IF(BX38=1,$D$18*MAX(BX63,0),0)</f>
        <v>0</v>
      </c>
    </row>
    <row r="79" customFormat="false" ht="15" hidden="false" customHeight="false" outlineLevel="0" collapsed="false">
      <c r="A79" s="1"/>
      <c r="B79" s="4" t="s">
        <v>344</v>
      </c>
      <c r="C79" s="8" t="s">
        <v>126</v>
      </c>
      <c r="D79" s="44" t="n">
        <f aca="false">SUM(G79:BX79)</f>
        <v>3020.37159078883</v>
      </c>
      <c r="E79" s="1"/>
      <c r="F79" s="1"/>
      <c r="G79" s="44" t="n">
        <f aca="false">G67+G69+G70+G71+G72+G73+G75+G76+G77+G78</f>
        <v>0</v>
      </c>
      <c r="H79" s="44" t="n">
        <f aca="false">H67+H69+H70+H71+H72+H73+H75+H76+H77+H78</f>
        <v>0</v>
      </c>
      <c r="I79" s="44" t="n">
        <f aca="false">I67+I69+I70+I71+I72+I73+I75+I76+I77+I78</f>
        <v>0</v>
      </c>
      <c r="J79" s="44" t="n">
        <f aca="false">J67+J69+J70+J71+J72+J73+J75+J76+J77+J78</f>
        <v>0</v>
      </c>
      <c r="K79" s="44" t="n">
        <f aca="false">K67+K69+K70+K71+K72+K73+K75+K76+K77+K78</f>
        <v>137.204041194651</v>
      </c>
      <c r="L79" s="44" t="n">
        <f aca="false">L67+L69+L70+L71+L72+L73+L75+L76+L77+L78</f>
        <v>129.221190734167</v>
      </c>
      <c r="M79" s="44" t="n">
        <f aca="false">M67+M69+M70+M71+M72+M73+M75+M76+M77+M78</f>
        <v>123.819320985321</v>
      </c>
      <c r="N79" s="44" t="n">
        <f aca="false">N67+N69+N70+N71+N72+N73+N75+N76+N77+N78</f>
        <v>117.75395927679</v>
      </c>
      <c r="O79" s="44" t="n">
        <f aca="false">O67+O69+O70+O71+O72+O73+O75+O76+O77+O78</f>
        <v>111.513162216151</v>
      </c>
      <c r="P79" s="44" t="n">
        <f aca="false">P67+P69+P70+P71+P72+P73+P75+P76+P77+P78</f>
        <v>109.583940864141</v>
      </c>
      <c r="Q79" s="44" t="n">
        <f aca="false">Q67+Q69+Q70+Q71+Q72+Q73+Q75+Q76+Q77+Q78</f>
        <v>106.779719212743</v>
      </c>
      <c r="R79" s="44" t="n">
        <f aca="false">R67+R69+R70+R71+R72+R73+R75+R76+R77+R78</f>
        <v>101.479783445663</v>
      </c>
      <c r="S79" s="44" t="n">
        <f aca="false">S67+S69+S70+S71+S72+S73+S75+S76+S77+S78</f>
        <v>100.338464271084</v>
      </c>
      <c r="T79" s="44" t="n">
        <f aca="false">T67+T69+T70+T71+T72+T73+T75+T76+T77+T78</f>
        <v>98.2941014181721</v>
      </c>
      <c r="U79" s="44" t="n">
        <f aca="false">U67+U69+U70+U71+U72+U73+U75+U76+U77+U78</f>
        <v>97.9177978881579</v>
      </c>
      <c r="V79" s="44" t="n">
        <f aca="false">V67+V69+V70+V71+V72+V73+V75+V76+V77+V78</f>
        <v>97.5120600210937</v>
      </c>
      <c r="W79" s="44" t="n">
        <f aca="false">W67+W69+W70+W71+W72+W73+W75+W76+W77+W78</f>
        <v>97.3291789883974</v>
      </c>
      <c r="X79" s="44" t="n">
        <f aca="false">X67+X69+X70+X71+X72+X73+X75+X76+X77+X78</f>
        <v>97.0740774615444</v>
      </c>
      <c r="Y79" s="44" t="n">
        <f aca="false">Y67+Y69+Y70+Y71+Y72+Y73+Y75+Y76+Y77+Y78</f>
        <v>95.5843164082351</v>
      </c>
      <c r="Z79" s="44" t="n">
        <f aca="false">Z67+Z69+Z70+Z71+Z72+Z73+Z75+Z76+Z77+Z78</f>
        <v>94.6453404530037</v>
      </c>
      <c r="AA79" s="44" t="n">
        <f aca="false">AA67+AA69+AA70+AA71+AA72+AA73+AA75+AA76+AA77+AA78</f>
        <v>94.6442118534184</v>
      </c>
      <c r="AB79" s="44" t="n">
        <f aca="false">AB67+AB69+AB70+AB71+AB72+AB73+AB75+AB76+AB77+AB78</f>
        <v>93.8037947115368</v>
      </c>
      <c r="AC79" s="44" t="n">
        <f aca="false">AC67+AC69+AC70+AC71+AC72+AC73+AC75+AC76+AC77+AC78</f>
        <v>93.0229895270293</v>
      </c>
      <c r="AD79" s="44" t="n">
        <f aca="false">AD67+AD69+AD70+AD71+AD72+AD73+AD75+AD76+AD77+AD78</f>
        <v>93.0218811697466</v>
      </c>
      <c r="AE79" s="44" t="n">
        <f aca="false">AE67+AE69+AE70+AE71+AE72+AE73+AE75+AE76+AE77+AE78</f>
        <v>93.0218726817703</v>
      </c>
      <c r="AF79" s="44" t="n">
        <f aca="false">AF67+AF69+AF70+AF71+AF72+AF73+AF75+AF76+AF77+AF78</f>
        <v>93.021864193794</v>
      </c>
      <c r="AG79" s="44" t="n">
        <f aca="false">AG67+AG69+AG70+AG71+AG72+AG73+AG75+AG76+AG77+AG78</f>
        <v>93.0023569008843</v>
      </c>
      <c r="AH79" s="44" t="n">
        <f aca="false">AH67+AH69+AH70+AH71+AH72+AH73+AH75+AH76+AH77+AH78</f>
        <v>93.0023510186127</v>
      </c>
      <c r="AI79" s="44" t="n">
        <f aca="false">AI67+AI69+AI70+AI71+AI72+AI73+AI75+AI76+AI77+AI78</f>
        <v>93.0023451363412</v>
      </c>
      <c r="AJ79" s="44" t="n">
        <f aca="false">AJ67+AJ69+AJ70+AJ71+AJ72+AJ73+AJ75+AJ76+AJ77+AJ78</f>
        <v>93.0023392540696</v>
      </c>
      <c r="AK79" s="44" t="n">
        <f aca="false">AK67+AK69+AK70+AK71+AK72+AK73+AK75+AK76+AK77+AK78</f>
        <v>93.0023333717981</v>
      </c>
      <c r="AL79" s="44" t="n">
        <f aca="false">AL67+AL69+AL70+AL71+AL72+AL73+AL75+AL76+AL77+AL78</f>
        <v>92.789413885918</v>
      </c>
      <c r="AM79" s="44" t="n">
        <f aca="false">AM67+AM69+AM70+AM71+AM72+AM73+AM75+AM76+AM77+AM78</f>
        <v>92.7894096043499</v>
      </c>
      <c r="AN79" s="44" t="n">
        <f aca="false">AN67+AN69+AN70+AN71+AN72+AN73+AN75+AN76+AN77+AN78</f>
        <v>93.193972640242</v>
      </c>
      <c r="AO79" s="44" t="n">
        <f aca="false">AO67+AO69+AO70+AO71+AO72+AO73+AO75+AO76+AO77+AO78</f>
        <v>0</v>
      </c>
      <c r="AP79" s="44" t="n">
        <f aca="false">AP67+AP69+AP70+AP71+AP72+AP73+AP75+AP76+AP77+AP78</f>
        <v>0</v>
      </c>
      <c r="AQ79" s="44" t="n">
        <f aca="false">AQ67+AQ69+AQ70+AQ71+AQ72+AQ73+AQ75+AQ76+AQ77+AQ78</f>
        <v>0</v>
      </c>
      <c r="AR79" s="44" t="n">
        <f aca="false">AR67+AR69+AR70+AR71+AR72+AR73+AR75+AR76+AR77+AR78</f>
        <v>0</v>
      </c>
      <c r="AS79" s="44" t="n">
        <f aca="false">AS67+AS69+AS70+AS71+AS72+AS73+AS75+AS76+AS77+AS78</f>
        <v>0</v>
      </c>
      <c r="AT79" s="44" t="n">
        <f aca="false">AT67+AT69+AT70+AT71+AT72+AT73+AT75+AT76+AT77+AT78</f>
        <v>0</v>
      </c>
      <c r="AU79" s="44" t="n">
        <f aca="false">AU67+AU69+AU70+AU71+AU72+AU73+AU75+AU76+AU77+AU78</f>
        <v>0</v>
      </c>
      <c r="AV79" s="44" t="n">
        <f aca="false">AV67+AV69+AV70+AV71+AV72+AV73+AV75+AV76+AV77+AV78</f>
        <v>0</v>
      </c>
      <c r="AW79" s="44" t="n">
        <f aca="false">AW67+AW69+AW70+AW71+AW72+AW73+AW75+AW76+AW77+AW78</f>
        <v>0</v>
      </c>
      <c r="AX79" s="44" t="n">
        <f aca="false">AX67+AX69+AX70+AX71+AX72+AX73+AX75+AX76+AX77+AX78</f>
        <v>0</v>
      </c>
      <c r="AY79" s="44" t="n">
        <f aca="false">AY67+AY69+AY70+AY71+AY72+AY73+AY75+AY76+AY77+AY78</f>
        <v>0</v>
      </c>
      <c r="AZ79" s="44" t="n">
        <f aca="false">AZ67+AZ69+AZ70+AZ71+AZ72+AZ73+AZ75+AZ76+AZ77+AZ78</f>
        <v>0</v>
      </c>
      <c r="BA79" s="44" t="n">
        <f aca="false">BA67+BA69+BA70+BA71+BA72+BA73+BA75+BA76+BA77+BA78</f>
        <v>0</v>
      </c>
      <c r="BB79" s="44" t="n">
        <f aca="false">BB67+BB69+BB70+BB71+BB72+BB73+BB75+BB76+BB77+BB78</f>
        <v>0</v>
      </c>
      <c r="BC79" s="44" t="n">
        <f aca="false">BC67+BC69+BC70+BC71+BC72+BC73+BC75+BC76+BC77+BC78</f>
        <v>0</v>
      </c>
      <c r="BD79" s="44" t="n">
        <f aca="false">BD67+BD69+BD70+BD71+BD72+BD73+BD75+BD76+BD77+BD78</f>
        <v>0</v>
      </c>
      <c r="BE79" s="44" t="n">
        <f aca="false">BE67+BE69+BE70+BE71+BE72+BE73+BE75+BE76+BE77+BE78</f>
        <v>0</v>
      </c>
      <c r="BF79" s="44" t="n">
        <f aca="false">BF67+BF69+BF70+BF71+BF72+BF73+BF75+BF76+BF77+BF78</f>
        <v>0</v>
      </c>
      <c r="BG79" s="44" t="n">
        <f aca="false">BG67+BG69+BG70+BG71+BG72+BG73+BG75+BG76+BG77+BG78</f>
        <v>0</v>
      </c>
      <c r="BH79" s="44" t="n">
        <f aca="false">BH67+BH69+BH70+BH71+BH72+BH73+BH75+BH76+BH77+BH78</f>
        <v>0</v>
      </c>
      <c r="BI79" s="44" t="n">
        <f aca="false">BI67+BI69+BI70+BI71+BI72+BI73+BI75+BI76+BI77+BI78</f>
        <v>0</v>
      </c>
      <c r="BJ79" s="44" t="n">
        <f aca="false">BJ67+BJ69+BJ70+BJ71+BJ72+BJ73+BJ75+BJ76+BJ77+BJ78</f>
        <v>0</v>
      </c>
      <c r="BK79" s="44" t="n">
        <f aca="false">BK67+BK69+BK70+BK71+BK72+BK73+BK75+BK76+BK77+BK78</f>
        <v>0</v>
      </c>
      <c r="BL79" s="44" t="n">
        <f aca="false">BL67+BL69+BL70+BL71+BL72+BL73+BL75+BL76+BL77+BL78</f>
        <v>0</v>
      </c>
      <c r="BM79" s="44" t="n">
        <f aca="false">BM67+BM69+BM70+BM71+BM72+BM73+BM75+BM76+BM77+BM78</f>
        <v>0</v>
      </c>
      <c r="BN79" s="44" t="n">
        <f aca="false">BN67+BN69+BN70+BN71+BN72+BN73+BN75+BN76+BN77+BN78</f>
        <v>0</v>
      </c>
      <c r="BO79" s="44" t="n">
        <f aca="false">BO67+BO69+BO70+BO71+BO72+BO73+BO75+BO76+BO77+BO78</f>
        <v>0</v>
      </c>
      <c r="BP79" s="44" t="n">
        <f aca="false">BP67+BP69+BP70+BP71+BP72+BP73+BP75+BP76+BP77+BP78</f>
        <v>0</v>
      </c>
      <c r="BQ79" s="44" t="n">
        <f aca="false">BQ67+BQ69+BQ70+BQ71+BQ72+BQ73+BQ75+BQ76+BQ77+BQ78</f>
        <v>0</v>
      </c>
      <c r="BR79" s="44" t="n">
        <f aca="false">BR67+BR69+BR70+BR71+BR72+BR73+BR75+BR76+BR77+BR78</f>
        <v>0</v>
      </c>
      <c r="BS79" s="44" t="n">
        <f aca="false">BS67+BS69+BS70+BS71+BS72+BS73+BS75+BS76+BS77+BS78</f>
        <v>0</v>
      </c>
      <c r="BT79" s="44" t="n">
        <f aca="false">BT67+BT69+BT70+BT71+BT72+BT73+BT75+BT76+BT77+BT78</f>
        <v>0</v>
      </c>
      <c r="BU79" s="44" t="n">
        <f aca="false">BU67+BU69+BU70+BU71+BU72+BU73+BU75+BU76+BU77+BU78</f>
        <v>0</v>
      </c>
      <c r="BV79" s="44" t="n">
        <f aca="false">BV67+BV69+BV70+BV71+BV72+BV73+BV75+BV76+BV77+BV78</f>
        <v>0</v>
      </c>
      <c r="BW79" s="44" t="n">
        <f aca="false">BW67+BW69+BW70+BW71+BW72+BW73+BW75+BW76+BW77+BW78</f>
        <v>0</v>
      </c>
      <c r="BX79" s="44" t="n">
        <f aca="false">BX67+BX69+BX70+BX71+BX72+BX73+BX75+BX76+BX77+BX78</f>
        <v>0</v>
      </c>
    </row>
    <row r="80" customFormat="false" ht="15" hidden="false" customHeight="false" outlineLevel="0" collapsed="false">
      <c r="A80" s="1"/>
      <c r="B80" s="4" t="s">
        <v>345</v>
      </c>
      <c r="C80" s="8" t="s">
        <v>126</v>
      </c>
      <c r="D80" s="44" t="n">
        <f aca="false">SUM(G80:BX80)</f>
        <v>163.627513199262</v>
      </c>
      <c r="E80" s="1"/>
      <c r="F80" s="1"/>
      <c r="G80" s="44" t="n">
        <f aca="false">G63-G79</f>
        <v>0</v>
      </c>
      <c r="H80" s="44" t="n">
        <f aca="false">H63-H79</f>
        <v>0</v>
      </c>
      <c r="I80" s="44" t="n">
        <f aca="false">I63-I79</f>
        <v>0</v>
      </c>
      <c r="J80" s="44" t="n">
        <f aca="false">J63-J79</f>
        <v>0</v>
      </c>
      <c r="K80" s="44" t="n">
        <f aca="false">K63-K79</f>
        <v>17.9449991785781</v>
      </c>
      <c r="L80" s="44" t="n">
        <f aca="false">L63-L79</f>
        <v>15.66427782693</v>
      </c>
      <c r="M80" s="44" t="n">
        <f aca="false">M63-M79</f>
        <v>13.5215030788125</v>
      </c>
      <c r="N80" s="44" t="n">
        <f aca="false">N63-N79</f>
        <v>11.4857573248366</v>
      </c>
      <c r="O80" s="44" t="n">
        <f aca="false">O63-O79</f>
        <v>9.64539762581437</v>
      </c>
      <c r="P80" s="44" t="n">
        <f aca="false">P63-P79</f>
        <v>8.63484476498211</v>
      </c>
      <c r="Q80" s="44" t="n">
        <f aca="false">Q63-Q79</f>
        <v>7.60399370790726</v>
      </c>
      <c r="R80" s="44" t="n">
        <f aca="false">R63-R79</f>
        <v>6.7087230545788</v>
      </c>
      <c r="S80" s="44" t="n">
        <f aca="false">S63-S79</f>
        <v>5.80648618073251</v>
      </c>
      <c r="T80" s="44" t="n">
        <f aca="false">T63-T79</f>
        <v>4.90580371977342</v>
      </c>
      <c r="U80" s="44" t="n">
        <f aca="false">U63-U79</f>
        <v>4.66005601520844</v>
      </c>
      <c r="V80" s="44" t="n">
        <f aca="false">V63-V79</f>
        <v>4.40972508387235</v>
      </c>
      <c r="W80" s="44" t="n">
        <f aca="false">W63-W79</f>
        <v>4.16865188451149</v>
      </c>
      <c r="X80" s="44" t="n">
        <f aca="false">X63-X79</f>
        <v>3.94257573253591</v>
      </c>
      <c r="Y80" s="44" t="n">
        <f aca="false">Y63-Y79</f>
        <v>3.68312058152107</v>
      </c>
      <c r="Z80" s="44" t="n">
        <f aca="false">Z63-Z79</f>
        <v>3.48511636004584</v>
      </c>
      <c r="AA80" s="44" t="n">
        <f aca="false">AA63-AA79</f>
        <v>3.26052504256084</v>
      </c>
      <c r="AB80" s="44" t="n">
        <f aca="false">AB63-AB79</f>
        <v>3.03712395987188</v>
      </c>
      <c r="AC80" s="44" t="n">
        <f aca="false">AC63-AC79</f>
        <v>2.78705162557678</v>
      </c>
      <c r="AD80" s="44" t="n">
        <f aca="false">AD63-AD79</f>
        <v>2.56648852631007</v>
      </c>
      <c r="AE80" s="44" t="n">
        <f aca="false">AE63-AE79</f>
        <v>2.56479941902981</v>
      </c>
      <c r="AF80" s="44" t="n">
        <f aca="false">AF63-AF79</f>
        <v>2.56311031174951</v>
      </c>
      <c r="AG80" s="44" t="n">
        <f aca="false">AG63-AG79</f>
        <v>2.57140927907948</v>
      </c>
      <c r="AH80" s="44" t="n">
        <f aca="false">AH63-AH79</f>
        <v>2.5702387070409</v>
      </c>
      <c r="AI80" s="44" t="n">
        <f aca="false">AI63-AI79</f>
        <v>2.56906813500235</v>
      </c>
      <c r="AJ80" s="44" t="n">
        <f aca="false">AJ63-AJ79</f>
        <v>2.56789756296378</v>
      </c>
      <c r="AK80" s="44" t="n">
        <f aca="false">AK63-AK79</f>
        <v>2.56672699092523</v>
      </c>
      <c r="AL80" s="44" t="n">
        <f aca="false">AL63-AL79</f>
        <v>2.57240201817021</v>
      </c>
      <c r="AM80" s="44" t="n">
        <f aca="false">AM63-AM79</f>
        <v>2.57154998612631</v>
      </c>
      <c r="AN80" s="44" t="n">
        <f aca="false">AN63-AN79</f>
        <v>2.58808951421436</v>
      </c>
      <c r="AO80" s="44" t="n">
        <f aca="false">AO63-AO79</f>
        <v>0</v>
      </c>
      <c r="AP80" s="44" t="n">
        <f aca="false">AP63-AP79</f>
        <v>0</v>
      </c>
      <c r="AQ80" s="44" t="n">
        <f aca="false">AQ63-AQ79</f>
        <v>0</v>
      </c>
      <c r="AR80" s="44" t="n">
        <f aca="false">AR63-AR79</f>
        <v>0</v>
      </c>
      <c r="AS80" s="44" t="n">
        <f aca="false">AS63-AS79</f>
        <v>0</v>
      </c>
      <c r="AT80" s="44" t="n">
        <f aca="false">AT63-AT79</f>
        <v>0</v>
      </c>
      <c r="AU80" s="44" t="n">
        <f aca="false">AU63-AU79</f>
        <v>0</v>
      </c>
      <c r="AV80" s="44" t="n">
        <f aca="false">AV63-AV79</f>
        <v>0</v>
      </c>
      <c r="AW80" s="44" t="n">
        <f aca="false">AW63-AW79</f>
        <v>0</v>
      </c>
      <c r="AX80" s="44" t="n">
        <f aca="false">AX63-AX79</f>
        <v>0</v>
      </c>
      <c r="AY80" s="44" t="n">
        <f aca="false">AY63-AY79</f>
        <v>0</v>
      </c>
      <c r="AZ80" s="44" t="n">
        <f aca="false">AZ63-AZ79</f>
        <v>0</v>
      </c>
      <c r="BA80" s="44" t="n">
        <f aca="false">BA63-BA79</f>
        <v>0</v>
      </c>
      <c r="BB80" s="44" t="n">
        <f aca="false">BB63-BB79</f>
        <v>0</v>
      </c>
      <c r="BC80" s="44" t="n">
        <f aca="false">BC63-BC79</f>
        <v>0</v>
      </c>
      <c r="BD80" s="44" t="n">
        <f aca="false">BD63-BD79</f>
        <v>0</v>
      </c>
      <c r="BE80" s="44" t="n">
        <f aca="false">BE63-BE79</f>
        <v>0</v>
      </c>
      <c r="BF80" s="44" t="n">
        <f aca="false">BF63-BF79</f>
        <v>0</v>
      </c>
      <c r="BG80" s="44" t="n">
        <f aca="false">BG63-BG79</f>
        <v>0</v>
      </c>
      <c r="BH80" s="44" t="n">
        <f aca="false">BH63-BH79</f>
        <v>0</v>
      </c>
      <c r="BI80" s="44" t="n">
        <f aca="false">BI63-BI79</f>
        <v>0</v>
      </c>
      <c r="BJ80" s="44" t="n">
        <f aca="false">BJ63-BJ79</f>
        <v>0</v>
      </c>
      <c r="BK80" s="44" t="n">
        <f aca="false">BK63-BK79</f>
        <v>0</v>
      </c>
      <c r="BL80" s="44" t="n">
        <f aca="false">BL63-BL79</f>
        <v>0</v>
      </c>
      <c r="BM80" s="44" t="n">
        <f aca="false">BM63-BM79</f>
        <v>0</v>
      </c>
      <c r="BN80" s="44" t="n">
        <f aca="false">BN63-BN79</f>
        <v>0</v>
      </c>
      <c r="BO80" s="44" t="n">
        <f aca="false">BO63-BO79</f>
        <v>0</v>
      </c>
      <c r="BP80" s="44" t="n">
        <f aca="false">BP63-BP79</f>
        <v>0</v>
      </c>
      <c r="BQ80" s="44" t="n">
        <f aca="false">BQ63-BQ79</f>
        <v>0</v>
      </c>
      <c r="BR80" s="44" t="n">
        <f aca="false">BR63-BR79</f>
        <v>0</v>
      </c>
      <c r="BS80" s="44" t="n">
        <f aca="false">BS63-BS79</f>
        <v>0</v>
      </c>
      <c r="BT80" s="44" t="n">
        <f aca="false">BT63-BT79</f>
        <v>0</v>
      </c>
      <c r="BU80" s="44" t="n">
        <f aca="false">BU63-BU79</f>
        <v>0</v>
      </c>
      <c r="BV80" s="44" t="n">
        <f aca="false">BV63-BV79</f>
        <v>0</v>
      </c>
      <c r="BW80" s="44" t="n">
        <f aca="false">BW63-BW79</f>
        <v>0</v>
      </c>
      <c r="BX80" s="44" t="n">
        <f aca="false">BX63-BX79</f>
        <v>0</v>
      </c>
    </row>
    <row r="81" customFormat="false" ht="15" hidden="false" customHeight="false" outlineLevel="0" collapsed="false">
      <c r="A81" s="1"/>
      <c r="B81" s="8" t="s">
        <v>430</v>
      </c>
      <c r="C81" s="8" t="s">
        <v>126</v>
      </c>
      <c r="D81" s="44" t="n">
        <f aca="false">SUM(G81:BX81)</f>
        <v>51</v>
      </c>
      <c r="E81" s="1"/>
      <c r="F81" s="1"/>
      <c r="G81" s="48" t="n">
        <f aca="false">IF(G$4=$D$10+$D$11-1,$D$29*$D$24,0)</f>
        <v>0</v>
      </c>
      <c r="H81" s="48" t="n">
        <f aca="false">IF(H$4=$D$10+$D$11-1,$D$29*$D$24,0)</f>
        <v>0</v>
      </c>
      <c r="I81" s="48" t="n">
        <f aca="false">IF(I$4=$D$10+$D$11-1,$D$29*$D$24,0)</f>
        <v>0</v>
      </c>
      <c r="J81" s="48" t="n">
        <f aca="false">IF(J$4=$D$10+$D$11-1,$D$29*$D$24,0)</f>
        <v>0</v>
      </c>
      <c r="K81" s="48" t="n">
        <f aca="false">IF(K$4=$D$10+$D$11-1,$D$29*$D$24,0)</f>
        <v>0</v>
      </c>
      <c r="L81" s="48" t="n">
        <f aca="false">IF(L$4=$D$10+$D$11-1,$D$29*$D$24,0)</f>
        <v>0</v>
      </c>
      <c r="M81" s="48" t="n">
        <f aca="false">IF(M$4=$D$10+$D$11-1,$D$29*$D$24,0)</f>
        <v>0</v>
      </c>
      <c r="N81" s="48" t="n">
        <f aca="false">IF(N$4=$D$10+$D$11-1,$D$29*$D$24,0)</f>
        <v>0</v>
      </c>
      <c r="O81" s="48" t="n">
        <f aca="false">IF(O$4=$D$10+$D$11-1,$D$29*$D$24,0)</f>
        <v>0</v>
      </c>
      <c r="P81" s="48" t="n">
        <f aca="false">IF(P$4=$D$10+$D$11-1,$D$29*$D$24,0)</f>
        <v>0</v>
      </c>
      <c r="Q81" s="48" t="n">
        <f aca="false">IF(Q$4=$D$10+$D$11-1,$D$29*$D$24,0)</f>
        <v>0</v>
      </c>
      <c r="R81" s="48" t="n">
        <f aca="false">IF(R$4=$D$10+$D$11-1,$D$29*$D$24,0)</f>
        <v>0</v>
      </c>
      <c r="S81" s="48" t="n">
        <f aca="false">IF(S$4=$D$10+$D$11-1,$D$29*$D$24,0)</f>
        <v>0</v>
      </c>
      <c r="T81" s="48" t="n">
        <f aca="false">IF(T$4=$D$10+$D$11-1,$D$29*$D$24,0)</f>
        <v>0</v>
      </c>
      <c r="U81" s="48" t="n">
        <f aca="false">IF(U$4=$D$10+$D$11-1,$D$29*$D$24,0)</f>
        <v>0</v>
      </c>
      <c r="V81" s="48" t="n">
        <f aca="false">IF(V$4=$D$10+$D$11-1,$D$29*$D$24,0)</f>
        <v>0</v>
      </c>
      <c r="W81" s="48" t="n">
        <f aca="false">IF(W$4=$D$10+$D$11-1,$D$29*$D$24,0)</f>
        <v>0</v>
      </c>
      <c r="X81" s="48" t="n">
        <f aca="false">IF(X$4=$D$10+$D$11-1,$D$29*$D$24,0)</f>
        <v>0</v>
      </c>
      <c r="Y81" s="48" t="n">
        <f aca="false">IF(Y$4=$D$10+$D$11-1,$D$29*$D$24,0)</f>
        <v>0</v>
      </c>
      <c r="Z81" s="48" t="n">
        <f aca="false">IF(Z$4=$D$10+$D$11-1,$D$29*$D$24,0)</f>
        <v>0</v>
      </c>
      <c r="AA81" s="48" t="n">
        <f aca="false">IF(AA$4=$D$10+$D$11-1,$D$29*$D$24,0)</f>
        <v>0</v>
      </c>
      <c r="AB81" s="48" t="n">
        <f aca="false">IF(AB$4=$D$10+$D$11-1,$D$29*$D$24,0)</f>
        <v>0</v>
      </c>
      <c r="AC81" s="48" t="n">
        <f aca="false">IF(AC$4=$D$10+$D$11-1,$D$29*$D$24,0)</f>
        <v>0</v>
      </c>
      <c r="AD81" s="48" t="n">
        <f aca="false">IF(AD$4=$D$10+$D$11-1,$D$29*$D$24,0)</f>
        <v>0</v>
      </c>
      <c r="AE81" s="48" t="n">
        <f aca="false">IF(AE$4=$D$10+$D$11-1,$D$29*$D$24,0)</f>
        <v>0</v>
      </c>
      <c r="AF81" s="48" t="n">
        <f aca="false">IF(AF$4=$D$10+$D$11-1,$D$29*$D$24,0)</f>
        <v>0</v>
      </c>
      <c r="AG81" s="48" t="n">
        <f aca="false">IF(AG$4=$D$10+$D$11-1,$D$29*$D$24,0)</f>
        <v>0</v>
      </c>
      <c r="AH81" s="48" t="n">
        <f aca="false">IF(AH$4=$D$10+$D$11-1,$D$29*$D$24,0)</f>
        <v>0</v>
      </c>
      <c r="AI81" s="48" t="n">
        <f aca="false">IF(AI$4=$D$10+$D$11-1,$D$29*$D$24,0)</f>
        <v>0</v>
      </c>
      <c r="AJ81" s="48" t="n">
        <f aca="false">IF(AJ$4=$D$10+$D$11-1,$D$29*$D$24,0)</f>
        <v>0</v>
      </c>
      <c r="AK81" s="48" t="n">
        <f aca="false">IF(AK$4=$D$10+$D$11-1,$D$29*$D$24,0)</f>
        <v>0</v>
      </c>
      <c r="AL81" s="48" t="n">
        <f aca="false">IF(AL$4=$D$10+$D$11-1,$D$29*$D$24,0)</f>
        <v>0</v>
      </c>
      <c r="AM81" s="48" t="n">
        <f aca="false">IF(AM$4=$D$10+$D$11-1,$D$29*$D$24,0)</f>
        <v>0</v>
      </c>
      <c r="AN81" s="48" t="n">
        <f aca="false">IF(AN$4=$D$10+$D$11-1,$D$29*$D$24,0)</f>
        <v>51</v>
      </c>
      <c r="AO81" s="48" t="n">
        <f aca="false">IF(AO$4=$D$10+$D$11-1,$D$29*$D$24,0)</f>
        <v>0</v>
      </c>
      <c r="AP81" s="48" t="n">
        <f aca="false">IF(AP$4=$D$10+$D$11-1,$D$29*$D$24,0)</f>
        <v>0</v>
      </c>
      <c r="AQ81" s="48" t="n">
        <f aca="false">IF(AQ$4=$D$10+$D$11-1,$D$29*$D$24,0)</f>
        <v>0</v>
      </c>
      <c r="AR81" s="48" t="n">
        <f aca="false">IF(AR$4=$D$10+$D$11-1,$D$29*$D$24,0)</f>
        <v>0</v>
      </c>
      <c r="AS81" s="48" t="n">
        <f aca="false">IF(AS$4=$D$10+$D$11-1,$D$29*$D$24,0)</f>
        <v>0</v>
      </c>
      <c r="AT81" s="48" t="n">
        <f aca="false">IF(AT$4=$D$10+$D$11-1,$D$29*$D$24,0)</f>
        <v>0</v>
      </c>
      <c r="AU81" s="48" t="n">
        <f aca="false">IF(AU$4=$D$10+$D$11-1,$D$29*$D$24,0)</f>
        <v>0</v>
      </c>
      <c r="AV81" s="48" t="n">
        <f aca="false">IF(AV$4=$D$10+$D$11-1,$D$29*$D$24,0)</f>
        <v>0</v>
      </c>
      <c r="AW81" s="48" t="n">
        <f aca="false">IF(AW$4=$D$10+$D$11-1,$D$29*$D$24,0)</f>
        <v>0</v>
      </c>
      <c r="AX81" s="48" t="n">
        <f aca="false">IF(AX$4=$D$10+$D$11-1,$D$29*$D$24,0)</f>
        <v>0</v>
      </c>
      <c r="AY81" s="48" t="n">
        <f aca="false">IF(AY$4=$D$10+$D$11-1,$D$29*$D$24,0)</f>
        <v>0</v>
      </c>
      <c r="AZ81" s="48" t="n">
        <f aca="false">IF(AZ$4=$D$10+$D$11-1,$D$29*$D$24,0)</f>
        <v>0</v>
      </c>
      <c r="BA81" s="48" t="n">
        <f aca="false">IF(BA$4=$D$10+$D$11-1,$D$29*$D$24,0)</f>
        <v>0</v>
      </c>
      <c r="BB81" s="48" t="n">
        <f aca="false">IF(BB$4=$D$10+$D$11-1,$D$29*$D$24,0)</f>
        <v>0</v>
      </c>
      <c r="BC81" s="48" t="n">
        <f aca="false">IF(BC$4=$D$10+$D$11-1,$D$29*$D$24,0)</f>
        <v>0</v>
      </c>
      <c r="BD81" s="48" t="n">
        <f aca="false">IF(BD$4=$D$10+$D$11-1,$D$29*$D$24,0)</f>
        <v>0</v>
      </c>
      <c r="BE81" s="48" t="n">
        <f aca="false">IF(BE$4=$D$10+$D$11-1,$D$29*$D$24,0)</f>
        <v>0</v>
      </c>
      <c r="BF81" s="48" t="n">
        <f aca="false">IF(BF$4=$D$10+$D$11-1,$D$29*$D$24,0)</f>
        <v>0</v>
      </c>
      <c r="BG81" s="48" t="n">
        <f aca="false">IF(BG$4=$D$10+$D$11-1,$D$29*$D$24,0)</f>
        <v>0</v>
      </c>
      <c r="BH81" s="48" t="n">
        <f aca="false">IF(BH$4=$D$10+$D$11-1,$D$29*$D$24,0)</f>
        <v>0</v>
      </c>
      <c r="BI81" s="48" t="n">
        <f aca="false">IF(BI$4=$D$10+$D$11-1,$D$29*$D$24,0)</f>
        <v>0</v>
      </c>
      <c r="BJ81" s="48" t="n">
        <f aca="false">IF(BJ$4=$D$10+$D$11-1,$D$29*$D$24,0)</f>
        <v>0</v>
      </c>
      <c r="BK81" s="48" t="n">
        <f aca="false">IF(BK$4=$D$10+$D$11-1,$D$29*$D$24,0)</f>
        <v>0</v>
      </c>
      <c r="BL81" s="48" t="n">
        <f aca="false">IF(BL$4=$D$10+$D$11-1,$D$29*$D$24,0)</f>
        <v>0</v>
      </c>
      <c r="BM81" s="48" t="n">
        <f aca="false">IF(BM$4=$D$10+$D$11-1,$D$29*$D$24,0)</f>
        <v>0</v>
      </c>
      <c r="BN81" s="48" t="n">
        <f aca="false">IF(BN$4=$D$10+$D$11-1,$D$29*$D$24,0)</f>
        <v>0</v>
      </c>
      <c r="BO81" s="48" t="n">
        <f aca="false">IF(BO$4=$D$10+$D$11-1,$D$29*$D$24,0)</f>
        <v>0</v>
      </c>
      <c r="BP81" s="48" t="n">
        <f aca="false">IF(BP$4=$D$10+$D$11-1,$D$29*$D$24,0)</f>
        <v>0</v>
      </c>
      <c r="BQ81" s="48" t="n">
        <f aca="false">IF(BQ$4=$D$10+$D$11-1,$D$29*$D$24,0)</f>
        <v>0</v>
      </c>
      <c r="BR81" s="48" t="n">
        <f aca="false">IF(BR$4=$D$10+$D$11-1,$D$29*$D$24,0)</f>
        <v>0</v>
      </c>
      <c r="BS81" s="48" t="n">
        <f aca="false">IF(BS$4=$D$10+$D$11-1,$D$29*$D$24,0)</f>
        <v>0</v>
      </c>
      <c r="BT81" s="48" t="n">
        <f aca="false">IF(BT$4=$D$10+$D$11-1,$D$29*$D$24,0)</f>
        <v>0</v>
      </c>
      <c r="BU81" s="48" t="n">
        <f aca="false">IF(BU$4=$D$10+$D$11-1,$D$29*$D$24,0)</f>
        <v>0</v>
      </c>
      <c r="BV81" s="48" t="n">
        <f aca="false">IF(BV$4=$D$10+$D$11-1,$D$29*$D$24,0)</f>
        <v>0</v>
      </c>
      <c r="BW81" s="48" t="n">
        <f aca="false">IF(BW$4=$D$10+$D$11-1,$D$29*$D$24,0)</f>
        <v>0</v>
      </c>
      <c r="BX81" s="48" t="n">
        <f aca="false">IF(BX$4=$D$10+$D$11-1,$D$29*$D$24,0)</f>
        <v>0</v>
      </c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</row>
    <row r="83" customFormat="false" ht="15" hidden="false" customHeight="false" outlineLevel="0" collapsed="false">
      <c r="A83" s="1"/>
      <c r="B83" s="13" t="s">
        <v>347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</row>
    <row r="84" customFormat="false" ht="15" hidden="false" customHeight="false" outlineLevel="0" collapsed="false">
      <c r="A84" s="1"/>
      <c r="B84" s="8" t="s">
        <v>348</v>
      </c>
      <c r="C84" s="8" t="s">
        <v>126</v>
      </c>
      <c r="D84" s="44" t="n">
        <f aca="false">SUM(G84:BX84)</f>
        <v>84.375</v>
      </c>
      <c r="E84" s="1"/>
      <c r="F84" s="1"/>
      <c r="G84" s="48" t="n">
        <f aca="false">IF(AND(G38=1,G39&lt;=ROUNDUP(1/Input!$H$142,0)),MIN($D$48*Input!$H$118*Input!$H$142,MAX($D$48*Input!$H$118-$D$48*Input!$H$118*Input!$H$142*(G39-1),0)),0)</f>
        <v>0</v>
      </c>
      <c r="H84" s="48" t="n">
        <f aca="false">IF(AND(H38=1,H39&lt;=ROUNDUP(1/Input!$H$142,0)),MIN($D$48*Input!$H$118*Input!$H$142,MAX($D$48*Input!$H$118-$D$48*Input!$H$118*Input!$H$142*(H39-1),0)),0)</f>
        <v>0</v>
      </c>
      <c r="I84" s="48" t="n">
        <f aca="false">IF(AND(I38=1,I39&lt;=ROUNDUP(1/Input!$H$142,0)),MIN($D$48*Input!$H$118*Input!$H$142,MAX($D$48*Input!$H$118-$D$48*Input!$H$118*Input!$H$142*(I39-1),0)),0)</f>
        <v>0</v>
      </c>
      <c r="J84" s="48" t="n">
        <f aca="false">IF(AND(J38=1,J39&lt;=ROUNDUP(1/Input!$H$142,0)),MIN($D$48*Input!$H$118*Input!$H$142,MAX($D$48*Input!$H$118-$D$48*Input!$H$118*Input!$H$142*(J39-1),0)),0)</f>
        <v>0</v>
      </c>
      <c r="K84" s="48" t="n">
        <f aca="false">IF(AND(K38=1,K39&lt;=ROUNDUP(1/Input!$H$142,0)),MIN($D$48*Input!$H$118*Input!$H$142,MAX($D$48*Input!$H$118-$D$48*Input!$H$118*Input!$H$142*(K39-1),0)),0)</f>
        <v>2.8125</v>
      </c>
      <c r="L84" s="48" t="n">
        <f aca="false">IF(AND(L38=1,L39&lt;=ROUNDUP(1/Input!$H$142,0)),MIN($D$48*Input!$H$118*Input!$H$142,MAX($D$48*Input!$H$118-$D$48*Input!$H$118*Input!$H$142*(L39-1),0)),0)</f>
        <v>2.8125</v>
      </c>
      <c r="M84" s="48" t="n">
        <f aca="false">IF(AND(M38=1,M39&lt;=ROUNDUP(1/Input!$H$142,0)),MIN($D$48*Input!$H$118*Input!$H$142,MAX($D$48*Input!$H$118-$D$48*Input!$H$118*Input!$H$142*(M39-1),0)),0)</f>
        <v>2.8125</v>
      </c>
      <c r="N84" s="48" t="n">
        <f aca="false">IF(AND(N38=1,N39&lt;=ROUNDUP(1/Input!$H$142,0)),MIN($D$48*Input!$H$118*Input!$H$142,MAX($D$48*Input!$H$118-$D$48*Input!$H$118*Input!$H$142*(N39-1),0)),0)</f>
        <v>2.8125</v>
      </c>
      <c r="O84" s="48" t="n">
        <f aca="false">IF(AND(O38=1,O39&lt;=ROUNDUP(1/Input!$H$142,0)),MIN($D$48*Input!$H$118*Input!$H$142,MAX($D$48*Input!$H$118-$D$48*Input!$H$118*Input!$H$142*(O39-1),0)),0)</f>
        <v>2.8125</v>
      </c>
      <c r="P84" s="48" t="n">
        <f aca="false">IF(AND(P38=1,P39&lt;=ROUNDUP(1/Input!$H$142,0)),MIN($D$48*Input!$H$118*Input!$H$142,MAX($D$48*Input!$H$118-$D$48*Input!$H$118*Input!$H$142*(P39-1),0)),0)</f>
        <v>2.8125</v>
      </c>
      <c r="Q84" s="48" t="n">
        <f aca="false">IF(AND(Q38=1,Q39&lt;=ROUNDUP(1/Input!$H$142,0)),MIN($D$48*Input!$H$118*Input!$H$142,MAX($D$48*Input!$H$118-$D$48*Input!$H$118*Input!$H$142*(Q39-1),0)),0)</f>
        <v>2.8125</v>
      </c>
      <c r="R84" s="48" t="n">
        <f aca="false">IF(AND(R38=1,R39&lt;=ROUNDUP(1/Input!$H$142,0)),MIN($D$48*Input!$H$118*Input!$H$142,MAX($D$48*Input!$H$118-$D$48*Input!$H$118*Input!$H$142*(R39-1),0)),0)</f>
        <v>2.8125</v>
      </c>
      <c r="S84" s="48" t="n">
        <f aca="false">IF(AND(S38=1,S39&lt;=ROUNDUP(1/Input!$H$142,0)),MIN($D$48*Input!$H$118*Input!$H$142,MAX($D$48*Input!$H$118-$D$48*Input!$H$118*Input!$H$142*(S39-1),0)),0)</f>
        <v>2.8125</v>
      </c>
      <c r="T84" s="48" t="n">
        <f aca="false">IF(AND(T38=1,T39&lt;=ROUNDUP(1/Input!$H$142,0)),MIN($D$48*Input!$H$118*Input!$H$142,MAX($D$48*Input!$H$118-$D$48*Input!$H$118*Input!$H$142*(T39-1),0)),0)</f>
        <v>2.8125</v>
      </c>
      <c r="U84" s="48" t="n">
        <f aca="false">IF(AND(U38=1,U39&lt;=ROUNDUP(1/Input!$H$142,0)),MIN($D$48*Input!$H$118*Input!$H$142,MAX($D$48*Input!$H$118-$D$48*Input!$H$118*Input!$H$142*(U39-1),0)),0)</f>
        <v>2.8125</v>
      </c>
      <c r="V84" s="48" t="n">
        <f aca="false">IF(AND(V38=1,V39&lt;=ROUNDUP(1/Input!$H$142,0)),MIN($D$48*Input!$H$118*Input!$H$142,MAX($D$48*Input!$H$118-$D$48*Input!$H$118*Input!$H$142*(V39-1),0)),0)</f>
        <v>2.8125</v>
      </c>
      <c r="W84" s="48" t="n">
        <f aca="false">IF(AND(W38=1,W39&lt;=ROUNDUP(1/Input!$H$142,0)),MIN($D$48*Input!$H$118*Input!$H$142,MAX($D$48*Input!$H$118-$D$48*Input!$H$118*Input!$H$142*(W39-1),0)),0)</f>
        <v>2.8125</v>
      </c>
      <c r="X84" s="48" t="n">
        <f aca="false">IF(AND(X38=1,X39&lt;=ROUNDUP(1/Input!$H$142,0)),MIN($D$48*Input!$H$118*Input!$H$142,MAX($D$48*Input!$H$118-$D$48*Input!$H$118*Input!$H$142*(X39-1),0)),0)</f>
        <v>2.8125</v>
      </c>
      <c r="Y84" s="48" t="n">
        <f aca="false">IF(AND(Y38=1,Y39&lt;=ROUNDUP(1/Input!$H$142,0)),MIN($D$48*Input!$H$118*Input!$H$142,MAX($D$48*Input!$H$118-$D$48*Input!$H$118*Input!$H$142*(Y39-1),0)),0)</f>
        <v>2.8125</v>
      </c>
      <c r="Z84" s="48" t="n">
        <f aca="false">IF(AND(Z38=1,Z39&lt;=ROUNDUP(1/Input!$H$142,0)),MIN($D$48*Input!$H$118*Input!$H$142,MAX($D$48*Input!$H$118-$D$48*Input!$H$118*Input!$H$142*(Z39-1),0)),0)</f>
        <v>2.8125</v>
      </c>
      <c r="AA84" s="48" t="n">
        <f aca="false">IF(AND(AA38=1,AA39&lt;=ROUNDUP(1/Input!$H$142,0)),MIN($D$48*Input!$H$118*Input!$H$142,MAX($D$48*Input!$H$118-$D$48*Input!$H$118*Input!$H$142*(AA39-1),0)),0)</f>
        <v>2.8125</v>
      </c>
      <c r="AB84" s="48" t="n">
        <f aca="false">IF(AND(AB38=1,AB39&lt;=ROUNDUP(1/Input!$H$142,0)),MIN($D$48*Input!$H$118*Input!$H$142,MAX($D$48*Input!$H$118-$D$48*Input!$H$118*Input!$H$142*(AB39-1),0)),0)</f>
        <v>2.8125</v>
      </c>
      <c r="AC84" s="48" t="n">
        <f aca="false">IF(AND(AC38=1,AC39&lt;=ROUNDUP(1/Input!$H$142,0)),MIN($D$48*Input!$H$118*Input!$H$142,MAX($D$48*Input!$H$118-$D$48*Input!$H$118*Input!$H$142*(AC39-1),0)),0)</f>
        <v>2.8125</v>
      </c>
      <c r="AD84" s="48" t="n">
        <f aca="false">IF(AND(AD38=1,AD39&lt;=ROUNDUP(1/Input!$H$142,0)),MIN($D$48*Input!$H$118*Input!$H$142,MAX($D$48*Input!$H$118-$D$48*Input!$H$118*Input!$H$142*(AD39-1),0)),0)</f>
        <v>2.8125</v>
      </c>
      <c r="AE84" s="48" t="n">
        <f aca="false">IF(AND(AE38=1,AE39&lt;=ROUNDUP(1/Input!$H$142,0)),MIN($D$48*Input!$H$118*Input!$H$142,MAX($D$48*Input!$H$118-$D$48*Input!$H$118*Input!$H$142*(AE39-1),0)),0)</f>
        <v>2.8125</v>
      </c>
      <c r="AF84" s="48" t="n">
        <f aca="false">IF(AND(AF38=1,AF39&lt;=ROUNDUP(1/Input!$H$142,0)),MIN($D$48*Input!$H$118*Input!$H$142,MAX($D$48*Input!$H$118-$D$48*Input!$H$118*Input!$H$142*(AF39-1),0)),0)</f>
        <v>2.8125</v>
      </c>
      <c r="AG84" s="48" t="n">
        <f aca="false">IF(AND(AG38=1,AG39&lt;=ROUNDUP(1/Input!$H$142,0)),MIN($D$48*Input!$H$118*Input!$H$142,MAX($D$48*Input!$H$118-$D$48*Input!$H$118*Input!$H$142*(AG39-1),0)),0)</f>
        <v>2.8125</v>
      </c>
      <c r="AH84" s="48" t="n">
        <f aca="false">IF(AND(AH38=1,AH39&lt;=ROUNDUP(1/Input!$H$142,0)),MIN($D$48*Input!$H$118*Input!$H$142,MAX($D$48*Input!$H$118-$D$48*Input!$H$118*Input!$H$142*(AH39-1),0)),0)</f>
        <v>2.8125</v>
      </c>
      <c r="AI84" s="48" t="n">
        <f aca="false">IF(AND(AI38=1,AI39&lt;=ROUNDUP(1/Input!$H$142,0)),MIN($D$48*Input!$H$118*Input!$H$142,MAX($D$48*Input!$H$118-$D$48*Input!$H$118*Input!$H$142*(AI39-1),0)),0)</f>
        <v>2.8125</v>
      </c>
      <c r="AJ84" s="48" t="n">
        <f aca="false">IF(AND(AJ38=1,AJ39&lt;=ROUNDUP(1/Input!$H$142,0)),MIN($D$48*Input!$H$118*Input!$H$142,MAX($D$48*Input!$H$118-$D$48*Input!$H$118*Input!$H$142*(AJ39-1),0)),0)</f>
        <v>2.8125</v>
      </c>
      <c r="AK84" s="48" t="n">
        <f aca="false">IF(AND(AK38=1,AK39&lt;=ROUNDUP(1/Input!$H$142,0)),MIN($D$48*Input!$H$118*Input!$H$142,MAX($D$48*Input!$H$118-$D$48*Input!$H$118*Input!$H$142*(AK39-1),0)),0)</f>
        <v>2.8125</v>
      </c>
      <c r="AL84" s="48" t="n">
        <f aca="false">IF(AND(AL38=1,AL39&lt;=ROUNDUP(1/Input!$H$142,0)),MIN($D$48*Input!$H$118*Input!$H$142,MAX($D$48*Input!$H$118-$D$48*Input!$H$118*Input!$H$142*(AL39-1),0)),0)</f>
        <v>2.8125</v>
      </c>
      <c r="AM84" s="48" t="n">
        <f aca="false">IF(AND(AM38=1,AM39&lt;=ROUNDUP(1/Input!$H$142,0)),MIN($D$48*Input!$H$118*Input!$H$142,MAX($D$48*Input!$H$118-$D$48*Input!$H$118*Input!$H$142*(AM39-1),0)),0)</f>
        <v>2.8125</v>
      </c>
      <c r="AN84" s="48" t="n">
        <f aca="false">IF(AND(AN38=1,AN39&lt;=ROUNDUP(1/Input!$H$142,0)),MIN($D$48*Input!$H$118*Input!$H$142,MAX($D$48*Input!$H$118-$D$48*Input!$H$118*Input!$H$142*(AN39-1),0)),0)</f>
        <v>2.8125</v>
      </c>
      <c r="AO84" s="48" t="n">
        <f aca="false">IF(AND(AO38=1,AO39&lt;=ROUNDUP(1/Input!$H$142,0)),MIN($D$48*Input!$H$118*Input!$H$142,MAX($D$48*Input!$H$118-$D$48*Input!$H$118*Input!$H$142*(AO39-1),0)),0)</f>
        <v>0</v>
      </c>
      <c r="AP84" s="48" t="n">
        <f aca="false">IF(AND(AP38=1,AP39&lt;=ROUNDUP(1/Input!$H$142,0)),MIN($D$48*Input!$H$118*Input!$H$142,MAX($D$48*Input!$H$118-$D$48*Input!$H$118*Input!$H$142*(AP39-1),0)),0)</f>
        <v>0</v>
      </c>
      <c r="AQ84" s="48" t="n">
        <f aca="false">IF(AND(AQ38=1,AQ39&lt;=ROUNDUP(1/Input!$H$142,0)),MIN($D$48*Input!$H$118*Input!$H$142,MAX($D$48*Input!$H$118-$D$48*Input!$H$118*Input!$H$142*(AQ39-1),0)),0)</f>
        <v>0</v>
      </c>
      <c r="AR84" s="48" t="n">
        <f aca="false">IF(AND(AR38=1,AR39&lt;=ROUNDUP(1/Input!$H$142,0)),MIN($D$48*Input!$H$118*Input!$H$142,MAX($D$48*Input!$H$118-$D$48*Input!$H$118*Input!$H$142*(AR39-1),0)),0)</f>
        <v>0</v>
      </c>
      <c r="AS84" s="48" t="n">
        <f aca="false">IF(AND(AS38=1,AS39&lt;=ROUNDUP(1/Input!$H$142,0)),MIN($D$48*Input!$H$118*Input!$H$142,MAX($D$48*Input!$H$118-$D$48*Input!$H$118*Input!$H$142*(AS39-1),0)),0)</f>
        <v>0</v>
      </c>
      <c r="AT84" s="48" t="n">
        <f aca="false">IF(AND(AT38=1,AT39&lt;=ROUNDUP(1/Input!$H$142,0)),MIN($D$48*Input!$H$118*Input!$H$142,MAX($D$48*Input!$H$118-$D$48*Input!$H$118*Input!$H$142*(AT39-1),0)),0)</f>
        <v>0</v>
      </c>
      <c r="AU84" s="48" t="n">
        <f aca="false">IF(AND(AU38=1,AU39&lt;=ROUNDUP(1/Input!$H$142,0)),MIN($D$48*Input!$H$118*Input!$H$142,MAX($D$48*Input!$H$118-$D$48*Input!$H$118*Input!$H$142*(AU39-1),0)),0)</f>
        <v>0</v>
      </c>
      <c r="AV84" s="48" t="n">
        <f aca="false">IF(AND(AV38=1,AV39&lt;=ROUNDUP(1/Input!$H$142,0)),MIN($D$48*Input!$H$118*Input!$H$142,MAX($D$48*Input!$H$118-$D$48*Input!$H$118*Input!$H$142*(AV39-1),0)),0)</f>
        <v>0</v>
      </c>
      <c r="AW84" s="48" t="n">
        <f aca="false">IF(AND(AW38=1,AW39&lt;=ROUNDUP(1/Input!$H$142,0)),MIN($D$48*Input!$H$118*Input!$H$142,MAX($D$48*Input!$H$118-$D$48*Input!$H$118*Input!$H$142*(AW39-1),0)),0)</f>
        <v>0</v>
      </c>
      <c r="AX84" s="48" t="n">
        <f aca="false">IF(AND(AX38=1,AX39&lt;=ROUNDUP(1/Input!$H$142,0)),MIN($D$48*Input!$H$118*Input!$H$142,MAX($D$48*Input!$H$118-$D$48*Input!$H$118*Input!$H$142*(AX39-1),0)),0)</f>
        <v>0</v>
      </c>
      <c r="AY84" s="48" t="n">
        <f aca="false">IF(AND(AY38=1,AY39&lt;=ROUNDUP(1/Input!$H$142,0)),MIN($D$48*Input!$H$118*Input!$H$142,MAX($D$48*Input!$H$118-$D$48*Input!$H$118*Input!$H$142*(AY39-1),0)),0)</f>
        <v>0</v>
      </c>
      <c r="AZ84" s="48" t="n">
        <f aca="false">IF(AND(AZ38=1,AZ39&lt;=ROUNDUP(1/Input!$H$142,0)),MIN($D$48*Input!$H$118*Input!$H$142,MAX($D$48*Input!$H$118-$D$48*Input!$H$118*Input!$H$142*(AZ39-1),0)),0)</f>
        <v>0</v>
      </c>
      <c r="BA84" s="48" t="n">
        <f aca="false">IF(AND(BA38=1,BA39&lt;=ROUNDUP(1/Input!$H$142,0)),MIN($D$48*Input!$H$118*Input!$H$142,MAX($D$48*Input!$H$118-$D$48*Input!$H$118*Input!$H$142*(BA39-1),0)),0)</f>
        <v>0</v>
      </c>
      <c r="BB84" s="48" t="n">
        <f aca="false">IF(AND(BB38=1,BB39&lt;=ROUNDUP(1/Input!$H$142,0)),MIN($D$48*Input!$H$118*Input!$H$142,MAX($D$48*Input!$H$118-$D$48*Input!$H$118*Input!$H$142*(BB39-1),0)),0)</f>
        <v>0</v>
      </c>
      <c r="BC84" s="48" t="n">
        <f aca="false">IF(AND(BC38=1,BC39&lt;=ROUNDUP(1/Input!$H$142,0)),MIN($D$48*Input!$H$118*Input!$H$142,MAX($D$48*Input!$H$118-$D$48*Input!$H$118*Input!$H$142*(BC39-1),0)),0)</f>
        <v>0</v>
      </c>
      <c r="BD84" s="48" t="n">
        <f aca="false">IF(AND(BD38=1,BD39&lt;=ROUNDUP(1/Input!$H$142,0)),MIN($D$48*Input!$H$118*Input!$H$142,MAX($D$48*Input!$H$118-$D$48*Input!$H$118*Input!$H$142*(BD39-1),0)),0)</f>
        <v>0</v>
      </c>
      <c r="BE84" s="48" t="n">
        <f aca="false">IF(AND(BE38=1,BE39&lt;=ROUNDUP(1/Input!$H$142,0)),MIN($D$48*Input!$H$118*Input!$H$142,MAX($D$48*Input!$H$118-$D$48*Input!$H$118*Input!$H$142*(BE39-1),0)),0)</f>
        <v>0</v>
      </c>
      <c r="BF84" s="48" t="n">
        <f aca="false">IF(AND(BF38=1,BF39&lt;=ROUNDUP(1/Input!$H$142,0)),MIN($D$48*Input!$H$118*Input!$H$142,MAX($D$48*Input!$H$118-$D$48*Input!$H$118*Input!$H$142*(BF39-1),0)),0)</f>
        <v>0</v>
      </c>
      <c r="BG84" s="48" t="n">
        <f aca="false">IF(AND(BG38=1,BG39&lt;=ROUNDUP(1/Input!$H$142,0)),MIN($D$48*Input!$H$118*Input!$H$142,MAX($D$48*Input!$H$118-$D$48*Input!$H$118*Input!$H$142*(BG39-1),0)),0)</f>
        <v>0</v>
      </c>
      <c r="BH84" s="48" t="n">
        <f aca="false">IF(AND(BH38=1,BH39&lt;=ROUNDUP(1/Input!$H$142,0)),MIN($D$48*Input!$H$118*Input!$H$142,MAX($D$48*Input!$H$118-$D$48*Input!$H$118*Input!$H$142*(BH39-1),0)),0)</f>
        <v>0</v>
      </c>
      <c r="BI84" s="48" t="n">
        <f aca="false">IF(AND(BI38=1,BI39&lt;=ROUNDUP(1/Input!$H$142,0)),MIN($D$48*Input!$H$118*Input!$H$142,MAX($D$48*Input!$H$118-$D$48*Input!$H$118*Input!$H$142*(BI39-1),0)),0)</f>
        <v>0</v>
      </c>
      <c r="BJ84" s="48" t="n">
        <f aca="false">IF(AND(BJ38=1,BJ39&lt;=ROUNDUP(1/Input!$H$142,0)),MIN($D$48*Input!$H$118*Input!$H$142,MAX($D$48*Input!$H$118-$D$48*Input!$H$118*Input!$H$142*(BJ39-1),0)),0)</f>
        <v>0</v>
      </c>
      <c r="BK84" s="48" t="n">
        <f aca="false">IF(AND(BK38=1,BK39&lt;=ROUNDUP(1/Input!$H$142,0)),MIN($D$48*Input!$H$118*Input!$H$142,MAX($D$48*Input!$H$118-$D$48*Input!$H$118*Input!$H$142*(BK39-1),0)),0)</f>
        <v>0</v>
      </c>
      <c r="BL84" s="48" t="n">
        <f aca="false">IF(AND(BL38=1,BL39&lt;=ROUNDUP(1/Input!$H$142,0)),MIN($D$48*Input!$H$118*Input!$H$142,MAX($D$48*Input!$H$118-$D$48*Input!$H$118*Input!$H$142*(BL39-1),0)),0)</f>
        <v>0</v>
      </c>
      <c r="BM84" s="48" t="n">
        <f aca="false">IF(AND(BM38=1,BM39&lt;=ROUNDUP(1/Input!$H$142,0)),MIN($D$48*Input!$H$118*Input!$H$142,MAX($D$48*Input!$H$118-$D$48*Input!$H$118*Input!$H$142*(BM39-1),0)),0)</f>
        <v>0</v>
      </c>
      <c r="BN84" s="48" t="n">
        <f aca="false">IF(AND(BN38=1,BN39&lt;=ROUNDUP(1/Input!$H$142,0)),MIN($D$48*Input!$H$118*Input!$H$142,MAX($D$48*Input!$H$118-$D$48*Input!$H$118*Input!$H$142*(BN39-1),0)),0)</f>
        <v>0</v>
      </c>
      <c r="BO84" s="48" t="n">
        <f aca="false">IF(AND(BO38=1,BO39&lt;=ROUNDUP(1/Input!$H$142,0)),MIN($D$48*Input!$H$118*Input!$H$142,MAX($D$48*Input!$H$118-$D$48*Input!$H$118*Input!$H$142*(BO39-1),0)),0)</f>
        <v>0</v>
      </c>
      <c r="BP84" s="48" t="n">
        <f aca="false">IF(AND(BP38=1,BP39&lt;=ROUNDUP(1/Input!$H$142,0)),MIN($D$48*Input!$H$118*Input!$H$142,MAX($D$48*Input!$H$118-$D$48*Input!$H$118*Input!$H$142*(BP39-1),0)),0)</f>
        <v>0</v>
      </c>
      <c r="BQ84" s="48" t="n">
        <f aca="false">IF(AND(BQ38=1,BQ39&lt;=ROUNDUP(1/Input!$H$142,0)),MIN($D$48*Input!$H$118*Input!$H$142,MAX($D$48*Input!$H$118-$D$48*Input!$H$118*Input!$H$142*(BQ39-1),0)),0)</f>
        <v>0</v>
      </c>
      <c r="BR84" s="48" t="n">
        <f aca="false">IF(AND(BR38=1,BR39&lt;=ROUNDUP(1/Input!$H$142,0)),MIN($D$48*Input!$H$118*Input!$H$142,MAX($D$48*Input!$H$118-$D$48*Input!$H$118*Input!$H$142*(BR39-1),0)),0)</f>
        <v>0</v>
      </c>
      <c r="BS84" s="48" t="n">
        <f aca="false">IF(AND(BS38=1,BS39&lt;=ROUNDUP(1/Input!$H$142,0)),MIN($D$48*Input!$H$118*Input!$H$142,MAX($D$48*Input!$H$118-$D$48*Input!$H$118*Input!$H$142*(BS39-1),0)),0)</f>
        <v>0</v>
      </c>
      <c r="BT84" s="48" t="n">
        <f aca="false">IF(AND(BT38=1,BT39&lt;=ROUNDUP(1/Input!$H$142,0)),MIN($D$48*Input!$H$118*Input!$H$142,MAX($D$48*Input!$H$118-$D$48*Input!$H$118*Input!$H$142*(BT39-1),0)),0)</f>
        <v>0</v>
      </c>
      <c r="BU84" s="48" t="n">
        <f aca="false">IF(AND(BU38=1,BU39&lt;=ROUNDUP(1/Input!$H$142,0)),MIN($D$48*Input!$H$118*Input!$H$142,MAX($D$48*Input!$H$118-$D$48*Input!$H$118*Input!$H$142*(BU39-1),0)),0)</f>
        <v>0</v>
      </c>
      <c r="BV84" s="48" t="n">
        <f aca="false">IF(AND(BV38=1,BV39&lt;=ROUNDUP(1/Input!$H$142,0)),MIN($D$48*Input!$H$118*Input!$H$142,MAX($D$48*Input!$H$118-$D$48*Input!$H$118*Input!$H$142*(BV39-1),0)),0)</f>
        <v>0</v>
      </c>
      <c r="BW84" s="48" t="n">
        <f aca="false">IF(AND(BW38=1,BW39&lt;=ROUNDUP(1/Input!$H$142,0)),MIN($D$48*Input!$H$118*Input!$H$142,MAX($D$48*Input!$H$118-$D$48*Input!$H$118*Input!$H$142*(BW39-1),0)),0)</f>
        <v>0</v>
      </c>
      <c r="BX84" s="48" t="n">
        <f aca="false">IF(AND(BX38=1,BX39&lt;=ROUNDUP(1/Input!$H$142,0)),MIN($D$48*Input!$H$118*Input!$H$142,MAX($D$48*Input!$H$118-$D$48*Input!$H$118*Input!$H$142*(BX39-1),0)),0)</f>
        <v>0</v>
      </c>
    </row>
    <row r="85" customFormat="false" ht="15" hidden="false" customHeight="false" outlineLevel="0" collapsed="false">
      <c r="A85" s="1"/>
      <c r="B85" s="8" t="s">
        <v>349</v>
      </c>
      <c r="C85" s="8" t="s">
        <v>126</v>
      </c>
      <c r="D85" s="44" t="n">
        <f aca="false">SUM(G85:BX85)</f>
        <v>112.5</v>
      </c>
      <c r="E85" s="1"/>
      <c r="F85" s="1"/>
      <c r="G85" s="48" t="n">
        <f aca="false">IF(AND(G38=1,G39&lt;=ROUNDUP(1/Input!$H$143,0)),MIN($D$48*Input!$H$119*Input!$H$143,MAX($D$48*Input!$H$119-$D$48*Input!$H$119*Input!$H$143*(G39-1),0)),0)</f>
        <v>0</v>
      </c>
      <c r="H85" s="48" t="n">
        <f aca="false">IF(AND(H38=1,H39&lt;=ROUNDUP(1/Input!$H$143,0)),MIN($D$48*Input!$H$119*Input!$H$143,MAX($D$48*Input!$H$119-$D$48*Input!$H$119*Input!$H$143*(H39-1),0)),0)</f>
        <v>0</v>
      </c>
      <c r="I85" s="48" t="n">
        <f aca="false">IF(AND(I38=1,I39&lt;=ROUNDUP(1/Input!$H$143,0)),MIN($D$48*Input!$H$119*Input!$H$143,MAX($D$48*Input!$H$119-$D$48*Input!$H$119*Input!$H$143*(I39-1),0)),0)</f>
        <v>0</v>
      </c>
      <c r="J85" s="48" t="n">
        <f aca="false">IF(AND(J38=1,J39&lt;=ROUNDUP(1/Input!$H$143,0)),MIN($D$48*Input!$H$119*Input!$H$143,MAX($D$48*Input!$H$119-$D$48*Input!$H$119*Input!$H$143*(J39-1),0)),0)</f>
        <v>0</v>
      </c>
      <c r="K85" s="48" t="n">
        <f aca="false">IF(AND(K38=1,K39&lt;=ROUNDUP(1/Input!$H$143,0)),MIN($D$48*Input!$H$119*Input!$H$143,MAX($D$48*Input!$H$119-$D$48*Input!$H$119*Input!$H$143*(K39-1),0)),0)</f>
        <v>5.0625</v>
      </c>
      <c r="L85" s="48" t="n">
        <f aca="false">IF(AND(L38=1,L39&lt;=ROUNDUP(1/Input!$H$143,0)),MIN($D$48*Input!$H$119*Input!$H$143,MAX($D$48*Input!$H$119-$D$48*Input!$H$119*Input!$H$143*(L39-1),0)),0)</f>
        <v>5.0625</v>
      </c>
      <c r="M85" s="48" t="n">
        <f aca="false">IF(AND(M38=1,M39&lt;=ROUNDUP(1/Input!$H$143,0)),MIN($D$48*Input!$H$119*Input!$H$143,MAX($D$48*Input!$H$119-$D$48*Input!$H$119*Input!$H$143*(M39-1),0)),0)</f>
        <v>5.0625</v>
      </c>
      <c r="N85" s="48" t="n">
        <f aca="false">IF(AND(N38=1,N39&lt;=ROUNDUP(1/Input!$H$143,0)),MIN($D$48*Input!$H$119*Input!$H$143,MAX($D$48*Input!$H$119-$D$48*Input!$H$119*Input!$H$143*(N39-1),0)),0)</f>
        <v>5.0625</v>
      </c>
      <c r="O85" s="48" t="n">
        <f aca="false">IF(AND(O38=1,O39&lt;=ROUNDUP(1/Input!$H$143,0)),MIN($D$48*Input!$H$119*Input!$H$143,MAX($D$48*Input!$H$119-$D$48*Input!$H$119*Input!$H$143*(O39-1),0)),0)</f>
        <v>5.0625</v>
      </c>
      <c r="P85" s="48" t="n">
        <f aca="false">IF(AND(P38=1,P39&lt;=ROUNDUP(1/Input!$H$143,0)),MIN($D$48*Input!$H$119*Input!$H$143,MAX($D$48*Input!$H$119-$D$48*Input!$H$119*Input!$H$143*(P39-1),0)),0)</f>
        <v>5.0625</v>
      </c>
      <c r="Q85" s="48" t="n">
        <f aca="false">IF(AND(Q38=1,Q39&lt;=ROUNDUP(1/Input!$H$143,0)),MIN($D$48*Input!$H$119*Input!$H$143,MAX($D$48*Input!$H$119-$D$48*Input!$H$119*Input!$H$143*(Q39-1),0)),0)</f>
        <v>5.0625</v>
      </c>
      <c r="R85" s="48" t="n">
        <f aca="false">IF(AND(R38=1,R39&lt;=ROUNDUP(1/Input!$H$143,0)),MIN($D$48*Input!$H$119*Input!$H$143,MAX($D$48*Input!$H$119-$D$48*Input!$H$119*Input!$H$143*(R39-1),0)),0)</f>
        <v>5.0625</v>
      </c>
      <c r="S85" s="48" t="n">
        <f aca="false">IF(AND(S38=1,S39&lt;=ROUNDUP(1/Input!$H$143,0)),MIN($D$48*Input!$H$119*Input!$H$143,MAX($D$48*Input!$H$119-$D$48*Input!$H$119*Input!$H$143*(S39-1),0)),0)</f>
        <v>5.0625</v>
      </c>
      <c r="T85" s="48" t="n">
        <f aca="false">IF(AND(T38=1,T39&lt;=ROUNDUP(1/Input!$H$143,0)),MIN($D$48*Input!$H$119*Input!$H$143,MAX($D$48*Input!$H$119-$D$48*Input!$H$119*Input!$H$143*(T39-1),0)),0)</f>
        <v>5.0625</v>
      </c>
      <c r="U85" s="48" t="n">
        <f aca="false">IF(AND(U38=1,U39&lt;=ROUNDUP(1/Input!$H$143,0)),MIN($D$48*Input!$H$119*Input!$H$143,MAX($D$48*Input!$H$119-$D$48*Input!$H$119*Input!$H$143*(U39-1),0)),0)</f>
        <v>5.0625</v>
      </c>
      <c r="V85" s="48" t="n">
        <f aca="false">IF(AND(V38=1,V39&lt;=ROUNDUP(1/Input!$H$143,0)),MIN($D$48*Input!$H$119*Input!$H$143,MAX($D$48*Input!$H$119-$D$48*Input!$H$119*Input!$H$143*(V39-1),0)),0)</f>
        <v>5.0625</v>
      </c>
      <c r="W85" s="48" t="n">
        <f aca="false">IF(AND(W38=1,W39&lt;=ROUNDUP(1/Input!$H$143,0)),MIN($D$48*Input!$H$119*Input!$H$143,MAX($D$48*Input!$H$119-$D$48*Input!$H$119*Input!$H$143*(W39-1),0)),0)</f>
        <v>5.0625</v>
      </c>
      <c r="X85" s="48" t="n">
        <f aca="false">IF(AND(X38=1,X39&lt;=ROUNDUP(1/Input!$H$143,0)),MIN($D$48*Input!$H$119*Input!$H$143,MAX($D$48*Input!$H$119-$D$48*Input!$H$119*Input!$H$143*(X39-1),0)),0)</f>
        <v>5.0625</v>
      </c>
      <c r="Y85" s="48" t="n">
        <f aca="false">IF(AND(Y38=1,Y39&lt;=ROUNDUP(1/Input!$H$143,0)),MIN($D$48*Input!$H$119*Input!$H$143,MAX($D$48*Input!$H$119-$D$48*Input!$H$119*Input!$H$143*(Y39-1),0)),0)</f>
        <v>5.0625</v>
      </c>
      <c r="Z85" s="48" t="n">
        <f aca="false">IF(AND(Z38=1,Z39&lt;=ROUNDUP(1/Input!$H$143,0)),MIN($D$48*Input!$H$119*Input!$H$143,MAX($D$48*Input!$H$119-$D$48*Input!$H$119*Input!$H$143*(Z39-1),0)),0)</f>
        <v>5.0625</v>
      </c>
      <c r="AA85" s="48" t="n">
        <f aca="false">IF(AND(AA38=1,AA39&lt;=ROUNDUP(1/Input!$H$143,0)),MIN($D$48*Input!$H$119*Input!$H$143,MAX($D$48*Input!$H$119-$D$48*Input!$H$119*Input!$H$143*(AA39-1),0)),0)</f>
        <v>5.0625</v>
      </c>
      <c r="AB85" s="48" t="n">
        <f aca="false">IF(AND(AB38=1,AB39&lt;=ROUNDUP(1/Input!$H$143,0)),MIN($D$48*Input!$H$119*Input!$H$143,MAX($D$48*Input!$H$119-$D$48*Input!$H$119*Input!$H$143*(AB39-1),0)),0)</f>
        <v>5.0625</v>
      </c>
      <c r="AC85" s="48" t="n">
        <f aca="false">IF(AND(AC38=1,AC39&lt;=ROUNDUP(1/Input!$H$143,0)),MIN($D$48*Input!$H$119*Input!$H$143,MAX($D$48*Input!$H$119-$D$48*Input!$H$119*Input!$H$143*(AC39-1),0)),0)</f>
        <v>5.0625</v>
      </c>
      <c r="AD85" s="48" t="n">
        <f aca="false">IF(AND(AD38=1,AD39&lt;=ROUNDUP(1/Input!$H$143,0)),MIN($D$48*Input!$H$119*Input!$H$143,MAX($D$48*Input!$H$119-$D$48*Input!$H$119*Input!$H$143*(AD39-1),0)),0)</f>
        <v>5.0625</v>
      </c>
      <c r="AE85" s="48" t="n">
        <f aca="false">IF(AND(AE38=1,AE39&lt;=ROUNDUP(1/Input!$H$143,0)),MIN($D$48*Input!$H$119*Input!$H$143,MAX($D$48*Input!$H$119-$D$48*Input!$H$119*Input!$H$143*(AE39-1),0)),0)</f>
        <v>5.0625</v>
      </c>
      <c r="AF85" s="48" t="n">
        <f aca="false">IF(AND(AF38=1,AF39&lt;=ROUNDUP(1/Input!$H$143,0)),MIN($D$48*Input!$H$119*Input!$H$143,MAX($D$48*Input!$H$119-$D$48*Input!$H$119*Input!$H$143*(AF39-1),0)),0)</f>
        <v>5.0625</v>
      </c>
      <c r="AG85" s="48" t="n">
        <f aca="false">IF(AND(AG38=1,AG39&lt;=ROUNDUP(1/Input!$H$143,0)),MIN($D$48*Input!$H$119*Input!$H$143,MAX($D$48*Input!$H$119-$D$48*Input!$H$119*Input!$H$143*(AG39-1),0)),0)</f>
        <v>1.125</v>
      </c>
      <c r="AH85" s="48" t="n">
        <f aca="false">IF(AND(AH38=1,AH39&lt;=ROUNDUP(1/Input!$H$143,0)),MIN($D$48*Input!$H$119*Input!$H$143,MAX($D$48*Input!$H$119-$D$48*Input!$H$119*Input!$H$143*(AH39-1),0)),0)</f>
        <v>0</v>
      </c>
      <c r="AI85" s="48" t="n">
        <f aca="false">IF(AND(AI38=1,AI39&lt;=ROUNDUP(1/Input!$H$143,0)),MIN($D$48*Input!$H$119*Input!$H$143,MAX($D$48*Input!$H$119-$D$48*Input!$H$119*Input!$H$143*(AI39-1),0)),0)</f>
        <v>0</v>
      </c>
      <c r="AJ85" s="48" t="n">
        <f aca="false">IF(AND(AJ38=1,AJ39&lt;=ROUNDUP(1/Input!$H$143,0)),MIN($D$48*Input!$H$119*Input!$H$143,MAX($D$48*Input!$H$119-$D$48*Input!$H$119*Input!$H$143*(AJ39-1),0)),0)</f>
        <v>0</v>
      </c>
      <c r="AK85" s="48" t="n">
        <f aca="false">IF(AND(AK38=1,AK39&lt;=ROUNDUP(1/Input!$H$143,0)),MIN($D$48*Input!$H$119*Input!$H$143,MAX($D$48*Input!$H$119-$D$48*Input!$H$119*Input!$H$143*(AK39-1),0)),0)</f>
        <v>0</v>
      </c>
      <c r="AL85" s="48" t="n">
        <f aca="false">IF(AND(AL38=1,AL39&lt;=ROUNDUP(1/Input!$H$143,0)),MIN($D$48*Input!$H$119*Input!$H$143,MAX($D$48*Input!$H$119-$D$48*Input!$H$119*Input!$H$143*(AL39-1),0)),0)</f>
        <v>0</v>
      </c>
      <c r="AM85" s="48" t="n">
        <f aca="false">IF(AND(AM38=1,AM39&lt;=ROUNDUP(1/Input!$H$143,0)),MIN($D$48*Input!$H$119*Input!$H$143,MAX($D$48*Input!$H$119-$D$48*Input!$H$119*Input!$H$143*(AM39-1),0)),0)</f>
        <v>0</v>
      </c>
      <c r="AN85" s="48" t="n">
        <f aca="false">IF(AND(AN38=1,AN39&lt;=ROUNDUP(1/Input!$H$143,0)),MIN($D$48*Input!$H$119*Input!$H$143,MAX($D$48*Input!$H$119-$D$48*Input!$H$119*Input!$H$143*(AN39-1),0)),0)</f>
        <v>0</v>
      </c>
      <c r="AO85" s="48" t="n">
        <f aca="false">IF(AND(AO38=1,AO39&lt;=ROUNDUP(1/Input!$H$143,0)),MIN($D$48*Input!$H$119*Input!$H$143,MAX($D$48*Input!$H$119-$D$48*Input!$H$119*Input!$H$143*(AO39-1),0)),0)</f>
        <v>0</v>
      </c>
      <c r="AP85" s="48" t="n">
        <f aca="false">IF(AND(AP38=1,AP39&lt;=ROUNDUP(1/Input!$H$143,0)),MIN($D$48*Input!$H$119*Input!$H$143,MAX($D$48*Input!$H$119-$D$48*Input!$H$119*Input!$H$143*(AP39-1),0)),0)</f>
        <v>0</v>
      </c>
      <c r="AQ85" s="48" t="n">
        <f aca="false">IF(AND(AQ38=1,AQ39&lt;=ROUNDUP(1/Input!$H$143,0)),MIN($D$48*Input!$H$119*Input!$H$143,MAX($D$48*Input!$H$119-$D$48*Input!$H$119*Input!$H$143*(AQ39-1),0)),0)</f>
        <v>0</v>
      </c>
      <c r="AR85" s="48" t="n">
        <f aca="false">IF(AND(AR38=1,AR39&lt;=ROUNDUP(1/Input!$H$143,0)),MIN($D$48*Input!$H$119*Input!$H$143,MAX($D$48*Input!$H$119-$D$48*Input!$H$119*Input!$H$143*(AR39-1),0)),0)</f>
        <v>0</v>
      </c>
      <c r="AS85" s="48" t="n">
        <f aca="false">IF(AND(AS38=1,AS39&lt;=ROUNDUP(1/Input!$H$143,0)),MIN($D$48*Input!$H$119*Input!$H$143,MAX($D$48*Input!$H$119-$D$48*Input!$H$119*Input!$H$143*(AS39-1),0)),0)</f>
        <v>0</v>
      </c>
      <c r="AT85" s="48" t="n">
        <f aca="false">IF(AND(AT38=1,AT39&lt;=ROUNDUP(1/Input!$H$143,0)),MIN($D$48*Input!$H$119*Input!$H$143,MAX($D$48*Input!$H$119-$D$48*Input!$H$119*Input!$H$143*(AT39-1),0)),0)</f>
        <v>0</v>
      </c>
      <c r="AU85" s="48" t="n">
        <f aca="false">IF(AND(AU38=1,AU39&lt;=ROUNDUP(1/Input!$H$143,0)),MIN($D$48*Input!$H$119*Input!$H$143,MAX($D$48*Input!$H$119-$D$48*Input!$H$119*Input!$H$143*(AU39-1),0)),0)</f>
        <v>0</v>
      </c>
      <c r="AV85" s="48" t="n">
        <f aca="false">IF(AND(AV38=1,AV39&lt;=ROUNDUP(1/Input!$H$143,0)),MIN($D$48*Input!$H$119*Input!$H$143,MAX($D$48*Input!$H$119-$D$48*Input!$H$119*Input!$H$143*(AV39-1),0)),0)</f>
        <v>0</v>
      </c>
      <c r="AW85" s="48" t="n">
        <f aca="false">IF(AND(AW38=1,AW39&lt;=ROUNDUP(1/Input!$H$143,0)),MIN($D$48*Input!$H$119*Input!$H$143,MAX($D$48*Input!$H$119-$D$48*Input!$H$119*Input!$H$143*(AW39-1),0)),0)</f>
        <v>0</v>
      </c>
      <c r="AX85" s="48" t="n">
        <f aca="false">IF(AND(AX38=1,AX39&lt;=ROUNDUP(1/Input!$H$143,0)),MIN($D$48*Input!$H$119*Input!$H$143,MAX($D$48*Input!$H$119-$D$48*Input!$H$119*Input!$H$143*(AX39-1),0)),0)</f>
        <v>0</v>
      </c>
      <c r="AY85" s="48" t="n">
        <f aca="false">IF(AND(AY38=1,AY39&lt;=ROUNDUP(1/Input!$H$143,0)),MIN($D$48*Input!$H$119*Input!$H$143,MAX($D$48*Input!$H$119-$D$48*Input!$H$119*Input!$H$143*(AY39-1),0)),0)</f>
        <v>0</v>
      </c>
      <c r="AZ85" s="48" t="n">
        <f aca="false">IF(AND(AZ38=1,AZ39&lt;=ROUNDUP(1/Input!$H$143,0)),MIN($D$48*Input!$H$119*Input!$H$143,MAX($D$48*Input!$H$119-$D$48*Input!$H$119*Input!$H$143*(AZ39-1),0)),0)</f>
        <v>0</v>
      </c>
      <c r="BA85" s="48" t="n">
        <f aca="false">IF(AND(BA38=1,BA39&lt;=ROUNDUP(1/Input!$H$143,0)),MIN($D$48*Input!$H$119*Input!$H$143,MAX($D$48*Input!$H$119-$D$48*Input!$H$119*Input!$H$143*(BA39-1),0)),0)</f>
        <v>0</v>
      </c>
      <c r="BB85" s="48" t="n">
        <f aca="false">IF(AND(BB38=1,BB39&lt;=ROUNDUP(1/Input!$H$143,0)),MIN($D$48*Input!$H$119*Input!$H$143,MAX($D$48*Input!$H$119-$D$48*Input!$H$119*Input!$H$143*(BB39-1),0)),0)</f>
        <v>0</v>
      </c>
      <c r="BC85" s="48" t="n">
        <f aca="false">IF(AND(BC38=1,BC39&lt;=ROUNDUP(1/Input!$H$143,0)),MIN($D$48*Input!$H$119*Input!$H$143,MAX($D$48*Input!$H$119-$D$48*Input!$H$119*Input!$H$143*(BC39-1),0)),0)</f>
        <v>0</v>
      </c>
      <c r="BD85" s="48" t="n">
        <f aca="false">IF(AND(BD38=1,BD39&lt;=ROUNDUP(1/Input!$H$143,0)),MIN($D$48*Input!$H$119*Input!$H$143,MAX($D$48*Input!$H$119-$D$48*Input!$H$119*Input!$H$143*(BD39-1),0)),0)</f>
        <v>0</v>
      </c>
      <c r="BE85" s="48" t="n">
        <f aca="false">IF(AND(BE38=1,BE39&lt;=ROUNDUP(1/Input!$H$143,0)),MIN($D$48*Input!$H$119*Input!$H$143,MAX($D$48*Input!$H$119-$D$48*Input!$H$119*Input!$H$143*(BE39-1),0)),0)</f>
        <v>0</v>
      </c>
      <c r="BF85" s="48" t="n">
        <f aca="false">IF(AND(BF38=1,BF39&lt;=ROUNDUP(1/Input!$H$143,0)),MIN($D$48*Input!$H$119*Input!$H$143,MAX($D$48*Input!$H$119-$D$48*Input!$H$119*Input!$H$143*(BF39-1),0)),0)</f>
        <v>0</v>
      </c>
      <c r="BG85" s="48" t="n">
        <f aca="false">IF(AND(BG38=1,BG39&lt;=ROUNDUP(1/Input!$H$143,0)),MIN($D$48*Input!$H$119*Input!$H$143,MAX($D$48*Input!$H$119-$D$48*Input!$H$119*Input!$H$143*(BG39-1),0)),0)</f>
        <v>0</v>
      </c>
      <c r="BH85" s="48" t="n">
        <f aca="false">IF(AND(BH38=1,BH39&lt;=ROUNDUP(1/Input!$H$143,0)),MIN($D$48*Input!$H$119*Input!$H$143,MAX($D$48*Input!$H$119-$D$48*Input!$H$119*Input!$H$143*(BH39-1),0)),0)</f>
        <v>0</v>
      </c>
      <c r="BI85" s="48" t="n">
        <f aca="false">IF(AND(BI38=1,BI39&lt;=ROUNDUP(1/Input!$H$143,0)),MIN($D$48*Input!$H$119*Input!$H$143,MAX($D$48*Input!$H$119-$D$48*Input!$H$119*Input!$H$143*(BI39-1),0)),0)</f>
        <v>0</v>
      </c>
      <c r="BJ85" s="48" t="n">
        <f aca="false">IF(AND(BJ38=1,BJ39&lt;=ROUNDUP(1/Input!$H$143,0)),MIN($D$48*Input!$H$119*Input!$H$143,MAX($D$48*Input!$H$119-$D$48*Input!$H$119*Input!$H$143*(BJ39-1),0)),0)</f>
        <v>0</v>
      </c>
      <c r="BK85" s="48" t="n">
        <f aca="false">IF(AND(BK38=1,BK39&lt;=ROUNDUP(1/Input!$H$143,0)),MIN($D$48*Input!$H$119*Input!$H$143,MAX($D$48*Input!$H$119-$D$48*Input!$H$119*Input!$H$143*(BK39-1),0)),0)</f>
        <v>0</v>
      </c>
      <c r="BL85" s="48" t="n">
        <f aca="false">IF(AND(BL38=1,BL39&lt;=ROUNDUP(1/Input!$H$143,0)),MIN($D$48*Input!$H$119*Input!$H$143,MAX($D$48*Input!$H$119-$D$48*Input!$H$119*Input!$H$143*(BL39-1),0)),0)</f>
        <v>0</v>
      </c>
      <c r="BM85" s="48" t="n">
        <f aca="false">IF(AND(BM38=1,BM39&lt;=ROUNDUP(1/Input!$H$143,0)),MIN($D$48*Input!$H$119*Input!$H$143,MAX($D$48*Input!$H$119-$D$48*Input!$H$119*Input!$H$143*(BM39-1),0)),0)</f>
        <v>0</v>
      </c>
      <c r="BN85" s="48" t="n">
        <f aca="false">IF(AND(BN38=1,BN39&lt;=ROUNDUP(1/Input!$H$143,0)),MIN($D$48*Input!$H$119*Input!$H$143,MAX($D$48*Input!$H$119-$D$48*Input!$H$119*Input!$H$143*(BN39-1),0)),0)</f>
        <v>0</v>
      </c>
      <c r="BO85" s="48" t="n">
        <f aca="false">IF(AND(BO38=1,BO39&lt;=ROUNDUP(1/Input!$H$143,0)),MIN($D$48*Input!$H$119*Input!$H$143,MAX($D$48*Input!$H$119-$D$48*Input!$H$119*Input!$H$143*(BO39-1),0)),0)</f>
        <v>0</v>
      </c>
      <c r="BP85" s="48" t="n">
        <f aca="false">IF(AND(BP38=1,BP39&lt;=ROUNDUP(1/Input!$H$143,0)),MIN($D$48*Input!$H$119*Input!$H$143,MAX($D$48*Input!$H$119-$D$48*Input!$H$119*Input!$H$143*(BP39-1),0)),0)</f>
        <v>0</v>
      </c>
      <c r="BQ85" s="48" t="n">
        <f aca="false">IF(AND(BQ38=1,BQ39&lt;=ROUNDUP(1/Input!$H$143,0)),MIN($D$48*Input!$H$119*Input!$H$143,MAX($D$48*Input!$H$119-$D$48*Input!$H$119*Input!$H$143*(BQ39-1),0)),0)</f>
        <v>0</v>
      </c>
      <c r="BR85" s="48" t="n">
        <f aca="false">IF(AND(BR38=1,BR39&lt;=ROUNDUP(1/Input!$H$143,0)),MIN($D$48*Input!$H$119*Input!$H$143,MAX($D$48*Input!$H$119-$D$48*Input!$H$119*Input!$H$143*(BR39-1),0)),0)</f>
        <v>0</v>
      </c>
      <c r="BS85" s="48" t="n">
        <f aca="false">IF(AND(BS38=1,BS39&lt;=ROUNDUP(1/Input!$H$143,0)),MIN($D$48*Input!$H$119*Input!$H$143,MAX($D$48*Input!$H$119-$D$48*Input!$H$119*Input!$H$143*(BS39-1),0)),0)</f>
        <v>0</v>
      </c>
      <c r="BT85" s="48" t="n">
        <f aca="false">IF(AND(BT38=1,BT39&lt;=ROUNDUP(1/Input!$H$143,0)),MIN($D$48*Input!$H$119*Input!$H$143,MAX($D$48*Input!$H$119-$D$48*Input!$H$119*Input!$H$143*(BT39-1),0)),0)</f>
        <v>0</v>
      </c>
      <c r="BU85" s="48" t="n">
        <f aca="false">IF(AND(BU38=1,BU39&lt;=ROUNDUP(1/Input!$H$143,0)),MIN($D$48*Input!$H$119*Input!$H$143,MAX($D$48*Input!$H$119-$D$48*Input!$H$119*Input!$H$143*(BU39-1),0)),0)</f>
        <v>0</v>
      </c>
      <c r="BV85" s="48" t="n">
        <f aca="false">IF(AND(BV38=1,BV39&lt;=ROUNDUP(1/Input!$H$143,0)),MIN($D$48*Input!$H$119*Input!$H$143,MAX($D$48*Input!$H$119-$D$48*Input!$H$119*Input!$H$143*(BV39-1),0)),0)</f>
        <v>0</v>
      </c>
      <c r="BW85" s="48" t="n">
        <f aca="false">IF(AND(BW38=1,BW39&lt;=ROUNDUP(1/Input!$H$143,0)),MIN($D$48*Input!$H$119*Input!$H$143,MAX($D$48*Input!$H$119-$D$48*Input!$H$119*Input!$H$143*(BW39-1),0)),0)</f>
        <v>0</v>
      </c>
      <c r="BX85" s="48" t="n">
        <f aca="false">IF(AND(BX38=1,BX39&lt;=ROUNDUP(1/Input!$H$143,0)),MIN($D$48*Input!$H$119*Input!$H$143,MAX($D$48*Input!$H$119-$D$48*Input!$H$119*Input!$H$143*(BX39-1),0)),0)</f>
        <v>0</v>
      </c>
    </row>
    <row r="86" customFormat="false" ht="15" hidden="false" customHeight="false" outlineLevel="0" collapsed="false">
      <c r="A86" s="1"/>
      <c r="B86" s="8" t="s">
        <v>351</v>
      </c>
      <c r="C86" s="8" t="s">
        <v>126</v>
      </c>
      <c r="D86" s="44" t="n">
        <f aca="false">SUM(G86:BX86)</f>
        <v>731.25</v>
      </c>
      <c r="E86" s="1"/>
      <c r="F86" s="1"/>
      <c r="G86" s="48" t="n">
        <f aca="false">IF(AND(G38=1,G39&lt;=ROUNDUP(1/Input!$H$145,0)),MIN($D$48*Input!$H$120*Input!$H$145,MAX($D$48*Input!$H$120-$D$48*Input!$H$120*Input!$H$145*(G39-1),0)),0)</f>
        <v>0</v>
      </c>
      <c r="H86" s="48" t="n">
        <f aca="false">IF(AND(H38=1,H39&lt;=ROUNDUP(1/Input!$H$145,0)),MIN($D$48*Input!$H$120*Input!$H$145,MAX($D$48*Input!$H$120-$D$48*Input!$H$120*Input!$H$145*(H39-1),0)),0)</f>
        <v>0</v>
      </c>
      <c r="I86" s="48" t="n">
        <f aca="false">IF(AND(I38=1,I39&lt;=ROUNDUP(1/Input!$H$145,0)),MIN($D$48*Input!$H$120*Input!$H$145,MAX($D$48*Input!$H$120-$D$48*Input!$H$120*Input!$H$145*(I39-1),0)),0)</f>
        <v>0</v>
      </c>
      <c r="J86" s="48" t="n">
        <f aca="false">IF(AND(J38=1,J39&lt;=ROUNDUP(1/Input!$H$145,0)),MIN($D$48*Input!$H$120*Input!$H$145,MAX($D$48*Input!$H$120-$D$48*Input!$H$120*Input!$H$145*(J39-1),0)),0)</f>
        <v>0</v>
      </c>
      <c r="K86" s="48" t="n">
        <f aca="false">IF(AND(K38=1,K39&lt;=ROUNDUP(1/Input!$H$145,0)),MIN($D$48*Input!$H$120*Input!$H$145,MAX($D$48*Input!$H$120-$D$48*Input!$H$120*Input!$H$145*(K39-1),0)),0)</f>
        <v>51.1875</v>
      </c>
      <c r="L86" s="48" t="n">
        <f aca="false">IF(AND(L38=1,L39&lt;=ROUNDUP(1/Input!$H$145,0)),MIN($D$48*Input!$H$120*Input!$H$145,MAX($D$48*Input!$H$120-$D$48*Input!$H$120*Input!$H$145*(L39-1),0)),0)</f>
        <v>51.1875</v>
      </c>
      <c r="M86" s="48" t="n">
        <f aca="false">IF(AND(M38=1,M39&lt;=ROUNDUP(1/Input!$H$145,0)),MIN($D$48*Input!$H$120*Input!$H$145,MAX($D$48*Input!$H$120-$D$48*Input!$H$120*Input!$H$145*(M39-1),0)),0)</f>
        <v>51.1875</v>
      </c>
      <c r="N86" s="48" t="n">
        <f aca="false">IF(AND(N38=1,N39&lt;=ROUNDUP(1/Input!$H$145,0)),MIN($D$48*Input!$H$120*Input!$H$145,MAX($D$48*Input!$H$120-$D$48*Input!$H$120*Input!$H$145*(N39-1),0)),0)</f>
        <v>51.1875</v>
      </c>
      <c r="O86" s="48" t="n">
        <f aca="false">IF(AND(O38=1,O39&lt;=ROUNDUP(1/Input!$H$145,0)),MIN($D$48*Input!$H$120*Input!$H$145,MAX($D$48*Input!$H$120-$D$48*Input!$H$120*Input!$H$145*(O39-1),0)),0)</f>
        <v>51.1875</v>
      </c>
      <c r="P86" s="48" t="n">
        <f aca="false">IF(AND(P38=1,P39&lt;=ROUNDUP(1/Input!$H$145,0)),MIN($D$48*Input!$H$120*Input!$H$145,MAX($D$48*Input!$H$120-$D$48*Input!$H$120*Input!$H$145*(P39-1),0)),0)</f>
        <v>51.1875</v>
      </c>
      <c r="Q86" s="48" t="n">
        <f aca="false">IF(AND(Q38=1,Q39&lt;=ROUNDUP(1/Input!$H$145,0)),MIN($D$48*Input!$H$120*Input!$H$145,MAX($D$48*Input!$H$120-$D$48*Input!$H$120*Input!$H$145*(Q39-1),0)),0)</f>
        <v>51.1875</v>
      </c>
      <c r="R86" s="48" t="n">
        <f aca="false">IF(AND(R38=1,R39&lt;=ROUNDUP(1/Input!$H$145,0)),MIN($D$48*Input!$H$120*Input!$H$145,MAX($D$48*Input!$H$120-$D$48*Input!$H$120*Input!$H$145*(R39-1),0)),0)</f>
        <v>51.1875</v>
      </c>
      <c r="S86" s="48" t="n">
        <f aca="false">IF(AND(S38=1,S39&lt;=ROUNDUP(1/Input!$H$145,0)),MIN($D$48*Input!$H$120*Input!$H$145,MAX($D$48*Input!$H$120-$D$48*Input!$H$120*Input!$H$145*(S39-1),0)),0)</f>
        <v>51.1875</v>
      </c>
      <c r="T86" s="48" t="n">
        <f aca="false">IF(AND(T38=1,T39&lt;=ROUNDUP(1/Input!$H$145,0)),MIN($D$48*Input!$H$120*Input!$H$145,MAX($D$48*Input!$H$120-$D$48*Input!$H$120*Input!$H$145*(T39-1),0)),0)</f>
        <v>51.1875</v>
      </c>
      <c r="U86" s="48" t="n">
        <f aca="false">IF(AND(U38=1,U39&lt;=ROUNDUP(1/Input!$H$145,0)),MIN($D$48*Input!$H$120*Input!$H$145,MAX($D$48*Input!$H$120-$D$48*Input!$H$120*Input!$H$145*(U39-1),0)),0)</f>
        <v>51.1875</v>
      </c>
      <c r="V86" s="48" t="n">
        <f aca="false">IF(AND(V38=1,V39&lt;=ROUNDUP(1/Input!$H$145,0)),MIN($D$48*Input!$H$120*Input!$H$145,MAX($D$48*Input!$H$120-$D$48*Input!$H$120*Input!$H$145*(V39-1),0)),0)</f>
        <v>51.1875</v>
      </c>
      <c r="W86" s="48" t="n">
        <f aca="false">IF(AND(W38=1,W39&lt;=ROUNDUP(1/Input!$H$145,0)),MIN($D$48*Input!$H$120*Input!$H$145,MAX($D$48*Input!$H$120-$D$48*Input!$H$120*Input!$H$145*(W39-1),0)),0)</f>
        <v>51.1875</v>
      </c>
      <c r="X86" s="48" t="n">
        <f aca="false">IF(AND(X38=1,X39&lt;=ROUNDUP(1/Input!$H$145,0)),MIN($D$48*Input!$H$120*Input!$H$145,MAX($D$48*Input!$H$120-$D$48*Input!$H$120*Input!$H$145*(X39-1),0)),0)</f>
        <v>51.1875</v>
      </c>
      <c r="Y86" s="48" t="n">
        <f aca="false">IF(AND(Y38=1,Y39&lt;=ROUNDUP(1/Input!$H$145,0)),MIN($D$48*Input!$H$120*Input!$H$145,MAX($D$48*Input!$H$120-$D$48*Input!$H$120*Input!$H$145*(Y39-1),0)),0)</f>
        <v>14.6249999999999</v>
      </c>
      <c r="Z86" s="48" t="n">
        <f aca="false">IF(AND(Z38=1,Z39&lt;=ROUNDUP(1/Input!$H$145,0)),MIN($D$48*Input!$H$120*Input!$H$145,MAX($D$48*Input!$H$120-$D$48*Input!$H$120*Input!$H$145*(Z39-1),0)),0)</f>
        <v>0</v>
      </c>
      <c r="AA86" s="48" t="n">
        <f aca="false">IF(AND(AA38=1,AA39&lt;=ROUNDUP(1/Input!$H$145,0)),MIN($D$48*Input!$H$120*Input!$H$145,MAX($D$48*Input!$H$120-$D$48*Input!$H$120*Input!$H$145*(AA39-1),0)),0)</f>
        <v>0</v>
      </c>
      <c r="AB86" s="48" t="n">
        <f aca="false">IF(AND(AB38=1,AB39&lt;=ROUNDUP(1/Input!$H$145,0)),MIN($D$48*Input!$H$120*Input!$H$145,MAX($D$48*Input!$H$120-$D$48*Input!$H$120*Input!$H$145*(AB39-1),0)),0)</f>
        <v>0</v>
      </c>
      <c r="AC86" s="48" t="n">
        <f aca="false">IF(AND(AC38=1,AC39&lt;=ROUNDUP(1/Input!$H$145,0)),MIN($D$48*Input!$H$120*Input!$H$145,MAX($D$48*Input!$H$120-$D$48*Input!$H$120*Input!$H$145*(AC39-1),0)),0)</f>
        <v>0</v>
      </c>
      <c r="AD86" s="48" t="n">
        <f aca="false">IF(AND(AD38=1,AD39&lt;=ROUNDUP(1/Input!$H$145,0)),MIN($D$48*Input!$H$120*Input!$H$145,MAX($D$48*Input!$H$120-$D$48*Input!$H$120*Input!$H$145*(AD39-1),0)),0)</f>
        <v>0</v>
      </c>
      <c r="AE86" s="48" t="n">
        <f aca="false">IF(AND(AE38=1,AE39&lt;=ROUNDUP(1/Input!$H$145,0)),MIN($D$48*Input!$H$120*Input!$H$145,MAX($D$48*Input!$H$120-$D$48*Input!$H$120*Input!$H$145*(AE39-1),0)),0)</f>
        <v>0</v>
      </c>
      <c r="AF86" s="48" t="n">
        <f aca="false">IF(AND(AF38=1,AF39&lt;=ROUNDUP(1/Input!$H$145,0)),MIN($D$48*Input!$H$120*Input!$H$145,MAX($D$48*Input!$H$120-$D$48*Input!$H$120*Input!$H$145*(AF39-1),0)),0)</f>
        <v>0</v>
      </c>
      <c r="AG86" s="48" t="n">
        <f aca="false">IF(AND(AG38=1,AG39&lt;=ROUNDUP(1/Input!$H$145,0)),MIN($D$48*Input!$H$120*Input!$H$145,MAX($D$48*Input!$H$120-$D$48*Input!$H$120*Input!$H$145*(AG39-1),0)),0)</f>
        <v>0</v>
      </c>
      <c r="AH86" s="48" t="n">
        <f aca="false">IF(AND(AH38=1,AH39&lt;=ROUNDUP(1/Input!$H$145,0)),MIN($D$48*Input!$H$120*Input!$H$145,MAX($D$48*Input!$H$120-$D$48*Input!$H$120*Input!$H$145*(AH39-1),0)),0)</f>
        <v>0</v>
      </c>
      <c r="AI86" s="48" t="n">
        <f aca="false">IF(AND(AI38=1,AI39&lt;=ROUNDUP(1/Input!$H$145,0)),MIN($D$48*Input!$H$120*Input!$H$145,MAX($D$48*Input!$H$120-$D$48*Input!$H$120*Input!$H$145*(AI39-1),0)),0)</f>
        <v>0</v>
      </c>
      <c r="AJ86" s="48" t="n">
        <f aca="false">IF(AND(AJ38=1,AJ39&lt;=ROUNDUP(1/Input!$H$145,0)),MIN($D$48*Input!$H$120*Input!$H$145,MAX($D$48*Input!$H$120-$D$48*Input!$H$120*Input!$H$145*(AJ39-1),0)),0)</f>
        <v>0</v>
      </c>
      <c r="AK86" s="48" t="n">
        <f aca="false">IF(AND(AK38=1,AK39&lt;=ROUNDUP(1/Input!$H$145,0)),MIN($D$48*Input!$H$120*Input!$H$145,MAX($D$48*Input!$H$120-$D$48*Input!$H$120*Input!$H$145*(AK39-1),0)),0)</f>
        <v>0</v>
      </c>
      <c r="AL86" s="48" t="n">
        <f aca="false">IF(AND(AL38=1,AL39&lt;=ROUNDUP(1/Input!$H$145,0)),MIN($D$48*Input!$H$120*Input!$H$145,MAX($D$48*Input!$H$120-$D$48*Input!$H$120*Input!$H$145*(AL39-1),0)),0)</f>
        <v>0</v>
      </c>
      <c r="AM86" s="48" t="n">
        <f aca="false">IF(AND(AM38=1,AM39&lt;=ROUNDUP(1/Input!$H$145,0)),MIN($D$48*Input!$H$120*Input!$H$145,MAX($D$48*Input!$H$120-$D$48*Input!$H$120*Input!$H$145*(AM39-1),0)),0)</f>
        <v>0</v>
      </c>
      <c r="AN86" s="48" t="n">
        <f aca="false">IF(AND(AN38=1,AN39&lt;=ROUNDUP(1/Input!$H$145,0)),MIN($D$48*Input!$H$120*Input!$H$145,MAX($D$48*Input!$H$120-$D$48*Input!$H$120*Input!$H$145*(AN39-1),0)),0)</f>
        <v>0</v>
      </c>
      <c r="AO86" s="48" t="n">
        <f aca="false">IF(AND(AO38=1,AO39&lt;=ROUNDUP(1/Input!$H$145,0)),MIN($D$48*Input!$H$120*Input!$H$145,MAX($D$48*Input!$H$120-$D$48*Input!$H$120*Input!$H$145*(AO39-1),0)),0)</f>
        <v>0</v>
      </c>
      <c r="AP86" s="48" t="n">
        <f aca="false">IF(AND(AP38=1,AP39&lt;=ROUNDUP(1/Input!$H$145,0)),MIN($D$48*Input!$H$120*Input!$H$145,MAX($D$48*Input!$H$120-$D$48*Input!$H$120*Input!$H$145*(AP39-1),0)),0)</f>
        <v>0</v>
      </c>
      <c r="AQ86" s="48" t="n">
        <f aca="false">IF(AND(AQ38=1,AQ39&lt;=ROUNDUP(1/Input!$H$145,0)),MIN($D$48*Input!$H$120*Input!$H$145,MAX($D$48*Input!$H$120-$D$48*Input!$H$120*Input!$H$145*(AQ39-1),0)),0)</f>
        <v>0</v>
      </c>
      <c r="AR86" s="48" t="n">
        <f aca="false">IF(AND(AR38=1,AR39&lt;=ROUNDUP(1/Input!$H$145,0)),MIN($D$48*Input!$H$120*Input!$H$145,MAX($D$48*Input!$H$120-$D$48*Input!$H$120*Input!$H$145*(AR39-1),0)),0)</f>
        <v>0</v>
      </c>
      <c r="AS86" s="48" t="n">
        <f aca="false">IF(AND(AS38=1,AS39&lt;=ROUNDUP(1/Input!$H$145,0)),MIN($D$48*Input!$H$120*Input!$H$145,MAX($D$48*Input!$H$120-$D$48*Input!$H$120*Input!$H$145*(AS39-1),0)),0)</f>
        <v>0</v>
      </c>
      <c r="AT86" s="48" t="n">
        <f aca="false">IF(AND(AT38=1,AT39&lt;=ROUNDUP(1/Input!$H$145,0)),MIN($D$48*Input!$H$120*Input!$H$145,MAX($D$48*Input!$H$120-$D$48*Input!$H$120*Input!$H$145*(AT39-1),0)),0)</f>
        <v>0</v>
      </c>
      <c r="AU86" s="48" t="n">
        <f aca="false">IF(AND(AU38=1,AU39&lt;=ROUNDUP(1/Input!$H$145,0)),MIN($D$48*Input!$H$120*Input!$H$145,MAX($D$48*Input!$H$120-$D$48*Input!$H$120*Input!$H$145*(AU39-1),0)),0)</f>
        <v>0</v>
      </c>
      <c r="AV86" s="48" t="n">
        <f aca="false">IF(AND(AV38=1,AV39&lt;=ROUNDUP(1/Input!$H$145,0)),MIN($D$48*Input!$H$120*Input!$H$145,MAX($D$48*Input!$H$120-$D$48*Input!$H$120*Input!$H$145*(AV39-1),0)),0)</f>
        <v>0</v>
      </c>
      <c r="AW86" s="48" t="n">
        <f aca="false">IF(AND(AW38=1,AW39&lt;=ROUNDUP(1/Input!$H$145,0)),MIN($D$48*Input!$H$120*Input!$H$145,MAX($D$48*Input!$H$120-$D$48*Input!$H$120*Input!$H$145*(AW39-1),0)),0)</f>
        <v>0</v>
      </c>
      <c r="AX86" s="48" t="n">
        <f aca="false">IF(AND(AX38=1,AX39&lt;=ROUNDUP(1/Input!$H$145,0)),MIN($D$48*Input!$H$120*Input!$H$145,MAX($D$48*Input!$H$120-$D$48*Input!$H$120*Input!$H$145*(AX39-1),0)),0)</f>
        <v>0</v>
      </c>
      <c r="AY86" s="48" t="n">
        <f aca="false">IF(AND(AY38=1,AY39&lt;=ROUNDUP(1/Input!$H$145,0)),MIN($D$48*Input!$H$120*Input!$H$145,MAX($D$48*Input!$H$120-$D$48*Input!$H$120*Input!$H$145*(AY39-1),0)),0)</f>
        <v>0</v>
      </c>
      <c r="AZ86" s="48" t="n">
        <f aca="false">IF(AND(AZ38=1,AZ39&lt;=ROUNDUP(1/Input!$H$145,0)),MIN($D$48*Input!$H$120*Input!$H$145,MAX($D$48*Input!$H$120-$D$48*Input!$H$120*Input!$H$145*(AZ39-1),0)),0)</f>
        <v>0</v>
      </c>
      <c r="BA86" s="48" t="n">
        <f aca="false">IF(AND(BA38=1,BA39&lt;=ROUNDUP(1/Input!$H$145,0)),MIN($D$48*Input!$H$120*Input!$H$145,MAX($D$48*Input!$H$120-$D$48*Input!$H$120*Input!$H$145*(BA39-1),0)),0)</f>
        <v>0</v>
      </c>
      <c r="BB86" s="48" t="n">
        <f aca="false">IF(AND(BB38=1,BB39&lt;=ROUNDUP(1/Input!$H$145,0)),MIN($D$48*Input!$H$120*Input!$H$145,MAX($D$48*Input!$H$120-$D$48*Input!$H$120*Input!$H$145*(BB39-1),0)),0)</f>
        <v>0</v>
      </c>
      <c r="BC86" s="48" t="n">
        <f aca="false">IF(AND(BC38=1,BC39&lt;=ROUNDUP(1/Input!$H$145,0)),MIN($D$48*Input!$H$120*Input!$H$145,MAX($D$48*Input!$H$120-$D$48*Input!$H$120*Input!$H$145*(BC39-1),0)),0)</f>
        <v>0</v>
      </c>
      <c r="BD86" s="48" t="n">
        <f aca="false">IF(AND(BD38=1,BD39&lt;=ROUNDUP(1/Input!$H$145,0)),MIN($D$48*Input!$H$120*Input!$H$145,MAX($D$48*Input!$H$120-$D$48*Input!$H$120*Input!$H$145*(BD39-1),0)),0)</f>
        <v>0</v>
      </c>
      <c r="BE86" s="48" t="n">
        <f aca="false">IF(AND(BE38=1,BE39&lt;=ROUNDUP(1/Input!$H$145,0)),MIN($D$48*Input!$H$120*Input!$H$145,MAX($D$48*Input!$H$120-$D$48*Input!$H$120*Input!$H$145*(BE39-1),0)),0)</f>
        <v>0</v>
      </c>
      <c r="BF86" s="48" t="n">
        <f aca="false">IF(AND(BF38=1,BF39&lt;=ROUNDUP(1/Input!$H$145,0)),MIN($D$48*Input!$H$120*Input!$H$145,MAX($D$48*Input!$H$120-$D$48*Input!$H$120*Input!$H$145*(BF39-1),0)),0)</f>
        <v>0</v>
      </c>
      <c r="BG86" s="48" t="n">
        <f aca="false">IF(AND(BG38=1,BG39&lt;=ROUNDUP(1/Input!$H$145,0)),MIN($D$48*Input!$H$120*Input!$H$145,MAX($D$48*Input!$H$120-$D$48*Input!$H$120*Input!$H$145*(BG39-1),0)),0)</f>
        <v>0</v>
      </c>
      <c r="BH86" s="48" t="n">
        <f aca="false">IF(AND(BH38=1,BH39&lt;=ROUNDUP(1/Input!$H$145,0)),MIN($D$48*Input!$H$120*Input!$H$145,MAX($D$48*Input!$H$120-$D$48*Input!$H$120*Input!$H$145*(BH39-1),0)),0)</f>
        <v>0</v>
      </c>
      <c r="BI86" s="48" t="n">
        <f aca="false">IF(AND(BI38=1,BI39&lt;=ROUNDUP(1/Input!$H$145,0)),MIN($D$48*Input!$H$120*Input!$H$145,MAX($D$48*Input!$H$120-$D$48*Input!$H$120*Input!$H$145*(BI39-1),0)),0)</f>
        <v>0</v>
      </c>
      <c r="BJ86" s="48" t="n">
        <f aca="false">IF(AND(BJ38=1,BJ39&lt;=ROUNDUP(1/Input!$H$145,0)),MIN($D$48*Input!$H$120*Input!$H$145,MAX($D$48*Input!$H$120-$D$48*Input!$H$120*Input!$H$145*(BJ39-1),0)),0)</f>
        <v>0</v>
      </c>
      <c r="BK86" s="48" t="n">
        <f aca="false">IF(AND(BK38=1,BK39&lt;=ROUNDUP(1/Input!$H$145,0)),MIN($D$48*Input!$H$120*Input!$H$145,MAX($D$48*Input!$H$120-$D$48*Input!$H$120*Input!$H$145*(BK39-1),0)),0)</f>
        <v>0</v>
      </c>
      <c r="BL86" s="48" t="n">
        <f aca="false">IF(AND(BL38=1,BL39&lt;=ROUNDUP(1/Input!$H$145,0)),MIN($D$48*Input!$H$120*Input!$H$145,MAX($D$48*Input!$H$120-$D$48*Input!$H$120*Input!$H$145*(BL39-1),0)),0)</f>
        <v>0</v>
      </c>
      <c r="BM86" s="48" t="n">
        <f aca="false">IF(AND(BM38=1,BM39&lt;=ROUNDUP(1/Input!$H$145,0)),MIN($D$48*Input!$H$120*Input!$H$145,MAX($D$48*Input!$H$120-$D$48*Input!$H$120*Input!$H$145*(BM39-1),0)),0)</f>
        <v>0</v>
      </c>
      <c r="BN86" s="48" t="n">
        <f aca="false">IF(AND(BN38=1,BN39&lt;=ROUNDUP(1/Input!$H$145,0)),MIN($D$48*Input!$H$120*Input!$H$145,MAX($D$48*Input!$H$120-$D$48*Input!$H$120*Input!$H$145*(BN39-1),0)),0)</f>
        <v>0</v>
      </c>
      <c r="BO86" s="48" t="n">
        <f aca="false">IF(AND(BO38=1,BO39&lt;=ROUNDUP(1/Input!$H$145,0)),MIN($D$48*Input!$H$120*Input!$H$145,MAX($D$48*Input!$H$120-$D$48*Input!$H$120*Input!$H$145*(BO39-1),0)),0)</f>
        <v>0</v>
      </c>
      <c r="BP86" s="48" t="n">
        <f aca="false">IF(AND(BP38=1,BP39&lt;=ROUNDUP(1/Input!$H$145,0)),MIN($D$48*Input!$H$120*Input!$H$145,MAX($D$48*Input!$H$120-$D$48*Input!$H$120*Input!$H$145*(BP39-1),0)),0)</f>
        <v>0</v>
      </c>
      <c r="BQ86" s="48" t="n">
        <f aca="false">IF(AND(BQ38=1,BQ39&lt;=ROUNDUP(1/Input!$H$145,0)),MIN($D$48*Input!$H$120*Input!$H$145,MAX($D$48*Input!$H$120-$D$48*Input!$H$120*Input!$H$145*(BQ39-1),0)),0)</f>
        <v>0</v>
      </c>
      <c r="BR86" s="48" t="n">
        <f aca="false">IF(AND(BR38=1,BR39&lt;=ROUNDUP(1/Input!$H$145,0)),MIN($D$48*Input!$H$120*Input!$H$145,MAX($D$48*Input!$H$120-$D$48*Input!$H$120*Input!$H$145*(BR39-1),0)),0)</f>
        <v>0</v>
      </c>
      <c r="BS86" s="48" t="n">
        <f aca="false">IF(AND(BS38=1,BS39&lt;=ROUNDUP(1/Input!$H$145,0)),MIN($D$48*Input!$H$120*Input!$H$145,MAX($D$48*Input!$H$120-$D$48*Input!$H$120*Input!$H$145*(BS39-1),0)),0)</f>
        <v>0</v>
      </c>
      <c r="BT86" s="48" t="n">
        <f aca="false">IF(AND(BT38=1,BT39&lt;=ROUNDUP(1/Input!$H$145,0)),MIN($D$48*Input!$H$120*Input!$H$145,MAX($D$48*Input!$H$120-$D$48*Input!$H$120*Input!$H$145*(BT39-1),0)),0)</f>
        <v>0</v>
      </c>
      <c r="BU86" s="48" t="n">
        <f aca="false">IF(AND(BU38=1,BU39&lt;=ROUNDUP(1/Input!$H$145,0)),MIN($D$48*Input!$H$120*Input!$H$145,MAX($D$48*Input!$H$120-$D$48*Input!$H$120*Input!$H$145*(BU39-1),0)),0)</f>
        <v>0</v>
      </c>
      <c r="BV86" s="48" t="n">
        <f aca="false">IF(AND(BV38=1,BV39&lt;=ROUNDUP(1/Input!$H$145,0)),MIN($D$48*Input!$H$120*Input!$H$145,MAX($D$48*Input!$H$120-$D$48*Input!$H$120*Input!$H$145*(BV39-1),0)),0)</f>
        <v>0</v>
      </c>
      <c r="BW86" s="48" t="n">
        <f aca="false">IF(AND(BW38=1,BW39&lt;=ROUNDUP(1/Input!$H$145,0)),MIN($D$48*Input!$H$120*Input!$H$145,MAX($D$48*Input!$H$120-$D$48*Input!$H$120*Input!$H$145*(BW39-1),0)),0)</f>
        <v>0</v>
      </c>
      <c r="BX86" s="48" t="n">
        <f aca="false">IF(AND(BX38=1,BX39&lt;=ROUNDUP(1/Input!$H$145,0)),MIN($D$48*Input!$H$120*Input!$H$145,MAX($D$48*Input!$H$120-$D$48*Input!$H$120*Input!$H$145*(BX39-1),0)),0)</f>
        <v>0</v>
      </c>
    </row>
    <row r="87" customFormat="false" ht="15" hidden="false" customHeight="false" outlineLevel="0" collapsed="false">
      <c r="A87" s="1"/>
      <c r="B87" s="8" t="s">
        <v>352</v>
      </c>
      <c r="C87" s="8" t="s">
        <v>126</v>
      </c>
      <c r="D87" s="44" t="n">
        <f aca="false">SUM(G87:BX87)</f>
        <v>168.75</v>
      </c>
      <c r="E87" s="1"/>
      <c r="F87" s="1"/>
      <c r="G87" s="48" t="n">
        <f aca="false">IF(AND(G38=1,G39&lt;=ROUNDUP(1/Input!$H$146,0)),MIN($D$48*Input!$H$121*Input!$H$146,MAX($D$48*Input!$H$121-$D$48*Input!$H$121*Input!$H$146*(G39-1),0)),0)</f>
        <v>0</v>
      </c>
      <c r="H87" s="48" t="n">
        <f aca="false">IF(AND(H38=1,H39&lt;=ROUNDUP(1/Input!$H$146,0)),MIN($D$48*Input!$H$121*Input!$H$146,MAX($D$48*Input!$H$121-$D$48*Input!$H$121*Input!$H$146*(H39-1),0)),0)</f>
        <v>0</v>
      </c>
      <c r="I87" s="48" t="n">
        <f aca="false">IF(AND(I38=1,I39&lt;=ROUNDUP(1/Input!$H$146,0)),MIN($D$48*Input!$H$121*Input!$H$146,MAX($D$48*Input!$H$121-$D$48*Input!$H$121*Input!$H$146*(I39-1),0)),0)</f>
        <v>0</v>
      </c>
      <c r="J87" s="48" t="n">
        <f aca="false">IF(AND(J38=1,J39&lt;=ROUNDUP(1/Input!$H$146,0)),MIN($D$48*Input!$H$121*Input!$H$146,MAX($D$48*Input!$H$121-$D$48*Input!$H$121*Input!$H$146*(J39-1),0)),0)</f>
        <v>0</v>
      </c>
      <c r="K87" s="48" t="n">
        <f aca="false">IF(AND(K38=1,K39&lt;=ROUNDUP(1/Input!$H$146,0)),MIN($D$48*Input!$H$121*Input!$H$146,MAX($D$48*Input!$H$121-$D$48*Input!$H$121*Input!$H$146*(K39-1),0)),0)</f>
        <v>16.875</v>
      </c>
      <c r="L87" s="48" t="n">
        <f aca="false">IF(AND(L38=1,L39&lt;=ROUNDUP(1/Input!$H$146,0)),MIN($D$48*Input!$H$121*Input!$H$146,MAX($D$48*Input!$H$121-$D$48*Input!$H$121*Input!$H$146*(L39-1),0)),0)</f>
        <v>16.875</v>
      </c>
      <c r="M87" s="48" t="n">
        <f aca="false">IF(AND(M38=1,M39&lt;=ROUNDUP(1/Input!$H$146,0)),MIN($D$48*Input!$H$121*Input!$H$146,MAX($D$48*Input!$H$121-$D$48*Input!$H$121*Input!$H$146*(M39-1),0)),0)</f>
        <v>16.875</v>
      </c>
      <c r="N87" s="48" t="n">
        <f aca="false">IF(AND(N38=1,N39&lt;=ROUNDUP(1/Input!$H$146,0)),MIN($D$48*Input!$H$121*Input!$H$146,MAX($D$48*Input!$H$121-$D$48*Input!$H$121*Input!$H$146*(N39-1),0)),0)</f>
        <v>16.875</v>
      </c>
      <c r="O87" s="48" t="n">
        <f aca="false">IF(AND(O38=1,O39&lt;=ROUNDUP(1/Input!$H$146,0)),MIN($D$48*Input!$H$121*Input!$H$146,MAX($D$48*Input!$H$121-$D$48*Input!$H$121*Input!$H$146*(O39-1),0)),0)</f>
        <v>16.875</v>
      </c>
      <c r="P87" s="48" t="n">
        <f aca="false">IF(AND(P38=1,P39&lt;=ROUNDUP(1/Input!$H$146,0)),MIN($D$48*Input!$H$121*Input!$H$146,MAX($D$48*Input!$H$121-$D$48*Input!$H$121*Input!$H$146*(P39-1),0)),0)</f>
        <v>16.875</v>
      </c>
      <c r="Q87" s="48" t="n">
        <f aca="false">IF(AND(Q38=1,Q39&lt;=ROUNDUP(1/Input!$H$146,0)),MIN($D$48*Input!$H$121*Input!$H$146,MAX($D$48*Input!$H$121-$D$48*Input!$H$121*Input!$H$146*(Q39-1),0)),0)</f>
        <v>16.875</v>
      </c>
      <c r="R87" s="48" t="n">
        <f aca="false">IF(AND(R38=1,R39&lt;=ROUNDUP(1/Input!$H$146,0)),MIN($D$48*Input!$H$121*Input!$H$146,MAX($D$48*Input!$H$121-$D$48*Input!$H$121*Input!$H$146*(R39-1),0)),0)</f>
        <v>16.875</v>
      </c>
      <c r="S87" s="48" t="n">
        <f aca="false">IF(AND(S38=1,S39&lt;=ROUNDUP(1/Input!$H$146,0)),MIN($D$48*Input!$H$121*Input!$H$146,MAX($D$48*Input!$H$121-$D$48*Input!$H$121*Input!$H$146*(S39-1),0)),0)</f>
        <v>16.875</v>
      </c>
      <c r="T87" s="48" t="n">
        <f aca="false">IF(AND(T38=1,T39&lt;=ROUNDUP(1/Input!$H$146,0)),MIN($D$48*Input!$H$121*Input!$H$146,MAX($D$48*Input!$H$121-$D$48*Input!$H$121*Input!$H$146*(T39-1),0)),0)</f>
        <v>16.875</v>
      </c>
      <c r="U87" s="48" t="n">
        <f aca="false">IF(AND(U38=1,U39&lt;=ROUNDUP(1/Input!$H$146,0)),MIN($D$48*Input!$H$121*Input!$H$146,MAX($D$48*Input!$H$121-$D$48*Input!$H$121*Input!$H$146*(U39-1),0)),0)</f>
        <v>0</v>
      </c>
      <c r="V87" s="48" t="n">
        <f aca="false">IF(AND(V38=1,V39&lt;=ROUNDUP(1/Input!$H$146,0)),MIN($D$48*Input!$H$121*Input!$H$146,MAX($D$48*Input!$H$121-$D$48*Input!$H$121*Input!$H$146*(V39-1),0)),0)</f>
        <v>0</v>
      </c>
      <c r="W87" s="48" t="n">
        <f aca="false">IF(AND(W38=1,W39&lt;=ROUNDUP(1/Input!$H$146,0)),MIN($D$48*Input!$H$121*Input!$H$146,MAX($D$48*Input!$H$121-$D$48*Input!$H$121*Input!$H$146*(W39-1),0)),0)</f>
        <v>0</v>
      </c>
      <c r="X87" s="48" t="n">
        <f aca="false">IF(AND(X38=1,X39&lt;=ROUNDUP(1/Input!$H$146,0)),MIN($D$48*Input!$H$121*Input!$H$146,MAX($D$48*Input!$H$121-$D$48*Input!$H$121*Input!$H$146*(X39-1),0)),0)</f>
        <v>0</v>
      </c>
      <c r="Y87" s="48" t="n">
        <f aca="false">IF(AND(Y38=1,Y39&lt;=ROUNDUP(1/Input!$H$146,0)),MIN($D$48*Input!$H$121*Input!$H$146,MAX($D$48*Input!$H$121-$D$48*Input!$H$121*Input!$H$146*(Y39-1),0)),0)</f>
        <v>0</v>
      </c>
      <c r="Z87" s="48" t="n">
        <f aca="false">IF(AND(Z38=1,Z39&lt;=ROUNDUP(1/Input!$H$146,0)),MIN($D$48*Input!$H$121*Input!$H$146,MAX($D$48*Input!$H$121-$D$48*Input!$H$121*Input!$H$146*(Z39-1),0)),0)</f>
        <v>0</v>
      </c>
      <c r="AA87" s="48" t="n">
        <f aca="false">IF(AND(AA38=1,AA39&lt;=ROUNDUP(1/Input!$H$146,0)),MIN($D$48*Input!$H$121*Input!$H$146,MAX($D$48*Input!$H$121-$D$48*Input!$H$121*Input!$H$146*(AA39-1),0)),0)</f>
        <v>0</v>
      </c>
      <c r="AB87" s="48" t="n">
        <f aca="false">IF(AND(AB38=1,AB39&lt;=ROUNDUP(1/Input!$H$146,0)),MIN($D$48*Input!$H$121*Input!$H$146,MAX($D$48*Input!$H$121-$D$48*Input!$H$121*Input!$H$146*(AB39-1),0)),0)</f>
        <v>0</v>
      </c>
      <c r="AC87" s="48" t="n">
        <f aca="false">IF(AND(AC38=1,AC39&lt;=ROUNDUP(1/Input!$H$146,0)),MIN($D$48*Input!$H$121*Input!$H$146,MAX($D$48*Input!$H$121-$D$48*Input!$H$121*Input!$H$146*(AC39-1),0)),0)</f>
        <v>0</v>
      </c>
      <c r="AD87" s="48" t="n">
        <f aca="false">IF(AND(AD38=1,AD39&lt;=ROUNDUP(1/Input!$H$146,0)),MIN($D$48*Input!$H$121*Input!$H$146,MAX($D$48*Input!$H$121-$D$48*Input!$H$121*Input!$H$146*(AD39-1),0)),0)</f>
        <v>0</v>
      </c>
      <c r="AE87" s="48" t="n">
        <f aca="false">IF(AND(AE38=1,AE39&lt;=ROUNDUP(1/Input!$H$146,0)),MIN($D$48*Input!$H$121*Input!$H$146,MAX($D$48*Input!$H$121-$D$48*Input!$H$121*Input!$H$146*(AE39-1),0)),0)</f>
        <v>0</v>
      </c>
      <c r="AF87" s="48" t="n">
        <f aca="false">IF(AND(AF38=1,AF39&lt;=ROUNDUP(1/Input!$H$146,0)),MIN($D$48*Input!$H$121*Input!$H$146,MAX($D$48*Input!$H$121-$D$48*Input!$H$121*Input!$H$146*(AF39-1),0)),0)</f>
        <v>0</v>
      </c>
      <c r="AG87" s="48" t="n">
        <f aca="false">IF(AND(AG38=1,AG39&lt;=ROUNDUP(1/Input!$H$146,0)),MIN($D$48*Input!$H$121*Input!$H$146,MAX($D$48*Input!$H$121-$D$48*Input!$H$121*Input!$H$146*(AG39-1),0)),0)</f>
        <v>0</v>
      </c>
      <c r="AH87" s="48" t="n">
        <f aca="false">IF(AND(AH38=1,AH39&lt;=ROUNDUP(1/Input!$H$146,0)),MIN($D$48*Input!$H$121*Input!$H$146,MAX($D$48*Input!$H$121-$D$48*Input!$H$121*Input!$H$146*(AH39-1),0)),0)</f>
        <v>0</v>
      </c>
      <c r="AI87" s="48" t="n">
        <f aca="false">IF(AND(AI38=1,AI39&lt;=ROUNDUP(1/Input!$H$146,0)),MIN($D$48*Input!$H$121*Input!$H$146,MAX($D$48*Input!$H$121-$D$48*Input!$H$121*Input!$H$146*(AI39-1),0)),0)</f>
        <v>0</v>
      </c>
      <c r="AJ87" s="48" t="n">
        <f aca="false">IF(AND(AJ38=1,AJ39&lt;=ROUNDUP(1/Input!$H$146,0)),MIN($D$48*Input!$H$121*Input!$H$146,MAX($D$48*Input!$H$121-$D$48*Input!$H$121*Input!$H$146*(AJ39-1),0)),0)</f>
        <v>0</v>
      </c>
      <c r="AK87" s="48" t="n">
        <f aca="false">IF(AND(AK38=1,AK39&lt;=ROUNDUP(1/Input!$H$146,0)),MIN($D$48*Input!$H$121*Input!$H$146,MAX($D$48*Input!$H$121-$D$48*Input!$H$121*Input!$H$146*(AK39-1),0)),0)</f>
        <v>0</v>
      </c>
      <c r="AL87" s="48" t="n">
        <f aca="false">IF(AND(AL38=1,AL39&lt;=ROUNDUP(1/Input!$H$146,0)),MIN($D$48*Input!$H$121*Input!$H$146,MAX($D$48*Input!$H$121-$D$48*Input!$H$121*Input!$H$146*(AL39-1),0)),0)</f>
        <v>0</v>
      </c>
      <c r="AM87" s="48" t="n">
        <f aca="false">IF(AND(AM38=1,AM39&lt;=ROUNDUP(1/Input!$H$146,0)),MIN($D$48*Input!$H$121*Input!$H$146,MAX($D$48*Input!$H$121-$D$48*Input!$H$121*Input!$H$146*(AM39-1),0)),0)</f>
        <v>0</v>
      </c>
      <c r="AN87" s="48" t="n">
        <f aca="false">IF(AND(AN38=1,AN39&lt;=ROUNDUP(1/Input!$H$146,0)),MIN($D$48*Input!$H$121*Input!$H$146,MAX($D$48*Input!$H$121-$D$48*Input!$H$121*Input!$H$146*(AN39-1),0)),0)</f>
        <v>0</v>
      </c>
      <c r="AO87" s="48" t="n">
        <f aca="false">IF(AND(AO38=1,AO39&lt;=ROUNDUP(1/Input!$H$146,0)),MIN($D$48*Input!$H$121*Input!$H$146,MAX($D$48*Input!$H$121-$D$48*Input!$H$121*Input!$H$146*(AO39-1),0)),0)</f>
        <v>0</v>
      </c>
      <c r="AP87" s="48" t="n">
        <f aca="false">IF(AND(AP38=1,AP39&lt;=ROUNDUP(1/Input!$H$146,0)),MIN($D$48*Input!$H$121*Input!$H$146,MAX($D$48*Input!$H$121-$D$48*Input!$H$121*Input!$H$146*(AP39-1),0)),0)</f>
        <v>0</v>
      </c>
      <c r="AQ87" s="48" t="n">
        <f aca="false">IF(AND(AQ38=1,AQ39&lt;=ROUNDUP(1/Input!$H$146,0)),MIN($D$48*Input!$H$121*Input!$H$146,MAX($D$48*Input!$H$121-$D$48*Input!$H$121*Input!$H$146*(AQ39-1),0)),0)</f>
        <v>0</v>
      </c>
      <c r="AR87" s="48" t="n">
        <f aca="false">IF(AND(AR38=1,AR39&lt;=ROUNDUP(1/Input!$H$146,0)),MIN($D$48*Input!$H$121*Input!$H$146,MAX($D$48*Input!$H$121-$D$48*Input!$H$121*Input!$H$146*(AR39-1),0)),0)</f>
        <v>0</v>
      </c>
      <c r="AS87" s="48" t="n">
        <f aca="false">IF(AND(AS38=1,AS39&lt;=ROUNDUP(1/Input!$H$146,0)),MIN($D$48*Input!$H$121*Input!$H$146,MAX($D$48*Input!$H$121-$D$48*Input!$H$121*Input!$H$146*(AS39-1),0)),0)</f>
        <v>0</v>
      </c>
      <c r="AT87" s="48" t="n">
        <f aca="false">IF(AND(AT38=1,AT39&lt;=ROUNDUP(1/Input!$H$146,0)),MIN($D$48*Input!$H$121*Input!$H$146,MAX($D$48*Input!$H$121-$D$48*Input!$H$121*Input!$H$146*(AT39-1),0)),0)</f>
        <v>0</v>
      </c>
      <c r="AU87" s="48" t="n">
        <f aca="false">IF(AND(AU38=1,AU39&lt;=ROUNDUP(1/Input!$H$146,0)),MIN($D$48*Input!$H$121*Input!$H$146,MAX($D$48*Input!$H$121-$D$48*Input!$H$121*Input!$H$146*(AU39-1),0)),0)</f>
        <v>0</v>
      </c>
      <c r="AV87" s="48" t="n">
        <f aca="false">IF(AND(AV38=1,AV39&lt;=ROUNDUP(1/Input!$H$146,0)),MIN($D$48*Input!$H$121*Input!$H$146,MAX($D$48*Input!$H$121-$D$48*Input!$H$121*Input!$H$146*(AV39-1),0)),0)</f>
        <v>0</v>
      </c>
      <c r="AW87" s="48" t="n">
        <f aca="false">IF(AND(AW38=1,AW39&lt;=ROUNDUP(1/Input!$H$146,0)),MIN($D$48*Input!$H$121*Input!$H$146,MAX($D$48*Input!$H$121-$D$48*Input!$H$121*Input!$H$146*(AW39-1),0)),0)</f>
        <v>0</v>
      </c>
      <c r="AX87" s="48" t="n">
        <f aca="false">IF(AND(AX38=1,AX39&lt;=ROUNDUP(1/Input!$H$146,0)),MIN($D$48*Input!$H$121*Input!$H$146,MAX($D$48*Input!$H$121-$D$48*Input!$H$121*Input!$H$146*(AX39-1),0)),0)</f>
        <v>0</v>
      </c>
      <c r="AY87" s="48" t="n">
        <f aca="false">IF(AND(AY38=1,AY39&lt;=ROUNDUP(1/Input!$H$146,0)),MIN($D$48*Input!$H$121*Input!$H$146,MAX($D$48*Input!$H$121-$D$48*Input!$H$121*Input!$H$146*(AY39-1),0)),0)</f>
        <v>0</v>
      </c>
      <c r="AZ87" s="48" t="n">
        <f aca="false">IF(AND(AZ38=1,AZ39&lt;=ROUNDUP(1/Input!$H$146,0)),MIN($D$48*Input!$H$121*Input!$H$146,MAX($D$48*Input!$H$121-$D$48*Input!$H$121*Input!$H$146*(AZ39-1),0)),0)</f>
        <v>0</v>
      </c>
      <c r="BA87" s="48" t="n">
        <f aca="false">IF(AND(BA38=1,BA39&lt;=ROUNDUP(1/Input!$H$146,0)),MIN($D$48*Input!$H$121*Input!$H$146,MAX($D$48*Input!$H$121-$D$48*Input!$H$121*Input!$H$146*(BA39-1),0)),0)</f>
        <v>0</v>
      </c>
      <c r="BB87" s="48" t="n">
        <f aca="false">IF(AND(BB38=1,BB39&lt;=ROUNDUP(1/Input!$H$146,0)),MIN($D$48*Input!$H$121*Input!$H$146,MAX($D$48*Input!$H$121-$D$48*Input!$H$121*Input!$H$146*(BB39-1),0)),0)</f>
        <v>0</v>
      </c>
      <c r="BC87" s="48" t="n">
        <f aca="false">IF(AND(BC38=1,BC39&lt;=ROUNDUP(1/Input!$H$146,0)),MIN($D$48*Input!$H$121*Input!$H$146,MAX($D$48*Input!$H$121-$D$48*Input!$H$121*Input!$H$146*(BC39-1),0)),0)</f>
        <v>0</v>
      </c>
      <c r="BD87" s="48" t="n">
        <f aca="false">IF(AND(BD38=1,BD39&lt;=ROUNDUP(1/Input!$H$146,0)),MIN($D$48*Input!$H$121*Input!$H$146,MAX($D$48*Input!$H$121-$D$48*Input!$H$121*Input!$H$146*(BD39-1),0)),0)</f>
        <v>0</v>
      </c>
      <c r="BE87" s="48" t="n">
        <f aca="false">IF(AND(BE38=1,BE39&lt;=ROUNDUP(1/Input!$H$146,0)),MIN($D$48*Input!$H$121*Input!$H$146,MAX($D$48*Input!$H$121-$D$48*Input!$H$121*Input!$H$146*(BE39-1),0)),0)</f>
        <v>0</v>
      </c>
      <c r="BF87" s="48" t="n">
        <f aca="false">IF(AND(BF38=1,BF39&lt;=ROUNDUP(1/Input!$H$146,0)),MIN($D$48*Input!$H$121*Input!$H$146,MAX($D$48*Input!$H$121-$D$48*Input!$H$121*Input!$H$146*(BF39-1),0)),0)</f>
        <v>0</v>
      </c>
      <c r="BG87" s="48" t="n">
        <f aca="false">IF(AND(BG38=1,BG39&lt;=ROUNDUP(1/Input!$H$146,0)),MIN($D$48*Input!$H$121*Input!$H$146,MAX($D$48*Input!$H$121-$D$48*Input!$H$121*Input!$H$146*(BG39-1),0)),0)</f>
        <v>0</v>
      </c>
      <c r="BH87" s="48" t="n">
        <f aca="false">IF(AND(BH38=1,BH39&lt;=ROUNDUP(1/Input!$H$146,0)),MIN($D$48*Input!$H$121*Input!$H$146,MAX($D$48*Input!$H$121-$D$48*Input!$H$121*Input!$H$146*(BH39-1),0)),0)</f>
        <v>0</v>
      </c>
      <c r="BI87" s="48" t="n">
        <f aca="false">IF(AND(BI38=1,BI39&lt;=ROUNDUP(1/Input!$H$146,0)),MIN($D$48*Input!$H$121*Input!$H$146,MAX($D$48*Input!$H$121-$D$48*Input!$H$121*Input!$H$146*(BI39-1),0)),0)</f>
        <v>0</v>
      </c>
      <c r="BJ87" s="48" t="n">
        <f aca="false">IF(AND(BJ38=1,BJ39&lt;=ROUNDUP(1/Input!$H$146,0)),MIN($D$48*Input!$H$121*Input!$H$146,MAX($D$48*Input!$H$121-$D$48*Input!$H$121*Input!$H$146*(BJ39-1),0)),0)</f>
        <v>0</v>
      </c>
      <c r="BK87" s="48" t="n">
        <f aca="false">IF(AND(BK38=1,BK39&lt;=ROUNDUP(1/Input!$H$146,0)),MIN($D$48*Input!$H$121*Input!$H$146,MAX($D$48*Input!$H$121-$D$48*Input!$H$121*Input!$H$146*(BK39-1),0)),0)</f>
        <v>0</v>
      </c>
      <c r="BL87" s="48" t="n">
        <f aca="false">IF(AND(BL38=1,BL39&lt;=ROUNDUP(1/Input!$H$146,0)),MIN($D$48*Input!$H$121*Input!$H$146,MAX($D$48*Input!$H$121-$D$48*Input!$H$121*Input!$H$146*(BL39-1),0)),0)</f>
        <v>0</v>
      </c>
      <c r="BM87" s="48" t="n">
        <f aca="false">IF(AND(BM38=1,BM39&lt;=ROUNDUP(1/Input!$H$146,0)),MIN($D$48*Input!$H$121*Input!$H$146,MAX($D$48*Input!$H$121-$D$48*Input!$H$121*Input!$H$146*(BM39-1),0)),0)</f>
        <v>0</v>
      </c>
      <c r="BN87" s="48" t="n">
        <f aca="false">IF(AND(BN38=1,BN39&lt;=ROUNDUP(1/Input!$H$146,0)),MIN($D$48*Input!$H$121*Input!$H$146,MAX($D$48*Input!$H$121-$D$48*Input!$H$121*Input!$H$146*(BN39-1),0)),0)</f>
        <v>0</v>
      </c>
      <c r="BO87" s="48" t="n">
        <f aca="false">IF(AND(BO38=1,BO39&lt;=ROUNDUP(1/Input!$H$146,0)),MIN($D$48*Input!$H$121*Input!$H$146,MAX($D$48*Input!$H$121-$D$48*Input!$H$121*Input!$H$146*(BO39-1),0)),0)</f>
        <v>0</v>
      </c>
      <c r="BP87" s="48" t="n">
        <f aca="false">IF(AND(BP38=1,BP39&lt;=ROUNDUP(1/Input!$H$146,0)),MIN($D$48*Input!$H$121*Input!$H$146,MAX($D$48*Input!$H$121-$D$48*Input!$H$121*Input!$H$146*(BP39-1),0)),0)</f>
        <v>0</v>
      </c>
      <c r="BQ87" s="48" t="n">
        <f aca="false">IF(AND(BQ38=1,BQ39&lt;=ROUNDUP(1/Input!$H$146,0)),MIN($D$48*Input!$H$121*Input!$H$146,MAX($D$48*Input!$H$121-$D$48*Input!$H$121*Input!$H$146*(BQ39-1),0)),0)</f>
        <v>0</v>
      </c>
      <c r="BR87" s="48" t="n">
        <f aca="false">IF(AND(BR38=1,BR39&lt;=ROUNDUP(1/Input!$H$146,0)),MIN($D$48*Input!$H$121*Input!$H$146,MAX($D$48*Input!$H$121-$D$48*Input!$H$121*Input!$H$146*(BR39-1),0)),0)</f>
        <v>0</v>
      </c>
      <c r="BS87" s="48" t="n">
        <f aca="false">IF(AND(BS38=1,BS39&lt;=ROUNDUP(1/Input!$H$146,0)),MIN($D$48*Input!$H$121*Input!$H$146,MAX($D$48*Input!$H$121-$D$48*Input!$H$121*Input!$H$146*(BS39-1),0)),0)</f>
        <v>0</v>
      </c>
      <c r="BT87" s="48" t="n">
        <f aca="false">IF(AND(BT38=1,BT39&lt;=ROUNDUP(1/Input!$H$146,0)),MIN($D$48*Input!$H$121*Input!$H$146,MAX($D$48*Input!$H$121-$D$48*Input!$H$121*Input!$H$146*(BT39-1),0)),0)</f>
        <v>0</v>
      </c>
      <c r="BU87" s="48" t="n">
        <f aca="false">IF(AND(BU38=1,BU39&lt;=ROUNDUP(1/Input!$H$146,0)),MIN($D$48*Input!$H$121*Input!$H$146,MAX($D$48*Input!$H$121-$D$48*Input!$H$121*Input!$H$146*(BU39-1),0)),0)</f>
        <v>0</v>
      </c>
      <c r="BV87" s="48" t="n">
        <f aca="false">IF(AND(BV38=1,BV39&lt;=ROUNDUP(1/Input!$H$146,0)),MIN($D$48*Input!$H$121*Input!$H$146,MAX($D$48*Input!$H$121-$D$48*Input!$H$121*Input!$H$146*(BV39-1),0)),0)</f>
        <v>0</v>
      </c>
      <c r="BW87" s="48" t="n">
        <f aca="false">IF(AND(BW38=1,BW39&lt;=ROUNDUP(1/Input!$H$146,0)),MIN($D$48*Input!$H$121*Input!$H$146,MAX($D$48*Input!$H$121-$D$48*Input!$H$121*Input!$H$146*(BW39-1),0)),0)</f>
        <v>0</v>
      </c>
      <c r="BX87" s="48" t="n">
        <f aca="false">IF(AND(BX38=1,BX39&lt;=ROUNDUP(1/Input!$H$146,0)),MIN($D$48*Input!$H$121*Input!$H$146,MAX($D$48*Input!$H$121-$D$48*Input!$H$121*Input!$H$146*(BX39-1),0)),0)</f>
        <v>0</v>
      </c>
    </row>
    <row r="88" customFormat="false" ht="15" hidden="false" customHeight="false" outlineLevel="0" collapsed="false">
      <c r="A88" s="1"/>
      <c r="B88" s="4" t="s">
        <v>353</v>
      </c>
      <c r="C88" s="8" t="s">
        <v>126</v>
      </c>
      <c r="D88" s="44" t="n">
        <f aca="false">SUM(G88:BX88)</f>
        <v>1096.875</v>
      </c>
      <c r="E88" s="1"/>
      <c r="F88" s="1"/>
      <c r="G88" s="44" t="n">
        <f aca="false">G84+G85+G86+G87</f>
        <v>0</v>
      </c>
      <c r="H88" s="44" t="n">
        <f aca="false">H84+H85+H86+H87</f>
        <v>0</v>
      </c>
      <c r="I88" s="44" t="n">
        <f aca="false">I84+I85+I86+I87</f>
        <v>0</v>
      </c>
      <c r="J88" s="44" t="n">
        <f aca="false">J84+J85+J86+J87</f>
        <v>0</v>
      </c>
      <c r="K88" s="44" t="n">
        <f aca="false">K84+K85+K86+K87</f>
        <v>75.9375</v>
      </c>
      <c r="L88" s="44" t="n">
        <f aca="false">L84+L85+L86+L87</f>
        <v>75.9375</v>
      </c>
      <c r="M88" s="44" t="n">
        <f aca="false">M84+M85+M86+M87</f>
        <v>75.9375</v>
      </c>
      <c r="N88" s="44" t="n">
        <f aca="false">N84+N85+N86+N87</f>
        <v>75.9375</v>
      </c>
      <c r="O88" s="44" t="n">
        <f aca="false">O84+O85+O86+O87</f>
        <v>75.9375</v>
      </c>
      <c r="P88" s="44" t="n">
        <f aca="false">P84+P85+P86+P87</f>
        <v>75.9375</v>
      </c>
      <c r="Q88" s="44" t="n">
        <f aca="false">Q84+Q85+Q86+Q87</f>
        <v>75.9375</v>
      </c>
      <c r="R88" s="44" t="n">
        <f aca="false">R84+R85+R86+R87</f>
        <v>75.9375</v>
      </c>
      <c r="S88" s="44" t="n">
        <f aca="false">S84+S85+S86+S87</f>
        <v>75.9375</v>
      </c>
      <c r="T88" s="44" t="n">
        <f aca="false">T84+T85+T86+T87</f>
        <v>75.9375</v>
      </c>
      <c r="U88" s="44" t="n">
        <f aca="false">U84+U85+U86+U87</f>
        <v>59.0625</v>
      </c>
      <c r="V88" s="44" t="n">
        <f aca="false">V84+V85+V86+V87</f>
        <v>59.0625</v>
      </c>
      <c r="W88" s="44" t="n">
        <f aca="false">W84+W85+W86+W87</f>
        <v>59.0625</v>
      </c>
      <c r="X88" s="44" t="n">
        <f aca="false">X84+X85+X86+X87</f>
        <v>59.0625</v>
      </c>
      <c r="Y88" s="44" t="n">
        <f aca="false">Y84+Y85+Y86+Y87</f>
        <v>22.4999999999999</v>
      </c>
      <c r="Z88" s="44" t="n">
        <f aca="false">Z84+Z85+Z86+Z87</f>
        <v>7.875</v>
      </c>
      <c r="AA88" s="44" t="n">
        <f aca="false">AA84+AA85+AA86+AA87</f>
        <v>7.875</v>
      </c>
      <c r="AB88" s="44" t="n">
        <f aca="false">AB84+AB85+AB86+AB87</f>
        <v>7.875</v>
      </c>
      <c r="AC88" s="44" t="n">
        <f aca="false">AC84+AC85+AC86+AC87</f>
        <v>7.875</v>
      </c>
      <c r="AD88" s="44" t="n">
        <f aca="false">AD84+AD85+AD86+AD87</f>
        <v>7.875</v>
      </c>
      <c r="AE88" s="44" t="n">
        <f aca="false">AE84+AE85+AE86+AE87</f>
        <v>7.875</v>
      </c>
      <c r="AF88" s="44" t="n">
        <f aca="false">AF84+AF85+AF86+AF87</f>
        <v>7.875</v>
      </c>
      <c r="AG88" s="44" t="n">
        <f aca="false">AG84+AG85+AG86+AG87</f>
        <v>3.9375</v>
      </c>
      <c r="AH88" s="44" t="n">
        <f aca="false">AH84+AH85+AH86+AH87</f>
        <v>2.8125</v>
      </c>
      <c r="AI88" s="44" t="n">
        <f aca="false">AI84+AI85+AI86+AI87</f>
        <v>2.8125</v>
      </c>
      <c r="AJ88" s="44" t="n">
        <f aca="false">AJ84+AJ85+AJ86+AJ87</f>
        <v>2.8125</v>
      </c>
      <c r="AK88" s="44" t="n">
        <f aca="false">AK84+AK85+AK86+AK87</f>
        <v>2.8125</v>
      </c>
      <c r="AL88" s="44" t="n">
        <f aca="false">AL84+AL85+AL86+AL87</f>
        <v>2.8125</v>
      </c>
      <c r="AM88" s="44" t="n">
        <f aca="false">AM84+AM85+AM86+AM87</f>
        <v>2.8125</v>
      </c>
      <c r="AN88" s="44" t="n">
        <f aca="false">AN84+AN85+AN86+AN87</f>
        <v>2.8125</v>
      </c>
      <c r="AO88" s="44" t="n">
        <f aca="false">AO84+AO85+AO86+AO87</f>
        <v>0</v>
      </c>
      <c r="AP88" s="44" t="n">
        <f aca="false">AP84+AP85+AP86+AP87</f>
        <v>0</v>
      </c>
      <c r="AQ88" s="44" t="n">
        <f aca="false">AQ84+AQ85+AQ86+AQ87</f>
        <v>0</v>
      </c>
      <c r="AR88" s="44" t="n">
        <f aca="false">AR84+AR85+AR86+AR87</f>
        <v>0</v>
      </c>
      <c r="AS88" s="44" t="n">
        <f aca="false">AS84+AS85+AS86+AS87</f>
        <v>0</v>
      </c>
      <c r="AT88" s="44" t="n">
        <f aca="false">AT84+AT85+AT86+AT87</f>
        <v>0</v>
      </c>
      <c r="AU88" s="44" t="n">
        <f aca="false">AU84+AU85+AU86+AU87</f>
        <v>0</v>
      </c>
      <c r="AV88" s="44" t="n">
        <f aca="false">AV84+AV85+AV86+AV87</f>
        <v>0</v>
      </c>
      <c r="AW88" s="44" t="n">
        <f aca="false">AW84+AW85+AW86+AW87</f>
        <v>0</v>
      </c>
      <c r="AX88" s="44" t="n">
        <f aca="false">AX84+AX85+AX86+AX87</f>
        <v>0</v>
      </c>
      <c r="AY88" s="44" t="n">
        <f aca="false">AY84+AY85+AY86+AY87</f>
        <v>0</v>
      </c>
      <c r="AZ88" s="44" t="n">
        <f aca="false">AZ84+AZ85+AZ86+AZ87</f>
        <v>0</v>
      </c>
      <c r="BA88" s="44" t="n">
        <f aca="false">BA84+BA85+BA86+BA87</f>
        <v>0</v>
      </c>
      <c r="BB88" s="44" t="n">
        <f aca="false">BB84+BB85+BB86+BB87</f>
        <v>0</v>
      </c>
      <c r="BC88" s="44" t="n">
        <f aca="false">BC84+BC85+BC86+BC87</f>
        <v>0</v>
      </c>
      <c r="BD88" s="44" t="n">
        <f aca="false">BD84+BD85+BD86+BD87</f>
        <v>0</v>
      </c>
      <c r="BE88" s="44" t="n">
        <f aca="false">BE84+BE85+BE86+BE87</f>
        <v>0</v>
      </c>
      <c r="BF88" s="44" t="n">
        <f aca="false">BF84+BF85+BF86+BF87</f>
        <v>0</v>
      </c>
      <c r="BG88" s="44" t="n">
        <f aca="false">BG84+BG85+BG86+BG87</f>
        <v>0</v>
      </c>
      <c r="BH88" s="44" t="n">
        <f aca="false">BH84+BH85+BH86+BH87</f>
        <v>0</v>
      </c>
      <c r="BI88" s="44" t="n">
        <f aca="false">BI84+BI85+BI86+BI87</f>
        <v>0</v>
      </c>
      <c r="BJ88" s="44" t="n">
        <f aca="false">BJ84+BJ85+BJ86+BJ87</f>
        <v>0</v>
      </c>
      <c r="BK88" s="44" t="n">
        <f aca="false">BK84+BK85+BK86+BK87</f>
        <v>0</v>
      </c>
      <c r="BL88" s="44" t="n">
        <f aca="false">BL84+BL85+BL86+BL87</f>
        <v>0</v>
      </c>
      <c r="BM88" s="44" t="n">
        <f aca="false">BM84+BM85+BM86+BM87</f>
        <v>0</v>
      </c>
      <c r="BN88" s="44" t="n">
        <f aca="false">BN84+BN85+BN86+BN87</f>
        <v>0</v>
      </c>
      <c r="BO88" s="44" t="n">
        <f aca="false">BO84+BO85+BO86+BO87</f>
        <v>0</v>
      </c>
      <c r="BP88" s="44" t="n">
        <f aca="false">BP84+BP85+BP86+BP87</f>
        <v>0</v>
      </c>
      <c r="BQ88" s="44" t="n">
        <f aca="false">BQ84+BQ85+BQ86+BQ87</f>
        <v>0</v>
      </c>
      <c r="BR88" s="44" t="n">
        <f aca="false">BR84+BR85+BR86+BR87</f>
        <v>0</v>
      </c>
      <c r="BS88" s="44" t="n">
        <f aca="false">BS84+BS85+BS86+BS87</f>
        <v>0</v>
      </c>
      <c r="BT88" s="44" t="n">
        <f aca="false">BT84+BT85+BT86+BT87</f>
        <v>0</v>
      </c>
      <c r="BU88" s="44" t="n">
        <f aca="false">BU84+BU85+BU86+BU87</f>
        <v>0</v>
      </c>
      <c r="BV88" s="44" t="n">
        <f aca="false">BV84+BV85+BV86+BV87</f>
        <v>0</v>
      </c>
      <c r="BW88" s="44" t="n">
        <f aca="false">BW84+BW85+BW86+BW87</f>
        <v>0</v>
      </c>
      <c r="BX88" s="44" t="n">
        <f aca="false">BX84+BX85+BX86+BX87</f>
        <v>0</v>
      </c>
    </row>
    <row r="89" customFormat="false" ht="15" hidden="false" customHeight="false" outlineLevel="0" collapsed="false">
      <c r="A89" s="1"/>
      <c r="B89" s="8" t="s">
        <v>354</v>
      </c>
      <c r="C89" s="8" t="s">
        <v>126</v>
      </c>
      <c r="D89" s="44" t="n">
        <f aca="false">SUM(G89:BX89)</f>
        <v>-984.247486800738</v>
      </c>
      <c r="E89" s="1"/>
      <c r="F89" s="1"/>
      <c r="G89" s="48" t="n">
        <f aca="false">G80-G88-G81</f>
        <v>0</v>
      </c>
      <c r="H89" s="48" t="n">
        <f aca="false">H80-H88-H81</f>
        <v>0</v>
      </c>
      <c r="I89" s="48" t="n">
        <f aca="false">I80-I88-I81</f>
        <v>0</v>
      </c>
      <c r="J89" s="48" t="n">
        <f aca="false">J80-J88-J81</f>
        <v>0</v>
      </c>
      <c r="K89" s="48" t="n">
        <f aca="false">K80-K88-K81</f>
        <v>-57.9925008214219</v>
      </c>
      <c r="L89" s="48" t="n">
        <f aca="false">L80-L88-L81</f>
        <v>-60.27322217307</v>
      </c>
      <c r="M89" s="48" t="n">
        <f aca="false">M80-M88-M81</f>
        <v>-62.4159969211875</v>
      </c>
      <c r="N89" s="48" t="n">
        <f aca="false">N80-N88-N81</f>
        <v>-64.4517426751634</v>
      </c>
      <c r="O89" s="48" t="n">
        <f aca="false">O80-O88-O81</f>
        <v>-66.2921023741856</v>
      </c>
      <c r="P89" s="48" t="n">
        <f aca="false">P80-P88-P81</f>
        <v>-67.3026552350179</v>
      </c>
      <c r="Q89" s="48" t="n">
        <f aca="false">Q80-Q88-Q81</f>
        <v>-68.3335062920927</v>
      </c>
      <c r="R89" s="48" t="n">
        <f aca="false">R80-R88-R81</f>
        <v>-69.2287769454212</v>
      </c>
      <c r="S89" s="48" t="n">
        <f aca="false">S80-S88-S81</f>
        <v>-70.1310138192675</v>
      </c>
      <c r="T89" s="48" t="n">
        <f aca="false">T80-T88-T81</f>
        <v>-71.0316962802266</v>
      </c>
      <c r="U89" s="48" t="n">
        <f aca="false">U80-U88-U81</f>
        <v>-54.4024439847916</v>
      </c>
      <c r="V89" s="48" t="n">
        <f aca="false">V80-V88-V81</f>
        <v>-54.6527749161277</v>
      </c>
      <c r="W89" s="48" t="n">
        <f aca="false">W80-W88-W81</f>
        <v>-54.8938481154885</v>
      </c>
      <c r="X89" s="48" t="n">
        <f aca="false">X80-X88-X81</f>
        <v>-55.1199242674641</v>
      </c>
      <c r="Y89" s="48" t="n">
        <f aca="false">Y80-Y88-Y81</f>
        <v>-18.8168794184788</v>
      </c>
      <c r="Z89" s="48" t="n">
        <f aca="false">Z80-Z88-Z81</f>
        <v>-4.38988363995416</v>
      </c>
      <c r="AA89" s="48" t="n">
        <f aca="false">AA80-AA88-AA81</f>
        <v>-4.61447495743916</v>
      </c>
      <c r="AB89" s="48" t="n">
        <f aca="false">AB80-AB88-AB81</f>
        <v>-4.83787604012812</v>
      </c>
      <c r="AC89" s="48" t="n">
        <f aca="false">AC80-AC88-AC81</f>
        <v>-5.08794837442322</v>
      </c>
      <c r="AD89" s="48" t="n">
        <f aca="false">AD80-AD88-AD81</f>
        <v>-5.30851147368993</v>
      </c>
      <c r="AE89" s="48" t="n">
        <f aca="false">AE80-AE88-AE81</f>
        <v>-5.31020058097019</v>
      </c>
      <c r="AF89" s="48" t="n">
        <f aca="false">AF80-AF88-AF81</f>
        <v>-5.31188968825049</v>
      </c>
      <c r="AG89" s="48" t="n">
        <f aca="false">AG80-AG88-AG81</f>
        <v>-1.36609072092052</v>
      </c>
      <c r="AH89" s="48" t="n">
        <f aca="false">AH80-AH88-AH81</f>
        <v>-0.2422612929591</v>
      </c>
      <c r="AI89" s="48" t="n">
        <f aca="false">AI80-AI88-AI81</f>
        <v>-0.243431864997646</v>
      </c>
      <c r="AJ89" s="48" t="n">
        <f aca="false">AJ80-AJ88-AJ81</f>
        <v>-0.244602437036221</v>
      </c>
      <c r="AK89" s="48" t="n">
        <f aca="false">AK80-AK88-AK81</f>
        <v>-0.245773009074767</v>
      </c>
      <c r="AL89" s="48" t="n">
        <f aca="false">AL80-AL88-AL81</f>
        <v>-0.240097981829791</v>
      </c>
      <c r="AM89" s="48" t="n">
        <f aca="false">AM80-AM88-AM81</f>
        <v>-0.240950013873686</v>
      </c>
      <c r="AN89" s="48" t="n">
        <f aca="false">AN80-AN88-AN81</f>
        <v>-51.2244104857856</v>
      </c>
      <c r="AO89" s="48" t="n">
        <f aca="false">AO80-AO88-AO81</f>
        <v>0</v>
      </c>
      <c r="AP89" s="48" t="n">
        <f aca="false">AP80-AP88-AP81</f>
        <v>0</v>
      </c>
      <c r="AQ89" s="48" t="n">
        <f aca="false">AQ80-AQ88-AQ81</f>
        <v>0</v>
      </c>
      <c r="AR89" s="48" t="n">
        <f aca="false">AR80-AR88-AR81</f>
        <v>0</v>
      </c>
      <c r="AS89" s="48" t="n">
        <f aca="false">AS80-AS88-AS81</f>
        <v>0</v>
      </c>
      <c r="AT89" s="48" t="n">
        <f aca="false">AT80-AT88-AT81</f>
        <v>0</v>
      </c>
      <c r="AU89" s="48" t="n">
        <f aca="false">AU80-AU88-AU81</f>
        <v>0</v>
      </c>
      <c r="AV89" s="48" t="n">
        <f aca="false">AV80-AV88-AV81</f>
        <v>0</v>
      </c>
      <c r="AW89" s="48" t="n">
        <f aca="false">AW80-AW88-AW81</f>
        <v>0</v>
      </c>
      <c r="AX89" s="48" t="n">
        <f aca="false">AX80-AX88-AX81</f>
        <v>0</v>
      </c>
      <c r="AY89" s="48" t="n">
        <f aca="false">AY80-AY88-AY81</f>
        <v>0</v>
      </c>
      <c r="AZ89" s="48" t="n">
        <f aca="false">AZ80-AZ88-AZ81</f>
        <v>0</v>
      </c>
      <c r="BA89" s="48" t="n">
        <f aca="false">BA80-BA88-BA81</f>
        <v>0</v>
      </c>
      <c r="BB89" s="48" t="n">
        <f aca="false">BB80-BB88-BB81</f>
        <v>0</v>
      </c>
      <c r="BC89" s="48" t="n">
        <f aca="false">BC80-BC88-BC81</f>
        <v>0</v>
      </c>
      <c r="BD89" s="48" t="n">
        <f aca="false">BD80-BD88-BD81</f>
        <v>0</v>
      </c>
      <c r="BE89" s="48" t="n">
        <f aca="false">BE80-BE88-BE81</f>
        <v>0</v>
      </c>
      <c r="BF89" s="48" t="n">
        <f aca="false">BF80-BF88-BF81</f>
        <v>0</v>
      </c>
      <c r="BG89" s="48" t="n">
        <f aca="false">BG80-BG88-BG81</f>
        <v>0</v>
      </c>
      <c r="BH89" s="48" t="n">
        <f aca="false">BH80-BH88-BH81</f>
        <v>0</v>
      </c>
      <c r="BI89" s="48" t="n">
        <f aca="false">BI80-BI88-BI81</f>
        <v>0</v>
      </c>
      <c r="BJ89" s="48" t="n">
        <f aca="false">BJ80-BJ88-BJ81</f>
        <v>0</v>
      </c>
      <c r="BK89" s="48" t="n">
        <f aca="false">BK80-BK88-BK81</f>
        <v>0</v>
      </c>
      <c r="BL89" s="48" t="n">
        <f aca="false">BL80-BL88-BL81</f>
        <v>0</v>
      </c>
      <c r="BM89" s="48" t="n">
        <f aca="false">BM80-BM88-BM81</f>
        <v>0</v>
      </c>
      <c r="BN89" s="48" t="n">
        <f aca="false">BN80-BN88-BN81</f>
        <v>0</v>
      </c>
      <c r="BO89" s="48" t="n">
        <f aca="false">BO80-BO88-BO81</f>
        <v>0</v>
      </c>
      <c r="BP89" s="48" t="n">
        <f aca="false">BP80-BP88-BP81</f>
        <v>0</v>
      </c>
      <c r="BQ89" s="48" t="n">
        <f aca="false">BQ80-BQ88-BQ81</f>
        <v>0</v>
      </c>
      <c r="BR89" s="48" t="n">
        <f aca="false">BR80-BR88-BR81</f>
        <v>0</v>
      </c>
      <c r="BS89" s="48" t="n">
        <f aca="false">BS80-BS88-BS81</f>
        <v>0</v>
      </c>
      <c r="BT89" s="48" t="n">
        <f aca="false">BT80-BT88-BT81</f>
        <v>0</v>
      </c>
      <c r="BU89" s="48" t="n">
        <f aca="false">BU80-BU88-BU81</f>
        <v>0</v>
      </c>
      <c r="BV89" s="48" t="n">
        <f aca="false">BV80-BV88-BV81</f>
        <v>0</v>
      </c>
      <c r="BW89" s="48" t="n">
        <f aca="false">BW80-BW88-BW81</f>
        <v>0</v>
      </c>
      <c r="BX89" s="48" t="n">
        <f aca="false">BX80-BX88-BX81</f>
        <v>0</v>
      </c>
    </row>
    <row r="90" customFormat="false" ht="15" hidden="false" customHeight="false" outlineLevel="0" collapsed="false">
      <c r="A90" s="1"/>
      <c r="B90" s="8" t="s">
        <v>355</v>
      </c>
      <c r="C90" s="8" t="s">
        <v>126</v>
      </c>
      <c r="D90" s="1"/>
      <c r="E90" s="1"/>
      <c r="F90" s="1"/>
      <c r="G90" s="48" t="n">
        <f aca="false">0</f>
        <v>0</v>
      </c>
      <c r="H90" s="48" t="n">
        <f aca="false">IF(H89&gt;0,MIN(G91,0.5*H89),0)</f>
        <v>0</v>
      </c>
      <c r="I90" s="48" t="n">
        <f aca="false">IF(I89&gt;0,MIN(H91,0.5*I89),0)</f>
        <v>0</v>
      </c>
      <c r="J90" s="48" t="n">
        <f aca="false">IF(J89&gt;0,MIN(I91,0.5*J89),0)</f>
        <v>0</v>
      </c>
      <c r="K90" s="48" t="n">
        <f aca="false">IF(K89&gt;0,MIN(J91,0.5*K89),0)</f>
        <v>0</v>
      </c>
      <c r="L90" s="48" t="n">
        <f aca="false">IF(L89&gt;0,MIN(K91,0.5*L89),0)</f>
        <v>0</v>
      </c>
      <c r="M90" s="48" t="n">
        <f aca="false">IF(M89&gt;0,MIN(L91,0.5*M89),0)</f>
        <v>0</v>
      </c>
      <c r="N90" s="48" t="n">
        <f aca="false">IF(N89&gt;0,MIN(M91,0.5*N89),0)</f>
        <v>0</v>
      </c>
      <c r="O90" s="48" t="n">
        <f aca="false">IF(O89&gt;0,MIN(N91,0.5*O89),0)</f>
        <v>0</v>
      </c>
      <c r="P90" s="48" t="n">
        <f aca="false">IF(P89&gt;0,MIN(O91,0.5*P89),0)</f>
        <v>0</v>
      </c>
      <c r="Q90" s="48" t="n">
        <f aca="false">IF(Q89&gt;0,MIN(P91,0.5*Q89),0)</f>
        <v>0</v>
      </c>
      <c r="R90" s="48" t="n">
        <f aca="false">IF(R89&gt;0,MIN(Q91,0.5*R89),0)</f>
        <v>0</v>
      </c>
      <c r="S90" s="48" t="n">
        <f aca="false">IF(S89&gt;0,MIN(R91,0.5*S89),0)</f>
        <v>0</v>
      </c>
      <c r="T90" s="48" t="n">
        <f aca="false">IF(T89&gt;0,MIN(S91,0.5*T89),0)</f>
        <v>0</v>
      </c>
      <c r="U90" s="48" t="n">
        <f aca="false">IF(U89&gt;0,MIN(T91,0.5*U89),0)</f>
        <v>0</v>
      </c>
      <c r="V90" s="48" t="n">
        <f aca="false">IF(V89&gt;0,MIN(U91,0.5*V89),0)</f>
        <v>0</v>
      </c>
      <c r="W90" s="48" t="n">
        <f aca="false">IF(W89&gt;0,MIN(V91,0.5*W89),0)</f>
        <v>0</v>
      </c>
      <c r="X90" s="48" t="n">
        <f aca="false">IF(X89&gt;0,MIN(W91,0.5*X89),0)</f>
        <v>0</v>
      </c>
      <c r="Y90" s="48" t="n">
        <f aca="false">IF(Y89&gt;0,MIN(X91,0.5*Y89),0)</f>
        <v>0</v>
      </c>
      <c r="Z90" s="48" t="n">
        <f aca="false">IF(Z89&gt;0,MIN(Y91,0.5*Z89),0)</f>
        <v>0</v>
      </c>
      <c r="AA90" s="48" t="n">
        <f aca="false">IF(AA89&gt;0,MIN(Z91,0.5*AA89),0)</f>
        <v>0</v>
      </c>
      <c r="AB90" s="48" t="n">
        <f aca="false">IF(AB89&gt;0,MIN(AA91,0.5*AB89),0)</f>
        <v>0</v>
      </c>
      <c r="AC90" s="48" t="n">
        <f aca="false">IF(AC89&gt;0,MIN(AB91,0.5*AC89),0)</f>
        <v>0</v>
      </c>
      <c r="AD90" s="48" t="n">
        <f aca="false">IF(AD89&gt;0,MIN(AC91,0.5*AD89),0)</f>
        <v>0</v>
      </c>
      <c r="AE90" s="48" t="n">
        <f aca="false">IF(AE89&gt;0,MIN(AD91,0.5*AE89),0)</f>
        <v>0</v>
      </c>
      <c r="AF90" s="48" t="n">
        <f aca="false">IF(AF89&gt;0,MIN(AE91,0.5*AF89),0)</f>
        <v>0</v>
      </c>
      <c r="AG90" s="48" t="n">
        <f aca="false">IF(AG89&gt;0,MIN(AF91,0.5*AG89),0)</f>
        <v>0</v>
      </c>
      <c r="AH90" s="48" t="n">
        <f aca="false">IF(AH89&gt;0,MIN(AG91,0.5*AH89),0)</f>
        <v>0</v>
      </c>
      <c r="AI90" s="48" t="n">
        <f aca="false">IF(AI89&gt;0,MIN(AH91,0.5*AI89),0)</f>
        <v>0</v>
      </c>
      <c r="AJ90" s="48" t="n">
        <f aca="false">IF(AJ89&gt;0,MIN(AI91,0.5*AJ89),0)</f>
        <v>0</v>
      </c>
      <c r="AK90" s="48" t="n">
        <f aca="false">IF(AK89&gt;0,MIN(AJ91,0.5*AK89),0)</f>
        <v>0</v>
      </c>
      <c r="AL90" s="48" t="n">
        <f aca="false">IF(AL89&gt;0,MIN(AK91,0.5*AL89),0)</f>
        <v>0</v>
      </c>
      <c r="AM90" s="48" t="n">
        <f aca="false">IF(AM89&gt;0,MIN(AL91,0.5*AM89),0)</f>
        <v>0</v>
      </c>
      <c r="AN90" s="48" t="n">
        <f aca="false">IF(AN89&gt;0,MIN(AM91,0.5*AN89),0)</f>
        <v>0</v>
      </c>
      <c r="AO90" s="48" t="n">
        <f aca="false">IF(AO89&gt;0,MIN(AN91,0.5*AO89),0)</f>
        <v>0</v>
      </c>
      <c r="AP90" s="48" t="n">
        <f aca="false">IF(AP89&gt;0,MIN(AO91,0.5*AP89),0)</f>
        <v>0</v>
      </c>
      <c r="AQ90" s="48" t="n">
        <f aca="false">IF(AQ89&gt;0,MIN(AP91,0.5*AQ89),0)</f>
        <v>0</v>
      </c>
      <c r="AR90" s="48" t="n">
        <f aca="false">IF(AR89&gt;0,MIN(AQ91,0.5*AR89),0)</f>
        <v>0</v>
      </c>
      <c r="AS90" s="48" t="n">
        <f aca="false">IF(AS89&gt;0,MIN(AR91,0.5*AS89),0)</f>
        <v>0</v>
      </c>
      <c r="AT90" s="48" t="n">
        <f aca="false">IF(AT89&gt;0,MIN(AS91,0.5*AT89),0)</f>
        <v>0</v>
      </c>
      <c r="AU90" s="48" t="n">
        <f aca="false">IF(AU89&gt;0,MIN(AT91,0.5*AU89),0)</f>
        <v>0</v>
      </c>
      <c r="AV90" s="48" t="n">
        <f aca="false">IF(AV89&gt;0,MIN(AU91,0.5*AV89),0)</f>
        <v>0</v>
      </c>
      <c r="AW90" s="48" t="n">
        <f aca="false">IF(AW89&gt;0,MIN(AV91,0.5*AW89),0)</f>
        <v>0</v>
      </c>
      <c r="AX90" s="48" t="n">
        <f aca="false">IF(AX89&gt;0,MIN(AW91,0.5*AX89),0)</f>
        <v>0</v>
      </c>
      <c r="AY90" s="48" t="n">
        <f aca="false">IF(AY89&gt;0,MIN(AX91,0.5*AY89),0)</f>
        <v>0</v>
      </c>
      <c r="AZ90" s="48" t="n">
        <f aca="false">IF(AZ89&gt;0,MIN(AY91,0.5*AZ89),0)</f>
        <v>0</v>
      </c>
      <c r="BA90" s="48" t="n">
        <f aca="false">IF(BA89&gt;0,MIN(AZ91,0.5*BA89),0)</f>
        <v>0</v>
      </c>
      <c r="BB90" s="48" t="n">
        <f aca="false">IF(BB89&gt;0,MIN(BA91,0.5*BB89),0)</f>
        <v>0</v>
      </c>
      <c r="BC90" s="48" t="n">
        <f aca="false">IF(BC89&gt;0,MIN(BB91,0.5*BC89),0)</f>
        <v>0</v>
      </c>
      <c r="BD90" s="48" t="n">
        <f aca="false">IF(BD89&gt;0,MIN(BC91,0.5*BD89),0)</f>
        <v>0</v>
      </c>
      <c r="BE90" s="48" t="n">
        <f aca="false">IF(BE89&gt;0,MIN(BD91,0.5*BE89),0)</f>
        <v>0</v>
      </c>
      <c r="BF90" s="48" t="n">
        <f aca="false">IF(BF89&gt;0,MIN(BE91,0.5*BF89),0)</f>
        <v>0</v>
      </c>
      <c r="BG90" s="48" t="n">
        <f aca="false">IF(BG89&gt;0,MIN(BF91,0.5*BG89),0)</f>
        <v>0</v>
      </c>
      <c r="BH90" s="48" t="n">
        <f aca="false">IF(BH89&gt;0,MIN(BG91,0.5*BH89),0)</f>
        <v>0</v>
      </c>
      <c r="BI90" s="48" t="n">
        <f aca="false">IF(BI89&gt;0,MIN(BH91,0.5*BI89),0)</f>
        <v>0</v>
      </c>
      <c r="BJ90" s="48" t="n">
        <f aca="false">IF(BJ89&gt;0,MIN(BI91,0.5*BJ89),0)</f>
        <v>0</v>
      </c>
      <c r="BK90" s="48" t="n">
        <f aca="false">IF(BK89&gt;0,MIN(BJ91,0.5*BK89),0)</f>
        <v>0</v>
      </c>
      <c r="BL90" s="48" t="n">
        <f aca="false">IF(BL89&gt;0,MIN(BK91,0.5*BL89),0)</f>
        <v>0</v>
      </c>
      <c r="BM90" s="48" t="n">
        <f aca="false">IF(BM89&gt;0,MIN(BL91,0.5*BM89),0)</f>
        <v>0</v>
      </c>
      <c r="BN90" s="48" t="n">
        <f aca="false">IF(BN89&gt;0,MIN(BM91,0.5*BN89),0)</f>
        <v>0</v>
      </c>
      <c r="BO90" s="48" t="n">
        <f aca="false">IF(BO89&gt;0,MIN(BN91,0.5*BO89),0)</f>
        <v>0</v>
      </c>
      <c r="BP90" s="48" t="n">
        <f aca="false">IF(BP89&gt;0,MIN(BO91,0.5*BP89),0)</f>
        <v>0</v>
      </c>
      <c r="BQ90" s="48" t="n">
        <f aca="false">IF(BQ89&gt;0,MIN(BP91,0.5*BQ89),0)</f>
        <v>0</v>
      </c>
      <c r="BR90" s="48" t="n">
        <f aca="false">IF(BR89&gt;0,MIN(BQ91,0.5*BR89),0)</f>
        <v>0</v>
      </c>
      <c r="BS90" s="48" t="n">
        <f aca="false">IF(BS89&gt;0,MIN(BR91,0.5*BS89),0)</f>
        <v>0</v>
      </c>
      <c r="BT90" s="48" t="n">
        <f aca="false">IF(BT89&gt;0,MIN(BS91,0.5*BT89),0)</f>
        <v>0</v>
      </c>
      <c r="BU90" s="48" t="n">
        <f aca="false">IF(BU89&gt;0,MIN(BT91,0.5*BU89),0)</f>
        <v>0</v>
      </c>
      <c r="BV90" s="48" t="n">
        <f aca="false">IF(BV89&gt;0,MIN(BU91,0.5*BV89),0)</f>
        <v>0</v>
      </c>
      <c r="BW90" s="48" t="n">
        <f aca="false">IF(BW89&gt;0,MIN(BV91,0.5*BW89),0)</f>
        <v>0</v>
      </c>
      <c r="BX90" s="48" t="n">
        <f aca="false">IF(BX89&gt;0,MIN(BW91,0.5*BX89),0)</f>
        <v>0</v>
      </c>
    </row>
    <row r="91" customFormat="false" ht="15" hidden="false" customHeight="false" outlineLevel="0" collapsed="false">
      <c r="A91" s="1"/>
      <c r="B91" s="8" t="s">
        <v>356</v>
      </c>
      <c r="C91" s="8" t="s">
        <v>126</v>
      </c>
      <c r="D91" s="1"/>
      <c r="E91" s="1"/>
      <c r="F91" s="1"/>
      <c r="G91" s="48" t="n">
        <f aca="false">MAX(-G89,0)</f>
        <v>0</v>
      </c>
      <c r="H91" s="48" t="n">
        <f aca="false">MAX(G91-H90+MAX(-H89,0),0)</f>
        <v>0</v>
      </c>
      <c r="I91" s="48" t="n">
        <f aca="false">MAX(H91-I90+MAX(-I89,0),0)</f>
        <v>0</v>
      </c>
      <c r="J91" s="48" t="n">
        <f aca="false">MAX(I91-J90+MAX(-J89,0),0)</f>
        <v>0</v>
      </c>
      <c r="K91" s="48" t="n">
        <f aca="false">MAX(J91-K90+MAX(-K89,0),0)</f>
        <v>57.9925008214219</v>
      </c>
      <c r="L91" s="48" t="n">
        <f aca="false">MAX(K91-L90+MAX(-L89,0),0)</f>
        <v>118.265722994492</v>
      </c>
      <c r="M91" s="48" t="n">
        <f aca="false">MAX(L91-M90+MAX(-M89,0),0)</f>
        <v>180.681719915679</v>
      </c>
      <c r="N91" s="48" t="n">
        <f aca="false">MAX(M91-N90+MAX(-N89,0),0)</f>
        <v>245.133462590843</v>
      </c>
      <c r="O91" s="48" t="n">
        <f aca="false">MAX(N91-O90+MAX(-O89,0),0)</f>
        <v>311.425564965028</v>
      </c>
      <c r="P91" s="48" t="n">
        <f aca="false">MAX(O91-P90+MAX(-P89,0),0)</f>
        <v>378.728220200046</v>
      </c>
      <c r="Q91" s="48" t="n">
        <f aca="false">MAX(P91-Q90+MAX(-Q89,0),0)</f>
        <v>447.061726492139</v>
      </c>
      <c r="R91" s="48" t="n">
        <f aca="false">MAX(Q91-R90+MAX(-R89,0),0)</f>
        <v>516.29050343756</v>
      </c>
      <c r="S91" s="48" t="n">
        <f aca="false">MAX(R91-S90+MAX(-S89,0),0)</f>
        <v>586.421517256828</v>
      </c>
      <c r="T91" s="48" t="n">
        <f aca="false">MAX(S91-T90+MAX(-T89,0),0)</f>
        <v>657.453213537055</v>
      </c>
      <c r="U91" s="48" t="n">
        <f aca="false">MAX(T91-U90+MAX(-U89,0),0)</f>
        <v>711.855657521846</v>
      </c>
      <c r="V91" s="48" t="n">
        <f aca="false">MAX(U91-V90+MAX(-V89,0),0)</f>
        <v>766.508432437974</v>
      </c>
      <c r="W91" s="48" t="n">
        <f aca="false">MAX(V91-W90+MAX(-W89,0),0)</f>
        <v>821.402280553462</v>
      </c>
      <c r="X91" s="48" t="n">
        <f aca="false">MAX(W91-X90+MAX(-X89,0),0)</f>
        <v>876.522204820926</v>
      </c>
      <c r="Y91" s="48" t="n">
        <f aca="false">MAX(X91-Y90+MAX(-Y89,0),0)</f>
        <v>895.339084239405</v>
      </c>
      <c r="Z91" s="48" t="n">
        <f aca="false">MAX(Y91-Z90+MAX(-Z89,0),0)</f>
        <v>899.728967879359</v>
      </c>
      <c r="AA91" s="48" t="n">
        <f aca="false">MAX(Z91-AA90+MAX(-AA89,0),0)</f>
        <v>904.343442836798</v>
      </c>
      <c r="AB91" s="48" t="n">
        <f aca="false">MAX(AA91-AB90+MAX(-AB89,0),0)</f>
        <v>909.181318876927</v>
      </c>
      <c r="AC91" s="48" t="n">
        <f aca="false">MAX(AB91-AC90+MAX(-AC89,0),0)</f>
        <v>914.26926725135</v>
      </c>
      <c r="AD91" s="48" t="n">
        <f aca="false">MAX(AC91-AD90+MAX(-AD89,0),0)</f>
        <v>919.57777872504</v>
      </c>
      <c r="AE91" s="48" t="n">
        <f aca="false">MAX(AD91-AE90+MAX(-AE89,0),0)</f>
        <v>924.88797930601</v>
      </c>
      <c r="AF91" s="48" t="n">
        <f aca="false">MAX(AE91-AF90+MAX(-AF89,0),0)</f>
        <v>930.19986899426</v>
      </c>
      <c r="AG91" s="48" t="n">
        <f aca="false">MAX(AF91-AG90+MAX(-AG89,0),0)</f>
        <v>931.565959715181</v>
      </c>
      <c r="AH91" s="48" t="n">
        <f aca="false">MAX(AG91-AH90+MAX(-AH89,0),0)</f>
        <v>931.80822100814</v>
      </c>
      <c r="AI91" s="48" t="n">
        <f aca="false">MAX(AH91-AI90+MAX(-AI89,0),0)</f>
        <v>932.051652873138</v>
      </c>
      <c r="AJ91" s="48" t="n">
        <f aca="false">MAX(AI91-AJ90+MAX(-AJ89,0),0)</f>
        <v>932.296255310174</v>
      </c>
      <c r="AK91" s="48" t="n">
        <f aca="false">MAX(AJ91-AK90+MAX(-AK89,0),0)</f>
        <v>932.542028319249</v>
      </c>
      <c r="AL91" s="48" t="n">
        <f aca="false">MAX(AK91-AL90+MAX(-AL89,0),0)</f>
        <v>932.782126301079</v>
      </c>
      <c r="AM91" s="48" t="n">
        <f aca="false">MAX(AL91-AM90+MAX(-AM89,0),0)</f>
        <v>933.023076314952</v>
      </c>
      <c r="AN91" s="48" t="n">
        <f aca="false">MAX(AM91-AN90+MAX(-AN89,0),0)</f>
        <v>984.247486800738</v>
      </c>
      <c r="AO91" s="48" t="n">
        <f aca="false">MAX(AN91-AO90+MAX(-AO89,0),0)</f>
        <v>984.247486800738</v>
      </c>
      <c r="AP91" s="48" t="n">
        <f aca="false">MAX(AO91-AP90+MAX(-AP89,0),0)</f>
        <v>984.247486800738</v>
      </c>
      <c r="AQ91" s="48" t="n">
        <f aca="false">MAX(AP91-AQ90+MAX(-AQ89,0),0)</f>
        <v>984.247486800738</v>
      </c>
      <c r="AR91" s="48" t="n">
        <f aca="false">MAX(AQ91-AR90+MAX(-AR89,0),0)</f>
        <v>984.247486800738</v>
      </c>
      <c r="AS91" s="48" t="n">
        <f aca="false">MAX(AR91-AS90+MAX(-AS89,0),0)</f>
        <v>984.247486800738</v>
      </c>
      <c r="AT91" s="48" t="n">
        <f aca="false">MAX(AS91-AT90+MAX(-AT89,0),0)</f>
        <v>984.247486800738</v>
      </c>
      <c r="AU91" s="48" t="n">
        <f aca="false">MAX(AT91-AU90+MAX(-AU89,0),0)</f>
        <v>984.247486800738</v>
      </c>
      <c r="AV91" s="48" t="n">
        <f aca="false">MAX(AU91-AV90+MAX(-AV89,0),0)</f>
        <v>984.247486800738</v>
      </c>
      <c r="AW91" s="48" t="n">
        <f aca="false">MAX(AV91-AW90+MAX(-AW89,0),0)</f>
        <v>984.247486800738</v>
      </c>
      <c r="AX91" s="48" t="n">
        <f aca="false">MAX(AW91-AX90+MAX(-AX89,0),0)</f>
        <v>984.247486800738</v>
      </c>
      <c r="AY91" s="48" t="n">
        <f aca="false">MAX(AX91-AY90+MAX(-AY89,0),0)</f>
        <v>984.247486800738</v>
      </c>
      <c r="AZ91" s="48" t="n">
        <f aca="false">MAX(AY91-AZ90+MAX(-AZ89,0),0)</f>
        <v>984.247486800738</v>
      </c>
      <c r="BA91" s="48" t="n">
        <f aca="false">MAX(AZ91-BA90+MAX(-BA89,0),0)</f>
        <v>984.247486800738</v>
      </c>
      <c r="BB91" s="48" t="n">
        <f aca="false">MAX(BA91-BB90+MAX(-BB89,0),0)</f>
        <v>984.247486800738</v>
      </c>
      <c r="BC91" s="48" t="n">
        <f aca="false">MAX(BB91-BC90+MAX(-BC89,0),0)</f>
        <v>984.247486800738</v>
      </c>
      <c r="BD91" s="48" t="n">
        <f aca="false">MAX(BC91-BD90+MAX(-BD89,0),0)</f>
        <v>984.247486800738</v>
      </c>
      <c r="BE91" s="48" t="n">
        <f aca="false">MAX(BD91-BE90+MAX(-BE89,0),0)</f>
        <v>984.247486800738</v>
      </c>
      <c r="BF91" s="48" t="n">
        <f aca="false">MAX(BE91-BF90+MAX(-BF89,0),0)</f>
        <v>984.247486800738</v>
      </c>
      <c r="BG91" s="48" t="n">
        <f aca="false">MAX(BF91-BG90+MAX(-BG89,0),0)</f>
        <v>984.247486800738</v>
      </c>
      <c r="BH91" s="48" t="n">
        <f aca="false">MAX(BG91-BH90+MAX(-BH89,0),0)</f>
        <v>984.247486800738</v>
      </c>
      <c r="BI91" s="48" t="n">
        <f aca="false">MAX(BH91-BI90+MAX(-BI89,0),0)</f>
        <v>984.247486800738</v>
      </c>
      <c r="BJ91" s="48" t="n">
        <f aca="false">MAX(BI91-BJ90+MAX(-BJ89,0),0)</f>
        <v>984.247486800738</v>
      </c>
      <c r="BK91" s="48" t="n">
        <f aca="false">MAX(BJ91-BK90+MAX(-BK89,0),0)</f>
        <v>984.247486800738</v>
      </c>
      <c r="BL91" s="48" t="n">
        <f aca="false">MAX(BK91-BL90+MAX(-BL89,0),0)</f>
        <v>984.247486800738</v>
      </c>
      <c r="BM91" s="48" t="n">
        <f aca="false">MAX(BL91-BM90+MAX(-BM89,0),0)</f>
        <v>984.247486800738</v>
      </c>
      <c r="BN91" s="48" t="n">
        <f aca="false">MAX(BM91-BN90+MAX(-BN89,0),0)</f>
        <v>984.247486800738</v>
      </c>
      <c r="BO91" s="48" t="n">
        <f aca="false">MAX(BN91-BO90+MAX(-BO89,0),0)</f>
        <v>984.247486800738</v>
      </c>
      <c r="BP91" s="48" t="n">
        <f aca="false">MAX(BO91-BP90+MAX(-BP89,0),0)</f>
        <v>984.247486800738</v>
      </c>
      <c r="BQ91" s="48" t="n">
        <f aca="false">MAX(BP91-BQ90+MAX(-BQ89,0),0)</f>
        <v>984.247486800738</v>
      </c>
      <c r="BR91" s="48" t="n">
        <f aca="false">MAX(BQ91-BR90+MAX(-BR89,0),0)</f>
        <v>984.247486800738</v>
      </c>
      <c r="BS91" s="48" t="n">
        <f aca="false">MAX(BR91-BS90+MAX(-BS89,0),0)</f>
        <v>984.247486800738</v>
      </c>
      <c r="BT91" s="48" t="n">
        <f aca="false">MAX(BS91-BT90+MAX(-BT89,0),0)</f>
        <v>984.247486800738</v>
      </c>
      <c r="BU91" s="48" t="n">
        <f aca="false">MAX(BT91-BU90+MAX(-BU89,0),0)</f>
        <v>984.247486800738</v>
      </c>
      <c r="BV91" s="48" t="n">
        <f aca="false">MAX(BU91-BV90+MAX(-BV89,0),0)</f>
        <v>984.247486800738</v>
      </c>
      <c r="BW91" s="48" t="n">
        <f aca="false">MAX(BV91-BW90+MAX(-BW89,0),0)</f>
        <v>984.247486800738</v>
      </c>
      <c r="BX91" s="48" t="n">
        <f aca="false">MAX(BW91-BX90+MAX(-BX89,0),0)</f>
        <v>984.247486800738</v>
      </c>
    </row>
    <row r="92" customFormat="false" ht="15" hidden="false" customHeight="false" outlineLevel="0" collapsed="false">
      <c r="A92" s="1"/>
      <c r="B92" s="8" t="s">
        <v>357</v>
      </c>
      <c r="C92" s="8" t="s">
        <v>126</v>
      </c>
      <c r="D92" s="44" t="n">
        <f aca="false">SUM(G92:BX92)</f>
        <v>0</v>
      </c>
      <c r="E92" s="1"/>
      <c r="F92" s="1"/>
      <c r="G92" s="48" t="n">
        <f aca="false">MAX(G89-G90,0)</f>
        <v>0</v>
      </c>
      <c r="H92" s="48" t="n">
        <f aca="false">MAX(H89-H90,0)</f>
        <v>0</v>
      </c>
      <c r="I92" s="48" t="n">
        <f aca="false">MAX(I89-I90,0)</f>
        <v>0</v>
      </c>
      <c r="J92" s="48" t="n">
        <f aca="false">MAX(J89-J90,0)</f>
        <v>0</v>
      </c>
      <c r="K92" s="48" t="n">
        <f aca="false">MAX(K89-K90,0)</f>
        <v>0</v>
      </c>
      <c r="L92" s="48" t="n">
        <f aca="false">MAX(L89-L90,0)</f>
        <v>0</v>
      </c>
      <c r="M92" s="48" t="n">
        <f aca="false">MAX(M89-M90,0)</f>
        <v>0</v>
      </c>
      <c r="N92" s="48" t="n">
        <f aca="false">MAX(N89-N90,0)</f>
        <v>0</v>
      </c>
      <c r="O92" s="48" t="n">
        <f aca="false">MAX(O89-O90,0)</f>
        <v>0</v>
      </c>
      <c r="P92" s="48" t="n">
        <f aca="false">MAX(P89-P90,0)</f>
        <v>0</v>
      </c>
      <c r="Q92" s="48" t="n">
        <f aca="false">MAX(Q89-Q90,0)</f>
        <v>0</v>
      </c>
      <c r="R92" s="48" t="n">
        <f aca="false">MAX(R89-R90,0)</f>
        <v>0</v>
      </c>
      <c r="S92" s="48" t="n">
        <f aca="false">MAX(S89-S90,0)</f>
        <v>0</v>
      </c>
      <c r="T92" s="48" t="n">
        <f aca="false">MAX(T89-T90,0)</f>
        <v>0</v>
      </c>
      <c r="U92" s="48" t="n">
        <f aca="false">MAX(U89-U90,0)</f>
        <v>0</v>
      </c>
      <c r="V92" s="48" t="n">
        <f aca="false">MAX(V89-V90,0)</f>
        <v>0</v>
      </c>
      <c r="W92" s="48" t="n">
        <f aca="false">MAX(W89-W90,0)</f>
        <v>0</v>
      </c>
      <c r="X92" s="48" t="n">
        <f aca="false">MAX(X89-X90,0)</f>
        <v>0</v>
      </c>
      <c r="Y92" s="48" t="n">
        <f aca="false">MAX(Y89-Y90,0)</f>
        <v>0</v>
      </c>
      <c r="Z92" s="48" t="n">
        <f aca="false">MAX(Z89-Z90,0)</f>
        <v>0</v>
      </c>
      <c r="AA92" s="48" t="n">
        <f aca="false">MAX(AA89-AA90,0)</f>
        <v>0</v>
      </c>
      <c r="AB92" s="48" t="n">
        <f aca="false">MAX(AB89-AB90,0)</f>
        <v>0</v>
      </c>
      <c r="AC92" s="48" t="n">
        <f aca="false">MAX(AC89-AC90,0)</f>
        <v>0</v>
      </c>
      <c r="AD92" s="48" t="n">
        <f aca="false">MAX(AD89-AD90,0)</f>
        <v>0</v>
      </c>
      <c r="AE92" s="48" t="n">
        <f aca="false">MAX(AE89-AE90,0)</f>
        <v>0</v>
      </c>
      <c r="AF92" s="48" t="n">
        <f aca="false">MAX(AF89-AF90,0)</f>
        <v>0</v>
      </c>
      <c r="AG92" s="48" t="n">
        <f aca="false">MAX(AG89-AG90,0)</f>
        <v>0</v>
      </c>
      <c r="AH92" s="48" t="n">
        <f aca="false">MAX(AH89-AH90,0)</f>
        <v>0</v>
      </c>
      <c r="AI92" s="48" t="n">
        <f aca="false">MAX(AI89-AI90,0)</f>
        <v>0</v>
      </c>
      <c r="AJ92" s="48" t="n">
        <f aca="false">MAX(AJ89-AJ90,0)</f>
        <v>0</v>
      </c>
      <c r="AK92" s="48" t="n">
        <f aca="false">MAX(AK89-AK90,0)</f>
        <v>0</v>
      </c>
      <c r="AL92" s="48" t="n">
        <f aca="false">MAX(AL89-AL90,0)</f>
        <v>0</v>
      </c>
      <c r="AM92" s="48" t="n">
        <f aca="false">MAX(AM89-AM90,0)</f>
        <v>0</v>
      </c>
      <c r="AN92" s="48" t="n">
        <f aca="false">MAX(AN89-AN90,0)</f>
        <v>0</v>
      </c>
      <c r="AO92" s="48" t="n">
        <f aca="false">MAX(AO89-AO90,0)</f>
        <v>0</v>
      </c>
      <c r="AP92" s="48" t="n">
        <f aca="false">MAX(AP89-AP90,0)</f>
        <v>0</v>
      </c>
      <c r="AQ92" s="48" t="n">
        <f aca="false">MAX(AQ89-AQ90,0)</f>
        <v>0</v>
      </c>
      <c r="AR92" s="48" t="n">
        <f aca="false">MAX(AR89-AR90,0)</f>
        <v>0</v>
      </c>
      <c r="AS92" s="48" t="n">
        <f aca="false">MAX(AS89-AS90,0)</f>
        <v>0</v>
      </c>
      <c r="AT92" s="48" t="n">
        <f aca="false">MAX(AT89-AT90,0)</f>
        <v>0</v>
      </c>
      <c r="AU92" s="48" t="n">
        <f aca="false">MAX(AU89-AU90,0)</f>
        <v>0</v>
      </c>
      <c r="AV92" s="48" t="n">
        <f aca="false">MAX(AV89-AV90,0)</f>
        <v>0</v>
      </c>
      <c r="AW92" s="48" t="n">
        <f aca="false">MAX(AW89-AW90,0)</f>
        <v>0</v>
      </c>
      <c r="AX92" s="48" t="n">
        <f aca="false">MAX(AX89-AX90,0)</f>
        <v>0</v>
      </c>
      <c r="AY92" s="48" t="n">
        <f aca="false">MAX(AY89-AY90,0)</f>
        <v>0</v>
      </c>
      <c r="AZ92" s="48" t="n">
        <f aca="false">MAX(AZ89-AZ90,0)</f>
        <v>0</v>
      </c>
      <c r="BA92" s="48" t="n">
        <f aca="false">MAX(BA89-BA90,0)</f>
        <v>0</v>
      </c>
      <c r="BB92" s="48" t="n">
        <f aca="false">MAX(BB89-BB90,0)</f>
        <v>0</v>
      </c>
      <c r="BC92" s="48" t="n">
        <f aca="false">MAX(BC89-BC90,0)</f>
        <v>0</v>
      </c>
      <c r="BD92" s="48" t="n">
        <f aca="false">MAX(BD89-BD90,0)</f>
        <v>0</v>
      </c>
      <c r="BE92" s="48" t="n">
        <f aca="false">MAX(BE89-BE90,0)</f>
        <v>0</v>
      </c>
      <c r="BF92" s="48" t="n">
        <f aca="false">MAX(BF89-BF90,0)</f>
        <v>0</v>
      </c>
      <c r="BG92" s="48" t="n">
        <f aca="false">MAX(BG89-BG90,0)</f>
        <v>0</v>
      </c>
      <c r="BH92" s="48" t="n">
        <f aca="false">MAX(BH89-BH90,0)</f>
        <v>0</v>
      </c>
      <c r="BI92" s="48" t="n">
        <f aca="false">MAX(BI89-BI90,0)</f>
        <v>0</v>
      </c>
      <c r="BJ92" s="48" t="n">
        <f aca="false">MAX(BJ89-BJ90,0)</f>
        <v>0</v>
      </c>
      <c r="BK92" s="48" t="n">
        <f aca="false">MAX(BK89-BK90,0)</f>
        <v>0</v>
      </c>
      <c r="BL92" s="48" t="n">
        <f aca="false">MAX(BL89-BL90,0)</f>
        <v>0</v>
      </c>
      <c r="BM92" s="48" t="n">
        <f aca="false">MAX(BM89-BM90,0)</f>
        <v>0</v>
      </c>
      <c r="BN92" s="48" t="n">
        <f aca="false">MAX(BN89-BN90,0)</f>
        <v>0</v>
      </c>
      <c r="BO92" s="48" t="n">
        <f aca="false">MAX(BO89-BO90,0)</f>
        <v>0</v>
      </c>
      <c r="BP92" s="48" t="n">
        <f aca="false">MAX(BP89-BP90,0)</f>
        <v>0</v>
      </c>
      <c r="BQ92" s="48" t="n">
        <f aca="false">MAX(BQ89-BQ90,0)</f>
        <v>0</v>
      </c>
      <c r="BR92" s="48" t="n">
        <f aca="false">MAX(BR89-BR90,0)</f>
        <v>0</v>
      </c>
      <c r="BS92" s="48" t="n">
        <f aca="false">MAX(BS89-BS90,0)</f>
        <v>0</v>
      </c>
      <c r="BT92" s="48" t="n">
        <f aca="false">MAX(BT89-BT90,0)</f>
        <v>0</v>
      </c>
      <c r="BU92" s="48" t="n">
        <f aca="false">MAX(BU89-BU90,0)</f>
        <v>0</v>
      </c>
      <c r="BV92" s="48" t="n">
        <f aca="false">MAX(BV89-BV90,0)</f>
        <v>0</v>
      </c>
      <c r="BW92" s="48" t="n">
        <f aca="false">MAX(BW89-BW90,0)</f>
        <v>0</v>
      </c>
      <c r="BX92" s="48" t="n">
        <f aca="false">MAX(BX89-BX90,0)</f>
        <v>0</v>
      </c>
    </row>
    <row r="93" customFormat="false" ht="15" hidden="false" customHeight="false" outlineLevel="0" collapsed="false">
      <c r="A93" s="1"/>
      <c r="B93" s="4" t="s">
        <v>358</v>
      </c>
      <c r="C93" s="8" t="s">
        <v>126</v>
      </c>
      <c r="D93" s="44" t="n">
        <f aca="false">SUM(G93:BX93)</f>
        <v>0</v>
      </c>
      <c r="E93" s="1"/>
      <c r="F93" s="1"/>
      <c r="G93" s="44" t="n">
        <f aca="false">G92*$D$17</f>
        <v>0</v>
      </c>
      <c r="H93" s="44" t="n">
        <f aca="false">H92*$D$17</f>
        <v>0</v>
      </c>
      <c r="I93" s="44" t="n">
        <f aca="false">I92*$D$17</f>
        <v>0</v>
      </c>
      <c r="J93" s="44" t="n">
        <f aca="false">J92*$D$17</f>
        <v>0</v>
      </c>
      <c r="K93" s="44" t="n">
        <f aca="false">K92*$D$17</f>
        <v>0</v>
      </c>
      <c r="L93" s="44" t="n">
        <f aca="false">L92*$D$17</f>
        <v>0</v>
      </c>
      <c r="M93" s="44" t="n">
        <f aca="false">M92*$D$17</f>
        <v>0</v>
      </c>
      <c r="N93" s="44" t="n">
        <f aca="false">N92*$D$17</f>
        <v>0</v>
      </c>
      <c r="O93" s="44" t="n">
        <f aca="false">O92*$D$17</f>
        <v>0</v>
      </c>
      <c r="P93" s="44" t="n">
        <f aca="false">P92*$D$17</f>
        <v>0</v>
      </c>
      <c r="Q93" s="44" t="n">
        <f aca="false">Q92*$D$17</f>
        <v>0</v>
      </c>
      <c r="R93" s="44" t="n">
        <f aca="false">R92*$D$17</f>
        <v>0</v>
      </c>
      <c r="S93" s="44" t="n">
        <f aca="false">S92*$D$17</f>
        <v>0</v>
      </c>
      <c r="T93" s="44" t="n">
        <f aca="false">T92*$D$17</f>
        <v>0</v>
      </c>
      <c r="U93" s="44" t="n">
        <f aca="false">U92*$D$17</f>
        <v>0</v>
      </c>
      <c r="V93" s="44" t="n">
        <f aca="false">V92*$D$17</f>
        <v>0</v>
      </c>
      <c r="W93" s="44" t="n">
        <f aca="false">W92*$D$17</f>
        <v>0</v>
      </c>
      <c r="X93" s="44" t="n">
        <f aca="false">X92*$D$17</f>
        <v>0</v>
      </c>
      <c r="Y93" s="44" t="n">
        <f aca="false">Y92*$D$17</f>
        <v>0</v>
      </c>
      <c r="Z93" s="44" t="n">
        <f aca="false">Z92*$D$17</f>
        <v>0</v>
      </c>
      <c r="AA93" s="44" t="n">
        <f aca="false">AA92*$D$17</f>
        <v>0</v>
      </c>
      <c r="AB93" s="44" t="n">
        <f aca="false">AB92*$D$17</f>
        <v>0</v>
      </c>
      <c r="AC93" s="44" t="n">
        <f aca="false">AC92*$D$17</f>
        <v>0</v>
      </c>
      <c r="AD93" s="44" t="n">
        <f aca="false">AD92*$D$17</f>
        <v>0</v>
      </c>
      <c r="AE93" s="44" t="n">
        <f aca="false">AE92*$D$17</f>
        <v>0</v>
      </c>
      <c r="AF93" s="44" t="n">
        <f aca="false">AF92*$D$17</f>
        <v>0</v>
      </c>
      <c r="AG93" s="44" t="n">
        <f aca="false">AG92*$D$17</f>
        <v>0</v>
      </c>
      <c r="AH93" s="44" t="n">
        <f aca="false">AH92*$D$17</f>
        <v>0</v>
      </c>
      <c r="AI93" s="44" t="n">
        <f aca="false">AI92*$D$17</f>
        <v>0</v>
      </c>
      <c r="AJ93" s="44" t="n">
        <f aca="false">AJ92*$D$17</f>
        <v>0</v>
      </c>
      <c r="AK93" s="44" t="n">
        <f aca="false">AK92*$D$17</f>
        <v>0</v>
      </c>
      <c r="AL93" s="44" t="n">
        <f aca="false">AL92*$D$17</f>
        <v>0</v>
      </c>
      <c r="AM93" s="44" t="n">
        <f aca="false">AM92*$D$17</f>
        <v>0</v>
      </c>
      <c r="AN93" s="44" t="n">
        <f aca="false">AN92*$D$17</f>
        <v>0</v>
      </c>
      <c r="AO93" s="44" t="n">
        <f aca="false">AO92*$D$17</f>
        <v>0</v>
      </c>
      <c r="AP93" s="44" t="n">
        <f aca="false">AP92*$D$17</f>
        <v>0</v>
      </c>
      <c r="AQ93" s="44" t="n">
        <f aca="false">AQ92*$D$17</f>
        <v>0</v>
      </c>
      <c r="AR93" s="44" t="n">
        <f aca="false">AR92*$D$17</f>
        <v>0</v>
      </c>
      <c r="AS93" s="44" t="n">
        <f aca="false">AS92*$D$17</f>
        <v>0</v>
      </c>
      <c r="AT93" s="44" t="n">
        <f aca="false">AT92*$D$17</f>
        <v>0</v>
      </c>
      <c r="AU93" s="44" t="n">
        <f aca="false">AU92*$D$17</f>
        <v>0</v>
      </c>
      <c r="AV93" s="44" t="n">
        <f aca="false">AV92*$D$17</f>
        <v>0</v>
      </c>
      <c r="AW93" s="44" t="n">
        <f aca="false">AW92*$D$17</f>
        <v>0</v>
      </c>
      <c r="AX93" s="44" t="n">
        <f aca="false">AX92*$D$17</f>
        <v>0</v>
      </c>
      <c r="AY93" s="44" t="n">
        <f aca="false">AY92*$D$17</f>
        <v>0</v>
      </c>
      <c r="AZ93" s="44" t="n">
        <f aca="false">AZ92*$D$17</f>
        <v>0</v>
      </c>
      <c r="BA93" s="44" t="n">
        <f aca="false">BA92*$D$17</f>
        <v>0</v>
      </c>
      <c r="BB93" s="44" t="n">
        <f aca="false">BB92*$D$17</f>
        <v>0</v>
      </c>
      <c r="BC93" s="44" t="n">
        <f aca="false">BC92*$D$17</f>
        <v>0</v>
      </c>
      <c r="BD93" s="44" t="n">
        <f aca="false">BD92*$D$17</f>
        <v>0</v>
      </c>
      <c r="BE93" s="44" t="n">
        <f aca="false">BE92*$D$17</f>
        <v>0</v>
      </c>
      <c r="BF93" s="44" t="n">
        <f aca="false">BF92*$D$17</f>
        <v>0</v>
      </c>
      <c r="BG93" s="44" t="n">
        <f aca="false">BG92*$D$17</f>
        <v>0</v>
      </c>
      <c r="BH93" s="44" t="n">
        <f aca="false">BH92*$D$17</f>
        <v>0</v>
      </c>
      <c r="BI93" s="44" t="n">
        <f aca="false">BI92*$D$17</f>
        <v>0</v>
      </c>
      <c r="BJ93" s="44" t="n">
        <f aca="false">BJ92*$D$17</f>
        <v>0</v>
      </c>
      <c r="BK93" s="44" t="n">
        <f aca="false">BK92*$D$17</f>
        <v>0</v>
      </c>
      <c r="BL93" s="44" t="n">
        <f aca="false">BL92*$D$17</f>
        <v>0</v>
      </c>
      <c r="BM93" s="44" t="n">
        <f aca="false">BM92*$D$17</f>
        <v>0</v>
      </c>
      <c r="BN93" s="44" t="n">
        <f aca="false">BN92*$D$17</f>
        <v>0</v>
      </c>
      <c r="BO93" s="44" t="n">
        <f aca="false">BO92*$D$17</f>
        <v>0</v>
      </c>
      <c r="BP93" s="44" t="n">
        <f aca="false">BP92*$D$17</f>
        <v>0</v>
      </c>
      <c r="BQ93" s="44" t="n">
        <f aca="false">BQ92*$D$17</f>
        <v>0</v>
      </c>
      <c r="BR93" s="44" t="n">
        <f aca="false">BR92*$D$17</f>
        <v>0</v>
      </c>
      <c r="BS93" s="44" t="n">
        <f aca="false">BS92*$D$17</f>
        <v>0</v>
      </c>
      <c r="BT93" s="44" t="n">
        <f aca="false">BT92*$D$17</f>
        <v>0</v>
      </c>
      <c r="BU93" s="44" t="n">
        <f aca="false">BU92*$D$17</f>
        <v>0</v>
      </c>
      <c r="BV93" s="44" t="n">
        <f aca="false">BV92*$D$17</f>
        <v>0</v>
      </c>
      <c r="BW93" s="44" t="n">
        <f aca="false">BW92*$D$17</f>
        <v>0</v>
      </c>
      <c r="BX93" s="44" t="n">
        <f aca="false">BX92*$D$17</f>
        <v>0</v>
      </c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</row>
    <row r="95" customFormat="false" ht="15" hidden="false" customHeight="false" outlineLevel="0" collapsed="false">
      <c r="A95" s="1"/>
      <c r="B95" s="13" t="s">
        <v>359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</row>
    <row r="96" customFormat="false" ht="15" hidden="false" customHeight="false" outlineLevel="0" collapsed="false">
      <c r="A96" s="1"/>
      <c r="B96" s="8" t="s">
        <v>360</v>
      </c>
      <c r="C96" s="8" t="s">
        <v>126</v>
      </c>
      <c r="D96" s="44" t="n">
        <f aca="false">SUM(G96:BX96)</f>
        <v>-1012.37248680074</v>
      </c>
      <c r="E96" s="1"/>
      <c r="F96" s="1"/>
      <c r="G96" s="48" t="n">
        <f aca="false">G80-G48-G81</f>
        <v>0</v>
      </c>
      <c r="H96" s="48" t="n">
        <f aca="false">H80-H48-H81</f>
        <v>0</v>
      </c>
      <c r="I96" s="48" t="n">
        <f aca="false">I80-I48-I81</f>
        <v>-450</v>
      </c>
      <c r="J96" s="48" t="n">
        <f aca="false">J80-J48-J81</f>
        <v>-675</v>
      </c>
      <c r="K96" s="48" t="n">
        <f aca="false">K80-K48-K81</f>
        <v>17.9449991785781</v>
      </c>
      <c r="L96" s="48" t="n">
        <f aca="false">L80-L48-L81</f>
        <v>15.66427782693</v>
      </c>
      <c r="M96" s="48" t="n">
        <f aca="false">M80-M48-M81</f>
        <v>13.5215030788125</v>
      </c>
      <c r="N96" s="48" t="n">
        <f aca="false">N80-N48-N81</f>
        <v>11.4857573248366</v>
      </c>
      <c r="O96" s="48" t="n">
        <f aca="false">O80-O48-O81</f>
        <v>9.64539762581437</v>
      </c>
      <c r="P96" s="48" t="n">
        <f aca="false">P80-P48-P81</f>
        <v>8.63484476498211</v>
      </c>
      <c r="Q96" s="48" t="n">
        <f aca="false">Q80-Q48-Q81</f>
        <v>7.60399370790726</v>
      </c>
      <c r="R96" s="48" t="n">
        <f aca="false">R80-R48-R81</f>
        <v>6.7087230545788</v>
      </c>
      <c r="S96" s="48" t="n">
        <f aca="false">S80-S48-S81</f>
        <v>5.80648618073251</v>
      </c>
      <c r="T96" s="48" t="n">
        <f aca="false">T80-T48-T81</f>
        <v>4.90580371977342</v>
      </c>
      <c r="U96" s="48" t="n">
        <f aca="false">U80-U48-U81</f>
        <v>4.66005601520844</v>
      </c>
      <c r="V96" s="48" t="n">
        <f aca="false">V80-V48-V81</f>
        <v>4.40972508387235</v>
      </c>
      <c r="W96" s="48" t="n">
        <f aca="false">W80-W48-W81</f>
        <v>4.16865188451149</v>
      </c>
      <c r="X96" s="48" t="n">
        <f aca="false">X80-X48-X81</f>
        <v>3.94257573253591</v>
      </c>
      <c r="Y96" s="48" t="n">
        <f aca="false">Y80-Y48-Y81</f>
        <v>3.68312058152107</v>
      </c>
      <c r="Z96" s="48" t="n">
        <f aca="false">Z80-Z48-Z81</f>
        <v>3.48511636004584</v>
      </c>
      <c r="AA96" s="48" t="n">
        <f aca="false">AA80-AA48-AA81</f>
        <v>3.26052504256084</v>
      </c>
      <c r="AB96" s="48" t="n">
        <f aca="false">AB80-AB48-AB81</f>
        <v>3.03712395987188</v>
      </c>
      <c r="AC96" s="48" t="n">
        <f aca="false">AC80-AC48-AC81</f>
        <v>2.78705162557678</v>
      </c>
      <c r="AD96" s="48" t="n">
        <f aca="false">AD80-AD48-AD81</f>
        <v>2.56648852631007</v>
      </c>
      <c r="AE96" s="48" t="n">
        <f aca="false">AE80-AE48-AE81</f>
        <v>2.56479941902981</v>
      </c>
      <c r="AF96" s="48" t="n">
        <f aca="false">AF80-AF48-AF81</f>
        <v>2.56311031174951</v>
      </c>
      <c r="AG96" s="48" t="n">
        <f aca="false">AG80-AG48-AG81</f>
        <v>2.57140927907948</v>
      </c>
      <c r="AH96" s="48" t="n">
        <f aca="false">AH80-AH48-AH81</f>
        <v>2.5702387070409</v>
      </c>
      <c r="AI96" s="48" t="n">
        <f aca="false">AI80-AI48-AI81</f>
        <v>2.56906813500235</v>
      </c>
      <c r="AJ96" s="48" t="n">
        <f aca="false">AJ80-AJ48-AJ81</f>
        <v>2.56789756296378</v>
      </c>
      <c r="AK96" s="48" t="n">
        <f aca="false">AK80-AK48-AK81</f>
        <v>2.56672699092523</v>
      </c>
      <c r="AL96" s="48" t="n">
        <f aca="false">AL80-AL48-AL81</f>
        <v>2.57240201817021</v>
      </c>
      <c r="AM96" s="48" t="n">
        <f aca="false">AM80-AM48-AM81</f>
        <v>2.57154998612631</v>
      </c>
      <c r="AN96" s="48" t="n">
        <f aca="false">AN80-AN48-AN81</f>
        <v>-48.4119104857856</v>
      </c>
      <c r="AO96" s="48" t="n">
        <f aca="false">AO80-AO48-AO81</f>
        <v>0</v>
      </c>
      <c r="AP96" s="48" t="n">
        <f aca="false">AP80-AP48-AP81</f>
        <v>0</v>
      </c>
      <c r="AQ96" s="48" t="n">
        <f aca="false">AQ80-AQ48-AQ81</f>
        <v>0</v>
      </c>
      <c r="AR96" s="48" t="n">
        <f aca="false">AR80-AR48-AR81</f>
        <v>0</v>
      </c>
      <c r="AS96" s="48" t="n">
        <f aca="false">AS80-AS48-AS81</f>
        <v>0</v>
      </c>
      <c r="AT96" s="48" t="n">
        <f aca="false">AT80-AT48-AT81</f>
        <v>0</v>
      </c>
      <c r="AU96" s="48" t="n">
        <f aca="false">AU80-AU48-AU81</f>
        <v>0</v>
      </c>
      <c r="AV96" s="48" t="n">
        <f aca="false">AV80-AV48-AV81</f>
        <v>0</v>
      </c>
      <c r="AW96" s="48" t="n">
        <f aca="false">AW80-AW48-AW81</f>
        <v>0</v>
      </c>
      <c r="AX96" s="48" t="n">
        <f aca="false">AX80-AX48-AX81</f>
        <v>0</v>
      </c>
      <c r="AY96" s="48" t="n">
        <f aca="false">AY80-AY48-AY81</f>
        <v>0</v>
      </c>
      <c r="AZ96" s="48" t="n">
        <f aca="false">AZ80-AZ48-AZ81</f>
        <v>0</v>
      </c>
      <c r="BA96" s="48" t="n">
        <f aca="false">BA80-BA48-BA81</f>
        <v>0</v>
      </c>
      <c r="BB96" s="48" t="n">
        <f aca="false">BB80-BB48-BB81</f>
        <v>0</v>
      </c>
      <c r="BC96" s="48" t="n">
        <f aca="false">BC80-BC48-BC81</f>
        <v>0</v>
      </c>
      <c r="BD96" s="48" t="n">
        <f aca="false">BD80-BD48-BD81</f>
        <v>0</v>
      </c>
      <c r="BE96" s="48" t="n">
        <f aca="false">BE80-BE48-BE81</f>
        <v>0</v>
      </c>
      <c r="BF96" s="48" t="n">
        <f aca="false">BF80-BF48-BF81</f>
        <v>0</v>
      </c>
      <c r="BG96" s="48" t="n">
        <f aca="false">BG80-BG48-BG81</f>
        <v>0</v>
      </c>
      <c r="BH96" s="48" t="n">
        <f aca="false">BH80-BH48-BH81</f>
        <v>0</v>
      </c>
      <c r="BI96" s="48" t="n">
        <f aca="false">BI80-BI48-BI81</f>
        <v>0</v>
      </c>
      <c r="BJ96" s="48" t="n">
        <f aca="false">BJ80-BJ48-BJ81</f>
        <v>0</v>
      </c>
      <c r="BK96" s="48" t="n">
        <f aca="false">BK80-BK48-BK81</f>
        <v>0</v>
      </c>
      <c r="BL96" s="48" t="n">
        <f aca="false">BL80-BL48-BL81</f>
        <v>0</v>
      </c>
      <c r="BM96" s="48" t="n">
        <f aca="false">BM80-BM48-BM81</f>
        <v>0</v>
      </c>
      <c r="BN96" s="48" t="n">
        <f aca="false">BN80-BN48-BN81</f>
        <v>0</v>
      </c>
      <c r="BO96" s="48" t="n">
        <f aca="false">BO80-BO48-BO81</f>
        <v>0</v>
      </c>
      <c r="BP96" s="48" t="n">
        <f aca="false">BP80-BP48-BP81</f>
        <v>0</v>
      </c>
      <c r="BQ96" s="48" t="n">
        <f aca="false">BQ80-BQ48-BQ81</f>
        <v>0</v>
      </c>
      <c r="BR96" s="48" t="n">
        <f aca="false">BR80-BR48-BR81</f>
        <v>0</v>
      </c>
      <c r="BS96" s="48" t="n">
        <f aca="false">BS80-BS48-BS81</f>
        <v>0</v>
      </c>
      <c r="BT96" s="48" t="n">
        <f aca="false">BT80-BT48-BT81</f>
        <v>0</v>
      </c>
      <c r="BU96" s="48" t="n">
        <f aca="false">BU80-BU48-BU81</f>
        <v>0</v>
      </c>
      <c r="BV96" s="48" t="n">
        <f aca="false">BV80-BV48-BV81</f>
        <v>0</v>
      </c>
      <c r="BW96" s="48" t="n">
        <f aca="false">BW80-BW48-BW81</f>
        <v>0</v>
      </c>
      <c r="BX96" s="48" t="n">
        <f aca="false">BX80-BX48-BX81</f>
        <v>0</v>
      </c>
    </row>
    <row r="97" customFormat="false" ht="15" hidden="false" customHeight="false" outlineLevel="0" collapsed="false">
      <c r="A97" s="1"/>
      <c r="B97" s="4" t="s">
        <v>361</v>
      </c>
      <c r="C97" s="8" t="s">
        <v>126</v>
      </c>
      <c r="D97" s="44" t="n">
        <f aca="false">SUM(G97:BX97)</f>
        <v>-1012.37248680074</v>
      </c>
      <c r="E97" s="1"/>
      <c r="F97" s="1"/>
      <c r="G97" s="44" t="n">
        <f aca="false">G96-G93</f>
        <v>0</v>
      </c>
      <c r="H97" s="44" t="n">
        <f aca="false">H96-H93</f>
        <v>0</v>
      </c>
      <c r="I97" s="44" t="n">
        <f aca="false">I96-I93</f>
        <v>-450</v>
      </c>
      <c r="J97" s="44" t="n">
        <f aca="false">J96-J93</f>
        <v>-675</v>
      </c>
      <c r="K97" s="44" t="n">
        <f aca="false">K96-K93</f>
        <v>17.9449991785781</v>
      </c>
      <c r="L97" s="44" t="n">
        <f aca="false">L96-L93</f>
        <v>15.66427782693</v>
      </c>
      <c r="M97" s="44" t="n">
        <f aca="false">M96-M93</f>
        <v>13.5215030788125</v>
      </c>
      <c r="N97" s="44" t="n">
        <f aca="false">N96-N93</f>
        <v>11.4857573248366</v>
      </c>
      <c r="O97" s="44" t="n">
        <f aca="false">O96-O93</f>
        <v>9.64539762581437</v>
      </c>
      <c r="P97" s="44" t="n">
        <f aca="false">P96-P93</f>
        <v>8.63484476498211</v>
      </c>
      <c r="Q97" s="44" t="n">
        <f aca="false">Q96-Q93</f>
        <v>7.60399370790726</v>
      </c>
      <c r="R97" s="44" t="n">
        <f aca="false">R96-R93</f>
        <v>6.7087230545788</v>
      </c>
      <c r="S97" s="44" t="n">
        <f aca="false">S96-S93</f>
        <v>5.80648618073251</v>
      </c>
      <c r="T97" s="44" t="n">
        <f aca="false">T96-T93</f>
        <v>4.90580371977342</v>
      </c>
      <c r="U97" s="44" t="n">
        <f aca="false">U96-U93</f>
        <v>4.66005601520844</v>
      </c>
      <c r="V97" s="44" t="n">
        <f aca="false">V96-V93</f>
        <v>4.40972508387235</v>
      </c>
      <c r="W97" s="44" t="n">
        <f aca="false">W96-W93</f>
        <v>4.16865188451149</v>
      </c>
      <c r="X97" s="44" t="n">
        <f aca="false">X96-X93</f>
        <v>3.94257573253591</v>
      </c>
      <c r="Y97" s="44" t="n">
        <f aca="false">Y96-Y93</f>
        <v>3.68312058152107</v>
      </c>
      <c r="Z97" s="44" t="n">
        <f aca="false">Z96-Z93</f>
        <v>3.48511636004584</v>
      </c>
      <c r="AA97" s="44" t="n">
        <f aca="false">AA96-AA93</f>
        <v>3.26052504256084</v>
      </c>
      <c r="AB97" s="44" t="n">
        <f aca="false">AB96-AB93</f>
        <v>3.03712395987188</v>
      </c>
      <c r="AC97" s="44" t="n">
        <f aca="false">AC96-AC93</f>
        <v>2.78705162557678</v>
      </c>
      <c r="AD97" s="44" t="n">
        <f aca="false">AD96-AD93</f>
        <v>2.56648852631007</v>
      </c>
      <c r="AE97" s="44" t="n">
        <f aca="false">AE96-AE93</f>
        <v>2.56479941902981</v>
      </c>
      <c r="AF97" s="44" t="n">
        <f aca="false">AF96-AF93</f>
        <v>2.56311031174951</v>
      </c>
      <c r="AG97" s="44" t="n">
        <f aca="false">AG96-AG93</f>
        <v>2.57140927907948</v>
      </c>
      <c r="AH97" s="44" t="n">
        <f aca="false">AH96-AH93</f>
        <v>2.5702387070409</v>
      </c>
      <c r="AI97" s="44" t="n">
        <f aca="false">AI96-AI93</f>
        <v>2.56906813500235</v>
      </c>
      <c r="AJ97" s="44" t="n">
        <f aca="false">AJ96-AJ93</f>
        <v>2.56789756296378</v>
      </c>
      <c r="AK97" s="44" t="n">
        <f aca="false">AK96-AK93</f>
        <v>2.56672699092523</v>
      </c>
      <c r="AL97" s="44" t="n">
        <f aca="false">AL96-AL93</f>
        <v>2.57240201817021</v>
      </c>
      <c r="AM97" s="44" t="n">
        <f aca="false">AM96-AM93</f>
        <v>2.57154998612631</v>
      </c>
      <c r="AN97" s="44" t="n">
        <f aca="false">AN96-AN93</f>
        <v>-48.4119104857856</v>
      </c>
      <c r="AO97" s="44" t="n">
        <f aca="false">AO96-AO93</f>
        <v>0</v>
      </c>
      <c r="AP97" s="44" t="n">
        <f aca="false">AP96-AP93</f>
        <v>0</v>
      </c>
      <c r="AQ97" s="44" t="n">
        <f aca="false">AQ96-AQ93</f>
        <v>0</v>
      </c>
      <c r="AR97" s="44" t="n">
        <f aca="false">AR96-AR93</f>
        <v>0</v>
      </c>
      <c r="AS97" s="44" t="n">
        <f aca="false">AS96-AS93</f>
        <v>0</v>
      </c>
      <c r="AT97" s="44" t="n">
        <f aca="false">AT96-AT93</f>
        <v>0</v>
      </c>
      <c r="AU97" s="44" t="n">
        <f aca="false">AU96-AU93</f>
        <v>0</v>
      </c>
      <c r="AV97" s="44" t="n">
        <f aca="false">AV96-AV93</f>
        <v>0</v>
      </c>
      <c r="AW97" s="44" t="n">
        <f aca="false">AW96-AW93</f>
        <v>0</v>
      </c>
      <c r="AX97" s="44" t="n">
        <f aca="false">AX96-AX93</f>
        <v>0</v>
      </c>
      <c r="AY97" s="44" t="n">
        <f aca="false">AY96-AY93</f>
        <v>0</v>
      </c>
      <c r="AZ97" s="44" t="n">
        <f aca="false">AZ96-AZ93</f>
        <v>0</v>
      </c>
      <c r="BA97" s="44" t="n">
        <f aca="false">BA96-BA93</f>
        <v>0</v>
      </c>
      <c r="BB97" s="44" t="n">
        <f aca="false">BB96-BB93</f>
        <v>0</v>
      </c>
      <c r="BC97" s="44" t="n">
        <f aca="false">BC96-BC93</f>
        <v>0</v>
      </c>
      <c r="BD97" s="44" t="n">
        <f aca="false">BD96-BD93</f>
        <v>0</v>
      </c>
      <c r="BE97" s="44" t="n">
        <f aca="false">BE96-BE93</f>
        <v>0</v>
      </c>
      <c r="BF97" s="44" t="n">
        <f aca="false">BF96-BF93</f>
        <v>0</v>
      </c>
      <c r="BG97" s="44" t="n">
        <f aca="false">BG96-BG93</f>
        <v>0</v>
      </c>
      <c r="BH97" s="44" t="n">
        <f aca="false">BH96-BH93</f>
        <v>0</v>
      </c>
      <c r="BI97" s="44" t="n">
        <f aca="false">BI96-BI93</f>
        <v>0</v>
      </c>
      <c r="BJ97" s="44" t="n">
        <f aca="false">BJ96-BJ93</f>
        <v>0</v>
      </c>
      <c r="BK97" s="44" t="n">
        <f aca="false">BK96-BK93</f>
        <v>0</v>
      </c>
      <c r="BL97" s="44" t="n">
        <f aca="false">BL96-BL93</f>
        <v>0</v>
      </c>
      <c r="BM97" s="44" t="n">
        <f aca="false">BM96-BM93</f>
        <v>0</v>
      </c>
      <c r="BN97" s="44" t="n">
        <f aca="false">BN96-BN93</f>
        <v>0</v>
      </c>
      <c r="BO97" s="44" t="n">
        <f aca="false">BO96-BO93</f>
        <v>0</v>
      </c>
      <c r="BP97" s="44" t="n">
        <f aca="false">BP96-BP93</f>
        <v>0</v>
      </c>
      <c r="BQ97" s="44" t="n">
        <f aca="false">BQ96-BQ93</f>
        <v>0</v>
      </c>
      <c r="BR97" s="44" t="n">
        <f aca="false">BR96-BR93</f>
        <v>0</v>
      </c>
      <c r="BS97" s="44" t="n">
        <f aca="false">BS96-BS93</f>
        <v>0</v>
      </c>
      <c r="BT97" s="44" t="n">
        <f aca="false">BT96-BT93</f>
        <v>0</v>
      </c>
      <c r="BU97" s="44" t="n">
        <f aca="false">BU96-BU93</f>
        <v>0</v>
      </c>
      <c r="BV97" s="44" t="n">
        <f aca="false">BV96-BV93</f>
        <v>0</v>
      </c>
      <c r="BW97" s="44" t="n">
        <f aca="false">BW96-BW93</f>
        <v>0</v>
      </c>
      <c r="BX97" s="44" t="n">
        <f aca="false">BX96-BX93</f>
        <v>0</v>
      </c>
    </row>
    <row r="98" customFormat="false" ht="15" hidden="false" customHeight="false" outlineLevel="0" collapsed="false">
      <c r="A98" s="1"/>
      <c r="B98" s="8" t="s">
        <v>362</v>
      </c>
      <c r="C98" s="8" t="s">
        <v>126</v>
      </c>
      <c r="D98" s="1"/>
      <c r="E98" s="1"/>
      <c r="F98" s="1"/>
      <c r="G98" s="48" t="n">
        <f aca="false">G97</f>
        <v>0</v>
      </c>
      <c r="H98" s="48" t="n">
        <f aca="false">G98+H97</f>
        <v>0</v>
      </c>
      <c r="I98" s="48" t="n">
        <f aca="false">H98+I97</f>
        <v>-450</v>
      </c>
      <c r="J98" s="48" t="n">
        <f aca="false">I98+J97</f>
        <v>-1125</v>
      </c>
      <c r="K98" s="48" t="n">
        <f aca="false">J98+K97</f>
        <v>-1107.05500082142</v>
      </c>
      <c r="L98" s="48" t="n">
        <f aca="false">K98+L97</f>
        <v>-1091.39072299449</v>
      </c>
      <c r="M98" s="48" t="n">
        <f aca="false">L98+M97</f>
        <v>-1077.86921991568</v>
      </c>
      <c r="N98" s="48" t="n">
        <f aca="false">M98+N97</f>
        <v>-1066.38346259084</v>
      </c>
      <c r="O98" s="48" t="n">
        <f aca="false">N98+O97</f>
        <v>-1056.73806496503</v>
      </c>
      <c r="P98" s="48" t="n">
        <f aca="false">O98+P97</f>
        <v>-1048.10322020005</v>
      </c>
      <c r="Q98" s="48" t="n">
        <f aca="false">P98+Q97</f>
        <v>-1040.49922649214</v>
      </c>
      <c r="R98" s="48" t="n">
        <f aca="false">Q98+R97</f>
        <v>-1033.79050343756</v>
      </c>
      <c r="S98" s="48" t="n">
        <f aca="false">R98+S97</f>
        <v>-1027.98401725683</v>
      </c>
      <c r="T98" s="48" t="n">
        <f aca="false">S98+T97</f>
        <v>-1023.07821353705</v>
      </c>
      <c r="U98" s="48" t="n">
        <f aca="false">T98+U97</f>
        <v>-1018.41815752185</v>
      </c>
      <c r="V98" s="48" t="n">
        <f aca="false">U98+V97</f>
        <v>-1014.00843243797</v>
      </c>
      <c r="W98" s="48" t="n">
        <f aca="false">V98+W97</f>
        <v>-1009.83978055346</v>
      </c>
      <c r="X98" s="48" t="n">
        <f aca="false">W98+X97</f>
        <v>-1005.89720482093</v>
      </c>
      <c r="Y98" s="48" t="n">
        <f aca="false">X98+Y97</f>
        <v>-1002.21408423941</v>
      </c>
      <c r="Z98" s="48" t="n">
        <f aca="false">Y98+Z97</f>
        <v>-998.728967879359</v>
      </c>
      <c r="AA98" s="48" t="n">
        <f aca="false">Z98+AA97</f>
        <v>-995.468442836799</v>
      </c>
      <c r="AB98" s="48" t="n">
        <f aca="false">AA98+AB97</f>
        <v>-992.431318876927</v>
      </c>
      <c r="AC98" s="48" t="n">
        <f aca="false">AB98+AC97</f>
        <v>-989.64426725135</v>
      </c>
      <c r="AD98" s="48" t="n">
        <f aca="false">AC98+AD97</f>
        <v>-987.07777872504</v>
      </c>
      <c r="AE98" s="48" t="n">
        <f aca="false">AD98+AE97</f>
        <v>-984.51297930601</v>
      </c>
      <c r="AF98" s="48" t="n">
        <f aca="false">AE98+AF97</f>
        <v>-981.949868994261</v>
      </c>
      <c r="AG98" s="48" t="n">
        <f aca="false">AF98+AG97</f>
        <v>-979.378459715181</v>
      </c>
      <c r="AH98" s="48" t="n">
        <f aca="false">AG98+AH97</f>
        <v>-976.80822100814</v>
      </c>
      <c r="AI98" s="48" t="n">
        <f aca="false">AH98+AI97</f>
        <v>-974.239152873138</v>
      </c>
      <c r="AJ98" s="48" t="n">
        <f aca="false">AI98+AJ97</f>
        <v>-971.671255310174</v>
      </c>
      <c r="AK98" s="48" t="n">
        <f aca="false">AJ98+AK97</f>
        <v>-969.104528319249</v>
      </c>
      <c r="AL98" s="48" t="n">
        <f aca="false">AK98+AL97</f>
        <v>-966.532126301079</v>
      </c>
      <c r="AM98" s="48" t="n">
        <f aca="false">AL98+AM97</f>
        <v>-963.960576314952</v>
      </c>
      <c r="AN98" s="48" t="n">
        <f aca="false">AM98+AN97</f>
        <v>-1012.37248680074</v>
      </c>
      <c r="AO98" s="48" t="n">
        <f aca="false">AN98+AO97</f>
        <v>-1012.37248680074</v>
      </c>
      <c r="AP98" s="48" t="n">
        <f aca="false">AO98+AP97</f>
        <v>-1012.37248680074</v>
      </c>
      <c r="AQ98" s="48" t="n">
        <f aca="false">AP98+AQ97</f>
        <v>-1012.37248680074</v>
      </c>
      <c r="AR98" s="48" t="n">
        <f aca="false">AQ98+AR97</f>
        <v>-1012.37248680074</v>
      </c>
      <c r="AS98" s="48" t="n">
        <f aca="false">AR98+AS97</f>
        <v>-1012.37248680074</v>
      </c>
      <c r="AT98" s="48" t="n">
        <f aca="false">AS98+AT97</f>
        <v>-1012.37248680074</v>
      </c>
      <c r="AU98" s="48" t="n">
        <f aca="false">AT98+AU97</f>
        <v>-1012.37248680074</v>
      </c>
      <c r="AV98" s="48" t="n">
        <f aca="false">AU98+AV97</f>
        <v>-1012.37248680074</v>
      </c>
      <c r="AW98" s="48" t="n">
        <f aca="false">AV98+AW97</f>
        <v>-1012.37248680074</v>
      </c>
      <c r="AX98" s="48" t="n">
        <f aca="false">AW98+AX97</f>
        <v>-1012.37248680074</v>
      </c>
      <c r="AY98" s="48" t="n">
        <f aca="false">AX98+AY97</f>
        <v>-1012.37248680074</v>
      </c>
      <c r="AZ98" s="48" t="n">
        <f aca="false">AY98+AZ97</f>
        <v>-1012.37248680074</v>
      </c>
      <c r="BA98" s="48" t="n">
        <f aca="false">AZ98+BA97</f>
        <v>-1012.37248680074</v>
      </c>
      <c r="BB98" s="48" t="n">
        <f aca="false">BA98+BB97</f>
        <v>-1012.37248680074</v>
      </c>
      <c r="BC98" s="48" t="n">
        <f aca="false">BB98+BC97</f>
        <v>-1012.37248680074</v>
      </c>
      <c r="BD98" s="48" t="n">
        <f aca="false">BC98+BD97</f>
        <v>-1012.37248680074</v>
      </c>
      <c r="BE98" s="48" t="n">
        <f aca="false">BD98+BE97</f>
        <v>-1012.37248680074</v>
      </c>
      <c r="BF98" s="48" t="n">
        <f aca="false">BE98+BF97</f>
        <v>-1012.37248680074</v>
      </c>
      <c r="BG98" s="48" t="n">
        <f aca="false">BF98+BG97</f>
        <v>-1012.37248680074</v>
      </c>
      <c r="BH98" s="48" t="n">
        <f aca="false">BG98+BH97</f>
        <v>-1012.37248680074</v>
      </c>
      <c r="BI98" s="48" t="n">
        <f aca="false">BH98+BI97</f>
        <v>-1012.37248680074</v>
      </c>
      <c r="BJ98" s="48" t="n">
        <f aca="false">BI98+BJ97</f>
        <v>-1012.37248680074</v>
      </c>
      <c r="BK98" s="48" t="n">
        <f aca="false">BJ98+BK97</f>
        <v>-1012.37248680074</v>
      </c>
      <c r="BL98" s="48" t="n">
        <f aca="false">BK98+BL97</f>
        <v>-1012.37248680074</v>
      </c>
      <c r="BM98" s="48" t="n">
        <f aca="false">BL98+BM97</f>
        <v>-1012.37248680074</v>
      </c>
      <c r="BN98" s="48" t="n">
        <f aca="false">BM98+BN97</f>
        <v>-1012.37248680074</v>
      </c>
      <c r="BO98" s="48" t="n">
        <f aca="false">BN98+BO97</f>
        <v>-1012.37248680074</v>
      </c>
      <c r="BP98" s="48" t="n">
        <f aca="false">BO98+BP97</f>
        <v>-1012.37248680074</v>
      </c>
      <c r="BQ98" s="48" t="n">
        <f aca="false">BP98+BQ97</f>
        <v>-1012.37248680074</v>
      </c>
      <c r="BR98" s="48" t="n">
        <f aca="false">BQ98+BR97</f>
        <v>-1012.37248680074</v>
      </c>
      <c r="BS98" s="48" t="n">
        <f aca="false">BR98+BS97</f>
        <v>-1012.37248680074</v>
      </c>
      <c r="BT98" s="48" t="n">
        <f aca="false">BS98+BT97</f>
        <v>-1012.37248680074</v>
      </c>
      <c r="BU98" s="48" t="n">
        <f aca="false">BT98+BU97</f>
        <v>-1012.37248680074</v>
      </c>
      <c r="BV98" s="48" t="n">
        <f aca="false">BU98+BV97</f>
        <v>-1012.37248680074</v>
      </c>
      <c r="BW98" s="48" t="n">
        <f aca="false">BV98+BW97</f>
        <v>-1012.37248680074</v>
      </c>
      <c r="BX98" s="48" t="n">
        <f aca="false">BW98+BX97</f>
        <v>-1012.37248680074</v>
      </c>
    </row>
    <row r="99" customFormat="false" ht="15" hidden="false" customHeight="false" outlineLevel="0" collapsed="false">
      <c r="A99" s="1"/>
      <c r="B99" s="8" t="s">
        <v>363</v>
      </c>
      <c r="C99" s="8" t="s">
        <v>126</v>
      </c>
      <c r="D99" s="44" t="n">
        <f aca="false">SUM(G99:BX99)</f>
        <v>-998.176685013715</v>
      </c>
      <c r="E99" s="1"/>
      <c r="F99" s="1"/>
      <c r="G99" s="48" t="n">
        <f aca="false">G97*G41</f>
        <v>0</v>
      </c>
      <c r="H99" s="48" t="n">
        <f aca="false">H97*H41</f>
        <v>0</v>
      </c>
      <c r="I99" s="48" t="n">
        <f aca="false">I97*I41</f>
        <v>-450</v>
      </c>
      <c r="J99" s="48" t="n">
        <f aca="false">J97*J41</f>
        <v>-630.841121495327</v>
      </c>
      <c r="K99" s="48" t="n">
        <f aca="false">K97*K41</f>
        <v>15.6738572614011</v>
      </c>
      <c r="L99" s="48" t="n">
        <f aca="false">L97*L41</f>
        <v>12.7867167331514</v>
      </c>
      <c r="M99" s="48" t="n">
        <f aca="false">M97*M41</f>
        <v>10.3154899585119</v>
      </c>
      <c r="N99" s="48" t="n">
        <f aca="false">N97*N41</f>
        <v>8.18918623351178</v>
      </c>
      <c r="O99" s="48" t="n">
        <f aca="false">O97*O41</f>
        <v>6.42713570357965</v>
      </c>
      <c r="P99" s="48" t="n">
        <f aca="false">P97*P41</f>
        <v>5.37734734860612</v>
      </c>
      <c r="Q99" s="48" t="n">
        <f aca="false">Q97*Q41</f>
        <v>4.42559356905729</v>
      </c>
      <c r="R99" s="48" t="n">
        <f aca="false">R97*R41</f>
        <v>3.6491008390376</v>
      </c>
      <c r="S99" s="48" t="n">
        <f aca="false">S97*S41</f>
        <v>2.95172313976539</v>
      </c>
      <c r="T99" s="48" t="n">
        <f aca="false">T97*T41</f>
        <v>2.33071200775578</v>
      </c>
      <c r="U99" s="48" t="n">
        <f aca="false">U97*U41</f>
        <v>2.06912060148427</v>
      </c>
      <c r="V99" s="48" t="n">
        <f aca="false">V97*V41</f>
        <v>1.82987913476932</v>
      </c>
      <c r="W99" s="48" t="n">
        <f aca="false">W97*W41</f>
        <v>1.61667507261292</v>
      </c>
      <c r="X99" s="48" t="n">
        <f aca="false">X97*X41</f>
        <v>1.4289708813962</v>
      </c>
      <c r="Y99" s="48" t="n">
        <f aca="false">Y97*Y41</f>
        <v>1.24760036881791</v>
      </c>
      <c r="Z99" s="48" t="n">
        <f aca="false">Z97*Z41</f>
        <v>1.10329858737801</v>
      </c>
      <c r="AA99" s="48" t="n">
        <f aca="false">AA97*AA41</f>
        <v>0.964671708356696</v>
      </c>
      <c r="AB99" s="48" t="n">
        <f aca="false">AB97*AB41</f>
        <v>0.839790083291452</v>
      </c>
      <c r="AC99" s="48" t="n">
        <f aca="false">AC97*AC41</f>
        <v>0.720227101872322</v>
      </c>
      <c r="AD99" s="48" t="n">
        <f aca="false">AD97*AD41</f>
        <v>0.619840566076899</v>
      </c>
      <c r="AE99" s="48" t="n">
        <f aca="false">AE97*AE41</f>
        <v>0.578908994919445</v>
      </c>
      <c r="AF99" s="48" t="n">
        <f aca="false">AF97*AF41</f>
        <v>0.540680131933534</v>
      </c>
      <c r="AG99" s="48" t="n">
        <f aca="false">AG97*AG41</f>
        <v>0.506944647875489</v>
      </c>
      <c r="AH99" s="48" t="n">
        <f aca="false">AH97*AH41</f>
        <v>0.47356436780811</v>
      </c>
      <c r="AI99" s="48" t="n">
        <f aca="false">AI97*AI41</f>
        <v>0.442381954086708</v>
      </c>
      <c r="AJ99" s="48" t="n">
        <f aca="false">AJ97*AJ41</f>
        <v>0.413252697997589</v>
      </c>
      <c r="AK99" s="48" t="n">
        <f aca="false">AK97*AK41</f>
        <v>0.386041418139695</v>
      </c>
      <c r="AL99" s="48" t="n">
        <f aca="false">AL97*AL41</f>
        <v>0.361584069899945</v>
      </c>
      <c r="AM99" s="48" t="n">
        <f aca="false">AM97*AM41</f>
        <v>0.337817108296339</v>
      </c>
      <c r="AN99" s="48" t="n">
        <f aca="false">AN97*AN41</f>
        <v>-5.94367580977916</v>
      </c>
      <c r="AO99" s="48" t="n">
        <f aca="false">AO97*AO41</f>
        <v>0</v>
      </c>
      <c r="AP99" s="48" t="n">
        <f aca="false">AP97*AP41</f>
        <v>0</v>
      </c>
      <c r="AQ99" s="48" t="n">
        <f aca="false">AQ97*AQ41</f>
        <v>0</v>
      </c>
      <c r="AR99" s="48" t="n">
        <f aca="false">AR97*AR41</f>
        <v>0</v>
      </c>
      <c r="AS99" s="48" t="n">
        <f aca="false">AS97*AS41</f>
        <v>0</v>
      </c>
      <c r="AT99" s="48" t="n">
        <f aca="false">AT97*AT41</f>
        <v>0</v>
      </c>
      <c r="AU99" s="48" t="n">
        <f aca="false">AU97*AU41</f>
        <v>0</v>
      </c>
      <c r="AV99" s="48" t="n">
        <f aca="false">AV97*AV41</f>
        <v>0</v>
      </c>
      <c r="AW99" s="48" t="n">
        <f aca="false">AW97*AW41</f>
        <v>0</v>
      </c>
      <c r="AX99" s="48" t="n">
        <f aca="false">AX97*AX41</f>
        <v>0</v>
      </c>
      <c r="AY99" s="48" t="n">
        <f aca="false">AY97*AY41</f>
        <v>0</v>
      </c>
      <c r="AZ99" s="48" t="n">
        <f aca="false">AZ97*AZ41</f>
        <v>0</v>
      </c>
      <c r="BA99" s="48" t="n">
        <f aca="false">BA97*BA41</f>
        <v>0</v>
      </c>
      <c r="BB99" s="48" t="n">
        <f aca="false">BB97*BB41</f>
        <v>0</v>
      </c>
      <c r="BC99" s="48" t="n">
        <f aca="false">BC97*BC41</f>
        <v>0</v>
      </c>
      <c r="BD99" s="48" t="n">
        <f aca="false">BD97*BD41</f>
        <v>0</v>
      </c>
      <c r="BE99" s="48" t="n">
        <f aca="false">BE97*BE41</f>
        <v>0</v>
      </c>
      <c r="BF99" s="48" t="n">
        <f aca="false">BF97*BF41</f>
        <v>0</v>
      </c>
      <c r="BG99" s="48" t="n">
        <f aca="false">BG97*BG41</f>
        <v>0</v>
      </c>
      <c r="BH99" s="48" t="n">
        <f aca="false">BH97*BH41</f>
        <v>0</v>
      </c>
      <c r="BI99" s="48" t="n">
        <f aca="false">BI97*BI41</f>
        <v>0</v>
      </c>
      <c r="BJ99" s="48" t="n">
        <f aca="false">BJ97*BJ41</f>
        <v>0</v>
      </c>
      <c r="BK99" s="48" t="n">
        <f aca="false">BK97*BK41</f>
        <v>0</v>
      </c>
      <c r="BL99" s="48" t="n">
        <f aca="false">BL97*BL41</f>
        <v>0</v>
      </c>
      <c r="BM99" s="48" t="n">
        <f aca="false">BM97*BM41</f>
        <v>0</v>
      </c>
      <c r="BN99" s="48" t="n">
        <f aca="false">BN97*BN41</f>
        <v>0</v>
      </c>
      <c r="BO99" s="48" t="n">
        <f aca="false">BO97*BO41</f>
        <v>0</v>
      </c>
      <c r="BP99" s="48" t="n">
        <f aca="false">BP97*BP41</f>
        <v>0</v>
      </c>
      <c r="BQ99" s="48" t="n">
        <f aca="false">BQ97*BQ41</f>
        <v>0</v>
      </c>
      <c r="BR99" s="48" t="n">
        <f aca="false">BR97*BR41</f>
        <v>0</v>
      </c>
      <c r="BS99" s="48" t="n">
        <f aca="false">BS97*BS41</f>
        <v>0</v>
      </c>
      <c r="BT99" s="48" t="n">
        <f aca="false">BT97*BT41</f>
        <v>0</v>
      </c>
      <c r="BU99" s="48" t="n">
        <f aca="false">BU97*BU41</f>
        <v>0</v>
      </c>
      <c r="BV99" s="48" t="n">
        <f aca="false">BV97*BV41</f>
        <v>0</v>
      </c>
      <c r="BW99" s="48" t="n">
        <f aca="false">BW97*BW41</f>
        <v>0</v>
      </c>
      <c r="BX99" s="48" t="n">
        <f aca="false">BX97*BX41</f>
        <v>0</v>
      </c>
    </row>
    <row r="100" customFormat="false" ht="15" hidden="false" customHeight="false" outlineLevel="0" collapsed="false">
      <c r="A100" s="1"/>
      <c r="B100" s="4" t="s">
        <v>364</v>
      </c>
      <c r="C100" s="1"/>
      <c r="D100" s="44" t="n">
        <f aca="false">SUMPRODUCT($G$97:$BX$97,$G$41:$BX$41)</f>
        <v>-998.176685013715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</row>
    <row r="101" customFormat="false" ht="15" hidden="false" customHeight="false" outlineLevel="0" collapsed="false">
      <c r="A101" s="1"/>
      <c r="B101" s="4" t="s">
        <v>365</v>
      </c>
      <c r="C101" s="1"/>
      <c r="D101" s="44" t="n">
        <f aca="false">SUMPRODUCT($G$96:$BX$96,$G$41:$BX$41)</f>
        <v>-998.176685013715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</row>
    <row r="102" customFormat="false" ht="15" hidden="false" customHeight="false" outlineLevel="0" collapsed="false">
      <c r="A102" s="1"/>
      <c r="B102" s="4" t="s">
        <v>366</v>
      </c>
      <c r="C102" s="1"/>
      <c r="D102" s="50" t="str">
        <f aca="true">IFERROR(IRR(OFFSET(G97,0,$D$12-2027,1,$D$11+$D$9),0.05),"n/a")</f>
        <v>n/a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</row>
    <row r="103" customFormat="false" ht="15" hidden="false" customHeight="false" outlineLevel="0" collapsed="false">
      <c r="A103" s="1"/>
      <c r="B103" s="4" t="s">
        <v>367</v>
      </c>
      <c r="C103" s="1"/>
      <c r="D103" s="44" t="n">
        <f aca="false">SUMPRODUCT($G$57:$BX$57,$G$41:$BX$41)</f>
        <v>1251813.41913159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</row>
    <row r="104" customFormat="false" ht="15" hidden="false" customHeight="false" outlineLevel="0" collapsed="false">
      <c r="A104" s="1"/>
      <c r="B104" s="4" t="s">
        <v>368</v>
      </c>
      <c r="C104" s="1"/>
      <c r="D104" s="44" t="n">
        <f aca="false">SUMPRODUCT($G$48:$BX$48,$G$41:$BX$41)+SUMPRODUCT($G$79:$BX$79,$G$41:$BX$41)+SUMPRODUCT($G$81:$BX$81,$G$41:$BX$41)</f>
        <v>2325.8309350752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</row>
    <row r="105" customFormat="false" ht="15" hidden="false" customHeight="false" outlineLevel="0" collapsed="false">
      <c r="A105" s="1"/>
      <c r="B105" s="8" t="s">
        <v>369</v>
      </c>
      <c r="C105" s="1"/>
      <c r="D105" s="48" t="n">
        <f aca="false">SUMPRODUCT($G$48:$BX$48,$G$41:$BX$41)</f>
        <v>1080.84112149533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</row>
    <row r="106" customFormat="false" ht="15" hidden="false" customHeight="false" outlineLevel="0" collapsed="false">
      <c r="A106" s="1"/>
      <c r="B106" s="8" t="s">
        <v>370</v>
      </c>
      <c r="C106" s="1"/>
      <c r="D106" s="48" t="n">
        <f aca="false">SUMPRODUCT($G$73:$BX$73,$G$41:$BX$41)</f>
        <v>191.354373390511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</row>
    <row r="107" customFormat="false" ht="15" hidden="false" customHeight="false" outlineLevel="0" collapsed="false">
      <c r="A107" s="1"/>
      <c r="B107" s="8" t="s">
        <v>371</v>
      </c>
      <c r="C107" s="1"/>
      <c r="D107" s="48" t="n">
        <f aca="false">SUMPRODUCT($G$67:$BX$67,$G$41:$BX$41)</f>
        <v>429.17704636125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</row>
    <row r="108" customFormat="false" ht="15" hidden="false" customHeight="false" outlineLevel="0" collapsed="false">
      <c r="A108" s="1"/>
      <c r="B108" s="8" t="s">
        <v>372</v>
      </c>
      <c r="C108" s="1"/>
      <c r="D108" s="48" t="n">
        <f aca="false">SUMPRODUCT($G$69:$BX$69,$G$41:$BX$41)</f>
        <v>389.319259877598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</row>
    <row r="109" customFormat="false" ht="15" hidden="false" customHeight="false" outlineLevel="0" collapsed="false">
      <c r="A109" s="1"/>
      <c r="B109" s="8" t="s">
        <v>373</v>
      </c>
      <c r="C109" s="1"/>
      <c r="D109" s="48" t="n">
        <f aca="false">SUMPRODUCT($G$70:$BX$70,$G$41:$BX$41)+SUMPRODUCT($G$71:$BX$71,$G$41:$BX$41)</f>
        <v>72.0784438040181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</row>
    <row r="110" customFormat="false" ht="15" hidden="false" customHeight="false" outlineLevel="0" collapsed="false">
      <c r="A110" s="1"/>
      <c r="B110" s="8" t="s">
        <v>374</v>
      </c>
      <c r="C110" s="1"/>
      <c r="D110" s="48" t="n">
        <f aca="false">SUMPRODUCT($G$72:$BX$72,$G$41:$BX$41)+SUMPRODUCT($G$81:$BX$81,$G$41:$BX$41)</f>
        <v>6.26142334101315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</row>
    <row r="111" customFormat="false" ht="15" hidden="false" customHeight="false" outlineLevel="0" collapsed="false">
      <c r="A111" s="1"/>
      <c r="B111" s="8" t="s">
        <v>375</v>
      </c>
      <c r="C111" s="1"/>
      <c r="D111" s="48" t="n">
        <f aca="false">SUMPRODUCT($G$75:$BX$75,$G$41:$BX$41)</f>
        <v>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</row>
    <row r="112" customFormat="false" ht="15" hidden="false" customHeight="false" outlineLevel="0" collapsed="false">
      <c r="A112" s="1"/>
      <c r="B112" s="8" t="s">
        <v>376</v>
      </c>
      <c r="C112" s="1"/>
      <c r="D112" s="48" t="n">
        <f aca="false">SUMPRODUCT($G$77:$BX$77,$G$41:$BX$41)+SUMPRODUCT($G$78:$BX$78,$G$41:$BX$41)+SUMPRODUCT($G$76:$BX$76,$G$41:$BX$41)</f>
        <v>156.799266805479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</row>
    <row r="113" customFormat="false" ht="15" hidden="false" customHeight="false" outlineLevel="0" collapsed="false">
      <c r="A113" s="1"/>
      <c r="B113" s="4" t="s">
        <v>377</v>
      </c>
      <c r="C113" s="1"/>
      <c r="D113" s="44" t="n">
        <f aca="false">SUMPRODUCT($G$63:$BX$63,$G$41:$BX$41)</f>
        <v>1327.65425006148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</row>
    <row r="114" customFormat="false" ht="15" hidden="false" customHeight="false" outlineLevel="0" collapsed="false">
      <c r="A114" s="1"/>
      <c r="B114" s="4" t="s">
        <v>10</v>
      </c>
      <c r="C114" s="1"/>
      <c r="D114" s="46" t="n">
        <f aca="false">IFERROR($D$104*1000000/$D$103,0)</f>
        <v>1857.9693263623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</row>
    <row r="115" customFormat="false" ht="15" hidden="false" customHeight="false" outlineLevel="0" collapsed="false">
      <c r="A115" s="1"/>
      <c r="B115" s="4" t="s">
        <v>11</v>
      </c>
      <c r="C115" s="1"/>
      <c r="D115" s="46" t="n">
        <f aca="false">IFERROR($D$113*1000000/$D$103,0)</f>
        <v>1060.58477227581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</row>
    <row r="116" customFormat="false" ht="15" hidden="false" customHeight="false" outlineLevel="0" collapsed="false">
      <c r="A116" s="1"/>
      <c r="B116" s="4" t="s">
        <v>378</v>
      </c>
      <c r="C116" s="1"/>
      <c r="D116" s="50" t="n">
        <f aca="false">IFERROR(AVERAGEIF($G$38:$BX$38,1,$G$56:$BX$56),0)</f>
        <v>0.0372661719939117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</row>
    <row r="117" customFormat="false" ht="15" hidden="false" customHeight="false" outlineLevel="0" collapsed="false">
      <c r="A117" s="1"/>
      <c r="B117" s="4" t="s">
        <v>379</v>
      </c>
      <c r="C117" s="1"/>
      <c r="D117" s="44" t="n">
        <f aca="false">SUMPRODUCT($G$60:$BX$60,$G$41:$BX$41)+SUMPRODUCT($G$61:$BX$61,$G$41:$BX$41)</f>
        <v>0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</row>
    <row r="118" customFormat="false" ht="15" hidden="false" customHeight="false" outlineLevel="0" collapsed="false">
      <c r="A118" s="1"/>
      <c r="B118" s="4" t="s">
        <v>409</v>
      </c>
      <c r="C118" s="1"/>
      <c r="D118" s="46" t="n">
        <f aca="false">-$D$100/((1-$D$17)*$D$103/1000000)</f>
        <v>984.425375415411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</row>
    <row r="120" customFormat="false" ht="15" hidden="false" customHeight="false" outlineLevel="0" collapsed="false">
      <c r="A120" s="1"/>
      <c r="B120" s="13" t="s">
        <v>381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</row>
    <row r="121" customFormat="false" ht="15" hidden="false" customHeight="false" outlineLevel="0" collapsed="false">
      <c r="A121" s="1"/>
      <c r="B121" s="8" t="s">
        <v>382</v>
      </c>
      <c r="C121" s="8" t="s">
        <v>126</v>
      </c>
      <c r="D121" s="44" t="n">
        <f aca="false">SUM(G121:BX121)</f>
        <v>73.44</v>
      </c>
      <c r="E121" s="1"/>
      <c r="F121" s="1"/>
      <c r="G121" s="48" t="n">
        <f aca="false">G77*$D$23</f>
        <v>0</v>
      </c>
      <c r="H121" s="48" t="n">
        <f aca="false">H77*$D$23</f>
        <v>0</v>
      </c>
      <c r="I121" s="48" t="n">
        <f aca="false">I77*$D$23</f>
        <v>0</v>
      </c>
      <c r="J121" s="48" t="n">
        <f aca="false">J77*$D$23</f>
        <v>0</v>
      </c>
      <c r="K121" s="48" t="n">
        <f aca="false">K77*$D$23</f>
        <v>2.448</v>
      </c>
      <c r="L121" s="48" t="n">
        <f aca="false">L77*$D$23</f>
        <v>2.448</v>
      </c>
      <c r="M121" s="48" t="n">
        <f aca="false">M77*$D$23</f>
        <v>2.448</v>
      </c>
      <c r="N121" s="48" t="n">
        <f aca="false">N77*$D$23</f>
        <v>2.448</v>
      </c>
      <c r="O121" s="48" t="n">
        <f aca="false">O77*$D$23</f>
        <v>2.448</v>
      </c>
      <c r="P121" s="48" t="n">
        <f aca="false">P77*$D$23</f>
        <v>2.448</v>
      </c>
      <c r="Q121" s="48" t="n">
        <f aca="false">Q77*$D$23</f>
        <v>2.448</v>
      </c>
      <c r="R121" s="48" t="n">
        <f aca="false">R77*$D$23</f>
        <v>2.448</v>
      </c>
      <c r="S121" s="48" t="n">
        <f aca="false">S77*$D$23</f>
        <v>2.448</v>
      </c>
      <c r="T121" s="48" t="n">
        <f aca="false">T77*$D$23</f>
        <v>2.448</v>
      </c>
      <c r="U121" s="48" t="n">
        <f aca="false">U77*$D$23</f>
        <v>2.448</v>
      </c>
      <c r="V121" s="48" t="n">
        <f aca="false">V77*$D$23</f>
        <v>2.448</v>
      </c>
      <c r="W121" s="48" t="n">
        <f aca="false">W77*$D$23</f>
        <v>2.448</v>
      </c>
      <c r="X121" s="48" t="n">
        <f aca="false">X77*$D$23</f>
        <v>2.448</v>
      </c>
      <c r="Y121" s="48" t="n">
        <f aca="false">Y77*$D$23</f>
        <v>2.448</v>
      </c>
      <c r="Z121" s="48" t="n">
        <f aca="false">Z77*$D$23</f>
        <v>2.448</v>
      </c>
      <c r="AA121" s="48" t="n">
        <f aca="false">AA77*$D$23</f>
        <v>2.448</v>
      </c>
      <c r="AB121" s="48" t="n">
        <f aca="false">AB77*$D$23</f>
        <v>2.448</v>
      </c>
      <c r="AC121" s="48" t="n">
        <f aca="false">AC77*$D$23</f>
        <v>2.448</v>
      </c>
      <c r="AD121" s="48" t="n">
        <f aca="false">AD77*$D$23</f>
        <v>2.448</v>
      </c>
      <c r="AE121" s="48" t="n">
        <f aca="false">AE77*$D$23</f>
        <v>2.448</v>
      </c>
      <c r="AF121" s="48" t="n">
        <f aca="false">AF77*$D$23</f>
        <v>2.448</v>
      </c>
      <c r="AG121" s="48" t="n">
        <f aca="false">AG77*$D$23</f>
        <v>2.448</v>
      </c>
      <c r="AH121" s="48" t="n">
        <f aca="false">AH77*$D$23</f>
        <v>2.448</v>
      </c>
      <c r="AI121" s="48" t="n">
        <f aca="false">AI77*$D$23</f>
        <v>2.448</v>
      </c>
      <c r="AJ121" s="48" t="n">
        <f aca="false">AJ77*$D$23</f>
        <v>2.448</v>
      </c>
      <c r="AK121" s="48" t="n">
        <f aca="false">AK77*$D$23</f>
        <v>2.448</v>
      </c>
      <c r="AL121" s="48" t="n">
        <f aca="false">AL77*$D$23</f>
        <v>2.448</v>
      </c>
      <c r="AM121" s="48" t="n">
        <f aca="false">AM77*$D$23</f>
        <v>2.448</v>
      </c>
      <c r="AN121" s="48" t="n">
        <f aca="false">AN77*$D$23</f>
        <v>2.448</v>
      </c>
      <c r="AO121" s="48" t="n">
        <f aca="false">AO77*$D$23</f>
        <v>0</v>
      </c>
      <c r="AP121" s="48" t="n">
        <f aca="false">AP77*$D$23</f>
        <v>0</v>
      </c>
      <c r="AQ121" s="48" t="n">
        <f aca="false">AQ77*$D$23</f>
        <v>0</v>
      </c>
      <c r="AR121" s="48" t="n">
        <f aca="false">AR77*$D$23</f>
        <v>0</v>
      </c>
      <c r="AS121" s="48" t="n">
        <f aca="false">AS77*$D$23</f>
        <v>0</v>
      </c>
      <c r="AT121" s="48" t="n">
        <f aca="false">AT77*$D$23</f>
        <v>0</v>
      </c>
      <c r="AU121" s="48" t="n">
        <f aca="false">AU77*$D$23</f>
        <v>0</v>
      </c>
      <c r="AV121" s="48" t="n">
        <f aca="false">AV77*$D$23</f>
        <v>0</v>
      </c>
      <c r="AW121" s="48" t="n">
        <f aca="false">AW77*$D$23</f>
        <v>0</v>
      </c>
      <c r="AX121" s="48" t="n">
        <f aca="false">AX77*$D$23</f>
        <v>0</v>
      </c>
      <c r="AY121" s="48" t="n">
        <f aca="false">AY77*$D$23</f>
        <v>0</v>
      </c>
      <c r="AZ121" s="48" t="n">
        <f aca="false">AZ77*$D$23</f>
        <v>0</v>
      </c>
      <c r="BA121" s="48" t="n">
        <f aca="false">BA77*$D$23</f>
        <v>0</v>
      </c>
      <c r="BB121" s="48" t="n">
        <f aca="false">BB77*$D$23</f>
        <v>0</v>
      </c>
      <c r="BC121" s="48" t="n">
        <f aca="false">BC77*$D$23</f>
        <v>0</v>
      </c>
      <c r="BD121" s="48" t="n">
        <f aca="false">BD77*$D$23</f>
        <v>0</v>
      </c>
      <c r="BE121" s="48" t="n">
        <f aca="false">BE77*$D$23</f>
        <v>0</v>
      </c>
      <c r="BF121" s="48" t="n">
        <f aca="false">BF77*$D$23</f>
        <v>0</v>
      </c>
      <c r="BG121" s="48" t="n">
        <f aca="false">BG77*$D$23</f>
        <v>0</v>
      </c>
      <c r="BH121" s="48" t="n">
        <f aca="false">BH77*$D$23</f>
        <v>0</v>
      </c>
      <c r="BI121" s="48" t="n">
        <f aca="false">BI77*$D$23</f>
        <v>0</v>
      </c>
      <c r="BJ121" s="48" t="n">
        <f aca="false">BJ77*$D$23</f>
        <v>0</v>
      </c>
      <c r="BK121" s="48" t="n">
        <f aca="false">BK77*$D$23</f>
        <v>0</v>
      </c>
      <c r="BL121" s="48" t="n">
        <f aca="false">BL77*$D$23</f>
        <v>0</v>
      </c>
      <c r="BM121" s="48" t="n">
        <f aca="false">BM77*$D$23</f>
        <v>0</v>
      </c>
      <c r="BN121" s="48" t="n">
        <f aca="false">BN77*$D$23</f>
        <v>0</v>
      </c>
      <c r="BO121" s="48" t="n">
        <f aca="false">BO77*$D$23</f>
        <v>0</v>
      </c>
      <c r="BP121" s="48" t="n">
        <f aca="false">BP77*$D$23</f>
        <v>0</v>
      </c>
      <c r="BQ121" s="48" t="n">
        <f aca="false">BQ77*$D$23</f>
        <v>0</v>
      </c>
      <c r="BR121" s="48" t="n">
        <f aca="false">BR77*$D$23</f>
        <v>0</v>
      </c>
      <c r="BS121" s="48" t="n">
        <f aca="false">BS77*$D$23</f>
        <v>0</v>
      </c>
      <c r="BT121" s="48" t="n">
        <f aca="false">BT77*$D$23</f>
        <v>0</v>
      </c>
      <c r="BU121" s="48" t="n">
        <f aca="false">BU77*$D$23</f>
        <v>0</v>
      </c>
      <c r="BV121" s="48" t="n">
        <f aca="false">BV77*$D$23</f>
        <v>0</v>
      </c>
      <c r="BW121" s="48" t="n">
        <f aca="false">BW77*$D$23</f>
        <v>0</v>
      </c>
      <c r="BX121" s="48" t="n">
        <f aca="false">BX77*$D$23</f>
        <v>0</v>
      </c>
    </row>
    <row r="122" customFormat="false" ht="15" hidden="false" customHeight="false" outlineLevel="0" collapsed="false">
      <c r="A122" s="1"/>
      <c r="B122" s="8" t="s">
        <v>383</v>
      </c>
      <c r="C122" s="8" t="s">
        <v>126</v>
      </c>
      <c r="D122" s="44" t="n">
        <f aca="false">SUM(G122:BX122)</f>
        <v>0</v>
      </c>
      <c r="E122" s="1"/>
      <c r="F122" s="1"/>
      <c r="G122" s="48" t="n">
        <f aca="false">G77*(1-$D$23)</f>
        <v>0</v>
      </c>
      <c r="H122" s="48" t="n">
        <f aca="false">H77*(1-$D$23)</f>
        <v>0</v>
      </c>
      <c r="I122" s="48" t="n">
        <f aca="false">I77*(1-$D$23)</f>
        <v>0</v>
      </c>
      <c r="J122" s="48" t="n">
        <f aca="false">J77*(1-$D$23)</f>
        <v>0</v>
      </c>
      <c r="K122" s="48" t="n">
        <f aca="false">K77*(1-$D$23)</f>
        <v>0</v>
      </c>
      <c r="L122" s="48" t="n">
        <f aca="false">L77*(1-$D$23)</f>
        <v>0</v>
      </c>
      <c r="M122" s="48" t="n">
        <f aca="false">M77*(1-$D$23)</f>
        <v>0</v>
      </c>
      <c r="N122" s="48" t="n">
        <f aca="false">N77*(1-$D$23)</f>
        <v>0</v>
      </c>
      <c r="O122" s="48" t="n">
        <f aca="false">O77*(1-$D$23)</f>
        <v>0</v>
      </c>
      <c r="P122" s="48" t="n">
        <f aca="false">P77*(1-$D$23)</f>
        <v>0</v>
      </c>
      <c r="Q122" s="48" t="n">
        <f aca="false">Q77*(1-$D$23)</f>
        <v>0</v>
      </c>
      <c r="R122" s="48" t="n">
        <f aca="false">R77*(1-$D$23)</f>
        <v>0</v>
      </c>
      <c r="S122" s="48" t="n">
        <f aca="false">S77*(1-$D$23)</f>
        <v>0</v>
      </c>
      <c r="T122" s="48" t="n">
        <f aca="false">T77*(1-$D$23)</f>
        <v>0</v>
      </c>
      <c r="U122" s="48" t="n">
        <f aca="false">U77*(1-$D$23)</f>
        <v>0</v>
      </c>
      <c r="V122" s="48" t="n">
        <f aca="false">V77*(1-$D$23)</f>
        <v>0</v>
      </c>
      <c r="W122" s="48" t="n">
        <f aca="false">W77*(1-$D$23)</f>
        <v>0</v>
      </c>
      <c r="X122" s="48" t="n">
        <f aca="false">X77*(1-$D$23)</f>
        <v>0</v>
      </c>
      <c r="Y122" s="48" t="n">
        <f aca="false">Y77*(1-$D$23)</f>
        <v>0</v>
      </c>
      <c r="Z122" s="48" t="n">
        <f aca="false">Z77*(1-$D$23)</f>
        <v>0</v>
      </c>
      <c r="AA122" s="48" t="n">
        <f aca="false">AA77*(1-$D$23)</f>
        <v>0</v>
      </c>
      <c r="AB122" s="48" t="n">
        <f aca="false">AB77*(1-$D$23)</f>
        <v>0</v>
      </c>
      <c r="AC122" s="48" t="n">
        <f aca="false">AC77*(1-$D$23)</f>
        <v>0</v>
      </c>
      <c r="AD122" s="48" t="n">
        <f aca="false">AD77*(1-$D$23)</f>
        <v>0</v>
      </c>
      <c r="AE122" s="48" t="n">
        <f aca="false">AE77*(1-$D$23)</f>
        <v>0</v>
      </c>
      <c r="AF122" s="48" t="n">
        <f aca="false">AF77*(1-$D$23)</f>
        <v>0</v>
      </c>
      <c r="AG122" s="48" t="n">
        <f aca="false">AG77*(1-$D$23)</f>
        <v>0</v>
      </c>
      <c r="AH122" s="48" t="n">
        <f aca="false">AH77*(1-$D$23)</f>
        <v>0</v>
      </c>
      <c r="AI122" s="48" t="n">
        <f aca="false">AI77*(1-$D$23)</f>
        <v>0</v>
      </c>
      <c r="AJ122" s="48" t="n">
        <f aca="false">AJ77*(1-$D$23)</f>
        <v>0</v>
      </c>
      <c r="AK122" s="48" t="n">
        <f aca="false">AK77*(1-$D$23)</f>
        <v>0</v>
      </c>
      <c r="AL122" s="48" t="n">
        <f aca="false">AL77*(1-$D$23)</f>
        <v>0</v>
      </c>
      <c r="AM122" s="48" t="n">
        <f aca="false">AM77*(1-$D$23)</f>
        <v>0</v>
      </c>
      <c r="AN122" s="48" t="n">
        <f aca="false">AN77*(1-$D$23)</f>
        <v>0</v>
      </c>
      <c r="AO122" s="48" t="n">
        <f aca="false">AO77*(1-$D$23)</f>
        <v>0</v>
      </c>
      <c r="AP122" s="48" t="n">
        <f aca="false">AP77*(1-$D$23)</f>
        <v>0</v>
      </c>
      <c r="AQ122" s="48" t="n">
        <f aca="false">AQ77*(1-$D$23)</f>
        <v>0</v>
      </c>
      <c r="AR122" s="48" t="n">
        <f aca="false">AR77*(1-$D$23)</f>
        <v>0</v>
      </c>
      <c r="AS122" s="48" t="n">
        <f aca="false">AS77*(1-$D$23)</f>
        <v>0</v>
      </c>
      <c r="AT122" s="48" t="n">
        <f aca="false">AT77*(1-$D$23)</f>
        <v>0</v>
      </c>
      <c r="AU122" s="48" t="n">
        <f aca="false">AU77*(1-$D$23)</f>
        <v>0</v>
      </c>
      <c r="AV122" s="48" t="n">
        <f aca="false">AV77*(1-$D$23)</f>
        <v>0</v>
      </c>
      <c r="AW122" s="48" t="n">
        <f aca="false">AW77*(1-$D$23)</f>
        <v>0</v>
      </c>
      <c r="AX122" s="48" t="n">
        <f aca="false">AX77*(1-$D$23)</f>
        <v>0</v>
      </c>
      <c r="AY122" s="48" t="n">
        <f aca="false">AY77*(1-$D$23)</f>
        <v>0</v>
      </c>
      <c r="AZ122" s="48" t="n">
        <f aca="false">AZ77*(1-$D$23)</f>
        <v>0</v>
      </c>
      <c r="BA122" s="48" t="n">
        <f aca="false">BA77*(1-$D$23)</f>
        <v>0</v>
      </c>
      <c r="BB122" s="48" t="n">
        <f aca="false">BB77*(1-$D$23)</f>
        <v>0</v>
      </c>
      <c r="BC122" s="48" t="n">
        <f aca="false">BC77*(1-$D$23)</f>
        <v>0</v>
      </c>
      <c r="BD122" s="48" t="n">
        <f aca="false">BD77*(1-$D$23)</f>
        <v>0</v>
      </c>
      <c r="BE122" s="48" t="n">
        <f aca="false">BE77*(1-$D$23)</f>
        <v>0</v>
      </c>
      <c r="BF122" s="48" t="n">
        <f aca="false">BF77*(1-$D$23)</f>
        <v>0</v>
      </c>
      <c r="BG122" s="48" t="n">
        <f aca="false">BG77*(1-$D$23)</f>
        <v>0</v>
      </c>
      <c r="BH122" s="48" t="n">
        <f aca="false">BH77*(1-$D$23)</f>
        <v>0</v>
      </c>
      <c r="BI122" s="48" t="n">
        <f aca="false">BI77*(1-$D$23)</f>
        <v>0</v>
      </c>
      <c r="BJ122" s="48" t="n">
        <f aca="false">BJ77*(1-$D$23)</f>
        <v>0</v>
      </c>
      <c r="BK122" s="48" t="n">
        <f aca="false">BK77*(1-$D$23)</f>
        <v>0</v>
      </c>
      <c r="BL122" s="48" t="n">
        <f aca="false">BL77*(1-$D$23)</f>
        <v>0</v>
      </c>
      <c r="BM122" s="48" t="n">
        <f aca="false">BM77*(1-$D$23)</f>
        <v>0</v>
      </c>
      <c r="BN122" s="48" t="n">
        <f aca="false">BN77*(1-$D$23)</f>
        <v>0</v>
      </c>
      <c r="BO122" s="48" t="n">
        <f aca="false">BO77*(1-$D$23)</f>
        <v>0</v>
      </c>
      <c r="BP122" s="48" t="n">
        <f aca="false">BP77*(1-$D$23)</f>
        <v>0</v>
      </c>
      <c r="BQ122" s="48" t="n">
        <f aca="false">BQ77*(1-$D$23)</f>
        <v>0</v>
      </c>
      <c r="BR122" s="48" t="n">
        <f aca="false">BR77*(1-$D$23)</f>
        <v>0</v>
      </c>
      <c r="BS122" s="48" t="n">
        <f aca="false">BS77*(1-$D$23)</f>
        <v>0</v>
      </c>
      <c r="BT122" s="48" t="n">
        <f aca="false">BT77*(1-$D$23)</f>
        <v>0</v>
      </c>
      <c r="BU122" s="48" t="n">
        <f aca="false">BU77*(1-$D$23)</f>
        <v>0</v>
      </c>
      <c r="BV122" s="48" t="n">
        <f aca="false">BV77*(1-$D$23)</f>
        <v>0</v>
      </c>
      <c r="BW122" s="48" t="n">
        <f aca="false">BW77*(1-$D$23)</f>
        <v>0</v>
      </c>
      <c r="BX122" s="48" t="n">
        <f aca="false">BX77*(1-$D$23)</f>
        <v>0</v>
      </c>
    </row>
    <row r="123" customFormat="false" ht="15" hidden="false" customHeight="false" outlineLevel="0" collapsed="false">
      <c r="A123" s="1"/>
      <c r="B123" s="8" t="s">
        <v>384</v>
      </c>
      <c r="C123" s="8" t="s">
        <v>126</v>
      </c>
      <c r="D123" s="44" t="n">
        <f aca="false">SUM(G123:BX123)</f>
        <v>0</v>
      </c>
      <c r="E123" s="1"/>
      <c r="F123" s="1"/>
      <c r="G123" s="48" t="n">
        <f aca="false">G92*Input!$H$147</f>
        <v>0</v>
      </c>
      <c r="H123" s="48" t="n">
        <f aca="false">H92*Input!$H$147</f>
        <v>0</v>
      </c>
      <c r="I123" s="48" t="n">
        <f aca="false">I92*Input!$H$147</f>
        <v>0</v>
      </c>
      <c r="J123" s="48" t="n">
        <f aca="false">J92*Input!$H$147</f>
        <v>0</v>
      </c>
      <c r="K123" s="48" t="n">
        <f aca="false">K92*Input!$H$147</f>
        <v>0</v>
      </c>
      <c r="L123" s="48" t="n">
        <f aca="false">L92*Input!$H$147</f>
        <v>0</v>
      </c>
      <c r="M123" s="48" t="n">
        <f aca="false">M92*Input!$H$147</f>
        <v>0</v>
      </c>
      <c r="N123" s="48" t="n">
        <f aca="false">N92*Input!$H$147</f>
        <v>0</v>
      </c>
      <c r="O123" s="48" t="n">
        <f aca="false">O92*Input!$H$147</f>
        <v>0</v>
      </c>
      <c r="P123" s="48" t="n">
        <f aca="false">P92*Input!$H$147</f>
        <v>0</v>
      </c>
      <c r="Q123" s="48" t="n">
        <f aca="false">Q92*Input!$H$147</f>
        <v>0</v>
      </c>
      <c r="R123" s="48" t="n">
        <f aca="false">R92*Input!$H$147</f>
        <v>0</v>
      </c>
      <c r="S123" s="48" t="n">
        <f aca="false">S92*Input!$H$147</f>
        <v>0</v>
      </c>
      <c r="T123" s="48" t="n">
        <f aca="false">T92*Input!$H$147</f>
        <v>0</v>
      </c>
      <c r="U123" s="48" t="n">
        <f aca="false">U92*Input!$H$147</f>
        <v>0</v>
      </c>
      <c r="V123" s="48" t="n">
        <f aca="false">V92*Input!$H$147</f>
        <v>0</v>
      </c>
      <c r="W123" s="48" t="n">
        <f aca="false">W92*Input!$H$147</f>
        <v>0</v>
      </c>
      <c r="X123" s="48" t="n">
        <f aca="false">X92*Input!$H$147</f>
        <v>0</v>
      </c>
      <c r="Y123" s="48" t="n">
        <f aca="false">Y92*Input!$H$147</f>
        <v>0</v>
      </c>
      <c r="Z123" s="48" t="n">
        <f aca="false">Z92*Input!$H$147</f>
        <v>0</v>
      </c>
      <c r="AA123" s="48" t="n">
        <f aca="false">AA92*Input!$H$147</f>
        <v>0</v>
      </c>
      <c r="AB123" s="48" t="n">
        <f aca="false">AB92*Input!$H$147</f>
        <v>0</v>
      </c>
      <c r="AC123" s="48" t="n">
        <f aca="false">AC92*Input!$H$147</f>
        <v>0</v>
      </c>
      <c r="AD123" s="48" t="n">
        <f aca="false">AD92*Input!$H$147</f>
        <v>0</v>
      </c>
      <c r="AE123" s="48" t="n">
        <f aca="false">AE92*Input!$H$147</f>
        <v>0</v>
      </c>
      <c r="AF123" s="48" t="n">
        <f aca="false">AF92*Input!$H$147</f>
        <v>0</v>
      </c>
      <c r="AG123" s="48" t="n">
        <f aca="false">AG92*Input!$H$147</f>
        <v>0</v>
      </c>
      <c r="AH123" s="48" t="n">
        <f aca="false">AH92*Input!$H$147</f>
        <v>0</v>
      </c>
      <c r="AI123" s="48" t="n">
        <f aca="false">AI92*Input!$H$147</f>
        <v>0</v>
      </c>
      <c r="AJ123" s="48" t="n">
        <f aca="false">AJ92*Input!$H$147</f>
        <v>0</v>
      </c>
      <c r="AK123" s="48" t="n">
        <f aca="false">AK92*Input!$H$147</f>
        <v>0</v>
      </c>
      <c r="AL123" s="48" t="n">
        <f aca="false">AL92*Input!$H$147</f>
        <v>0</v>
      </c>
      <c r="AM123" s="48" t="n">
        <f aca="false">AM92*Input!$H$147</f>
        <v>0</v>
      </c>
      <c r="AN123" s="48" t="n">
        <f aca="false">AN92*Input!$H$147</f>
        <v>0</v>
      </c>
      <c r="AO123" s="48" t="n">
        <f aca="false">AO92*Input!$H$147</f>
        <v>0</v>
      </c>
      <c r="AP123" s="48" t="n">
        <f aca="false">AP92*Input!$H$147</f>
        <v>0</v>
      </c>
      <c r="AQ123" s="48" t="n">
        <f aca="false">AQ92*Input!$H$147</f>
        <v>0</v>
      </c>
      <c r="AR123" s="48" t="n">
        <f aca="false">AR92*Input!$H$147</f>
        <v>0</v>
      </c>
      <c r="AS123" s="48" t="n">
        <f aca="false">AS92*Input!$H$147</f>
        <v>0</v>
      </c>
      <c r="AT123" s="48" t="n">
        <f aca="false">AT92*Input!$H$147</f>
        <v>0</v>
      </c>
      <c r="AU123" s="48" t="n">
        <f aca="false">AU92*Input!$H$147</f>
        <v>0</v>
      </c>
      <c r="AV123" s="48" t="n">
        <f aca="false">AV92*Input!$H$147</f>
        <v>0</v>
      </c>
      <c r="AW123" s="48" t="n">
        <f aca="false">AW92*Input!$H$147</f>
        <v>0</v>
      </c>
      <c r="AX123" s="48" t="n">
        <f aca="false">AX92*Input!$H$147</f>
        <v>0</v>
      </c>
      <c r="AY123" s="48" t="n">
        <f aca="false">AY92*Input!$H$147</f>
        <v>0</v>
      </c>
      <c r="AZ123" s="48" t="n">
        <f aca="false">AZ92*Input!$H$147</f>
        <v>0</v>
      </c>
      <c r="BA123" s="48" t="n">
        <f aca="false">BA92*Input!$H$147</f>
        <v>0</v>
      </c>
      <c r="BB123" s="48" t="n">
        <f aca="false">BB92*Input!$H$147</f>
        <v>0</v>
      </c>
      <c r="BC123" s="48" t="n">
        <f aca="false">BC92*Input!$H$147</f>
        <v>0</v>
      </c>
      <c r="BD123" s="48" t="n">
        <f aca="false">BD92*Input!$H$147</f>
        <v>0</v>
      </c>
      <c r="BE123" s="48" t="n">
        <f aca="false">BE92*Input!$H$147</f>
        <v>0</v>
      </c>
      <c r="BF123" s="48" t="n">
        <f aca="false">BF92*Input!$H$147</f>
        <v>0</v>
      </c>
      <c r="BG123" s="48" t="n">
        <f aca="false">BG92*Input!$H$147</f>
        <v>0</v>
      </c>
      <c r="BH123" s="48" t="n">
        <f aca="false">BH92*Input!$H$147</f>
        <v>0</v>
      </c>
      <c r="BI123" s="48" t="n">
        <f aca="false">BI92*Input!$H$147</f>
        <v>0</v>
      </c>
      <c r="BJ123" s="48" t="n">
        <f aca="false">BJ92*Input!$H$147</f>
        <v>0</v>
      </c>
      <c r="BK123" s="48" t="n">
        <f aca="false">BK92*Input!$H$147</f>
        <v>0</v>
      </c>
      <c r="BL123" s="48" t="n">
        <f aca="false">BL92*Input!$H$147</f>
        <v>0</v>
      </c>
      <c r="BM123" s="48" t="n">
        <f aca="false">BM92*Input!$H$147</f>
        <v>0</v>
      </c>
      <c r="BN123" s="48" t="n">
        <f aca="false">BN92*Input!$H$147</f>
        <v>0</v>
      </c>
      <c r="BO123" s="48" t="n">
        <f aca="false">BO92*Input!$H$147</f>
        <v>0</v>
      </c>
      <c r="BP123" s="48" t="n">
        <f aca="false">BP92*Input!$H$147</f>
        <v>0</v>
      </c>
      <c r="BQ123" s="48" t="n">
        <f aca="false">BQ92*Input!$H$147</f>
        <v>0</v>
      </c>
      <c r="BR123" s="48" t="n">
        <f aca="false">BR92*Input!$H$147</f>
        <v>0</v>
      </c>
      <c r="BS123" s="48" t="n">
        <f aca="false">BS92*Input!$H$147</f>
        <v>0</v>
      </c>
      <c r="BT123" s="48" t="n">
        <f aca="false">BT92*Input!$H$147</f>
        <v>0</v>
      </c>
      <c r="BU123" s="48" t="n">
        <f aca="false">BU92*Input!$H$147</f>
        <v>0</v>
      </c>
      <c r="BV123" s="48" t="n">
        <f aca="false">BV92*Input!$H$147</f>
        <v>0</v>
      </c>
      <c r="BW123" s="48" t="n">
        <f aca="false">BW92*Input!$H$147</f>
        <v>0</v>
      </c>
      <c r="BX123" s="48" t="n">
        <f aca="false">BX92*Input!$H$147</f>
        <v>0</v>
      </c>
    </row>
    <row r="124" customFormat="false" ht="15" hidden="false" customHeight="false" outlineLevel="0" collapsed="false">
      <c r="A124" s="1"/>
      <c r="B124" s="8" t="s">
        <v>385</v>
      </c>
      <c r="C124" s="8" t="s">
        <v>126</v>
      </c>
      <c r="D124" s="44" t="n">
        <f aca="false">SUM(G124:BX124)</f>
        <v>0</v>
      </c>
      <c r="E124" s="1"/>
      <c r="F124" s="1"/>
      <c r="G124" s="48" t="n">
        <f aca="false">G92*Input!$H$148</f>
        <v>0</v>
      </c>
      <c r="H124" s="48" t="n">
        <f aca="false">H92*Input!$H$148</f>
        <v>0</v>
      </c>
      <c r="I124" s="48" t="n">
        <f aca="false">I92*Input!$H$148</f>
        <v>0</v>
      </c>
      <c r="J124" s="48" t="n">
        <f aca="false">J92*Input!$H$148</f>
        <v>0</v>
      </c>
      <c r="K124" s="48" t="n">
        <f aca="false">K92*Input!$H$148</f>
        <v>0</v>
      </c>
      <c r="L124" s="48" t="n">
        <f aca="false">L92*Input!$H$148</f>
        <v>0</v>
      </c>
      <c r="M124" s="48" t="n">
        <f aca="false">M92*Input!$H$148</f>
        <v>0</v>
      </c>
      <c r="N124" s="48" t="n">
        <f aca="false">N92*Input!$H$148</f>
        <v>0</v>
      </c>
      <c r="O124" s="48" t="n">
        <f aca="false">O92*Input!$H$148</f>
        <v>0</v>
      </c>
      <c r="P124" s="48" t="n">
        <f aca="false">P92*Input!$H$148</f>
        <v>0</v>
      </c>
      <c r="Q124" s="48" t="n">
        <f aca="false">Q92*Input!$H$148</f>
        <v>0</v>
      </c>
      <c r="R124" s="48" t="n">
        <f aca="false">R92*Input!$H$148</f>
        <v>0</v>
      </c>
      <c r="S124" s="48" t="n">
        <f aca="false">S92*Input!$H$148</f>
        <v>0</v>
      </c>
      <c r="T124" s="48" t="n">
        <f aca="false">T92*Input!$H$148</f>
        <v>0</v>
      </c>
      <c r="U124" s="48" t="n">
        <f aca="false">U92*Input!$H$148</f>
        <v>0</v>
      </c>
      <c r="V124" s="48" t="n">
        <f aca="false">V92*Input!$H$148</f>
        <v>0</v>
      </c>
      <c r="W124" s="48" t="n">
        <f aca="false">W92*Input!$H$148</f>
        <v>0</v>
      </c>
      <c r="X124" s="48" t="n">
        <f aca="false">X92*Input!$H$148</f>
        <v>0</v>
      </c>
      <c r="Y124" s="48" t="n">
        <f aca="false">Y92*Input!$H$148</f>
        <v>0</v>
      </c>
      <c r="Z124" s="48" t="n">
        <f aca="false">Z92*Input!$H$148</f>
        <v>0</v>
      </c>
      <c r="AA124" s="48" t="n">
        <f aca="false">AA92*Input!$H$148</f>
        <v>0</v>
      </c>
      <c r="AB124" s="48" t="n">
        <f aca="false">AB92*Input!$H$148</f>
        <v>0</v>
      </c>
      <c r="AC124" s="48" t="n">
        <f aca="false">AC92*Input!$H$148</f>
        <v>0</v>
      </c>
      <c r="AD124" s="48" t="n">
        <f aca="false">AD92*Input!$H$148</f>
        <v>0</v>
      </c>
      <c r="AE124" s="48" t="n">
        <f aca="false">AE92*Input!$H$148</f>
        <v>0</v>
      </c>
      <c r="AF124" s="48" t="n">
        <f aca="false">AF92*Input!$H$148</f>
        <v>0</v>
      </c>
      <c r="AG124" s="48" t="n">
        <f aca="false">AG92*Input!$H$148</f>
        <v>0</v>
      </c>
      <c r="AH124" s="48" t="n">
        <f aca="false">AH92*Input!$H$148</f>
        <v>0</v>
      </c>
      <c r="AI124" s="48" t="n">
        <f aca="false">AI92*Input!$H$148</f>
        <v>0</v>
      </c>
      <c r="AJ124" s="48" t="n">
        <f aca="false">AJ92*Input!$H$148</f>
        <v>0</v>
      </c>
      <c r="AK124" s="48" t="n">
        <f aca="false">AK92*Input!$H$148</f>
        <v>0</v>
      </c>
      <c r="AL124" s="48" t="n">
        <f aca="false">AL92*Input!$H$148</f>
        <v>0</v>
      </c>
      <c r="AM124" s="48" t="n">
        <f aca="false">AM92*Input!$H$148</f>
        <v>0</v>
      </c>
      <c r="AN124" s="48" t="n">
        <f aca="false">AN92*Input!$H$148</f>
        <v>0</v>
      </c>
      <c r="AO124" s="48" t="n">
        <f aca="false">AO92*Input!$H$148</f>
        <v>0</v>
      </c>
      <c r="AP124" s="48" t="n">
        <f aca="false">AP92*Input!$H$148</f>
        <v>0</v>
      </c>
      <c r="AQ124" s="48" t="n">
        <f aca="false">AQ92*Input!$H$148</f>
        <v>0</v>
      </c>
      <c r="AR124" s="48" t="n">
        <f aca="false">AR92*Input!$H$148</f>
        <v>0</v>
      </c>
      <c r="AS124" s="48" t="n">
        <f aca="false">AS92*Input!$H$148</f>
        <v>0</v>
      </c>
      <c r="AT124" s="48" t="n">
        <f aca="false">AT92*Input!$H$148</f>
        <v>0</v>
      </c>
      <c r="AU124" s="48" t="n">
        <f aca="false">AU92*Input!$H$148</f>
        <v>0</v>
      </c>
      <c r="AV124" s="48" t="n">
        <f aca="false">AV92*Input!$H$148</f>
        <v>0</v>
      </c>
      <c r="AW124" s="48" t="n">
        <f aca="false">AW92*Input!$H$148</f>
        <v>0</v>
      </c>
      <c r="AX124" s="48" t="n">
        <f aca="false">AX92*Input!$H$148</f>
        <v>0</v>
      </c>
      <c r="AY124" s="48" t="n">
        <f aca="false">AY92*Input!$H$148</f>
        <v>0</v>
      </c>
      <c r="AZ124" s="48" t="n">
        <f aca="false">AZ92*Input!$H$148</f>
        <v>0</v>
      </c>
      <c r="BA124" s="48" t="n">
        <f aca="false">BA92*Input!$H$148</f>
        <v>0</v>
      </c>
      <c r="BB124" s="48" t="n">
        <f aca="false">BB92*Input!$H$148</f>
        <v>0</v>
      </c>
      <c r="BC124" s="48" t="n">
        <f aca="false">BC92*Input!$H$148</f>
        <v>0</v>
      </c>
      <c r="BD124" s="48" t="n">
        <f aca="false">BD92*Input!$H$148</f>
        <v>0</v>
      </c>
      <c r="BE124" s="48" t="n">
        <f aca="false">BE92*Input!$H$148</f>
        <v>0</v>
      </c>
      <c r="BF124" s="48" t="n">
        <f aca="false">BF92*Input!$H$148</f>
        <v>0</v>
      </c>
      <c r="BG124" s="48" t="n">
        <f aca="false">BG92*Input!$H$148</f>
        <v>0</v>
      </c>
      <c r="BH124" s="48" t="n">
        <f aca="false">BH92*Input!$H$148</f>
        <v>0</v>
      </c>
      <c r="BI124" s="48" t="n">
        <f aca="false">BI92*Input!$H$148</f>
        <v>0</v>
      </c>
      <c r="BJ124" s="48" t="n">
        <f aca="false">BJ92*Input!$H$148</f>
        <v>0</v>
      </c>
      <c r="BK124" s="48" t="n">
        <f aca="false">BK92*Input!$H$148</f>
        <v>0</v>
      </c>
      <c r="BL124" s="48" t="n">
        <f aca="false">BL92*Input!$H$148</f>
        <v>0</v>
      </c>
      <c r="BM124" s="48" t="n">
        <f aca="false">BM92*Input!$H$148</f>
        <v>0</v>
      </c>
      <c r="BN124" s="48" t="n">
        <f aca="false">BN92*Input!$H$148</f>
        <v>0</v>
      </c>
      <c r="BO124" s="48" t="n">
        <f aca="false">BO92*Input!$H$148</f>
        <v>0</v>
      </c>
      <c r="BP124" s="48" t="n">
        <f aca="false">BP92*Input!$H$148</f>
        <v>0</v>
      </c>
      <c r="BQ124" s="48" t="n">
        <f aca="false">BQ92*Input!$H$148</f>
        <v>0</v>
      </c>
      <c r="BR124" s="48" t="n">
        <f aca="false">BR92*Input!$H$148</f>
        <v>0</v>
      </c>
      <c r="BS124" s="48" t="n">
        <f aca="false">BS92*Input!$H$148</f>
        <v>0</v>
      </c>
      <c r="BT124" s="48" t="n">
        <f aca="false">BT92*Input!$H$148</f>
        <v>0</v>
      </c>
      <c r="BU124" s="48" t="n">
        <f aca="false">BU92*Input!$H$148</f>
        <v>0</v>
      </c>
      <c r="BV124" s="48" t="n">
        <f aca="false">BV92*Input!$H$148</f>
        <v>0</v>
      </c>
      <c r="BW124" s="48" t="n">
        <f aca="false">BW92*Input!$H$148</f>
        <v>0</v>
      </c>
      <c r="BX124" s="48" t="n">
        <f aca="false">BX92*Input!$H$148</f>
        <v>0</v>
      </c>
    </row>
    <row r="125" customFormat="false" ht="15" hidden="false" customHeight="false" outlineLevel="0" collapsed="false">
      <c r="A125" s="1"/>
      <c r="B125" s="8" t="s">
        <v>386</v>
      </c>
      <c r="C125" s="8" t="s">
        <v>126</v>
      </c>
      <c r="D125" s="44" t="n">
        <f aca="false">SUM(G125:BX125)</f>
        <v>0</v>
      </c>
      <c r="E125" s="1"/>
      <c r="F125" s="1"/>
      <c r="G125" s="48" t="n">
        <f aca="false">G92*Input!$H$149</f>
        <v>0</v>
      </c>
      <c r="H125" s="48" t="n">
        <f aca="false">H92*Input!$H$149</f>
        <v>0</v>
      </c>
      <c r="I125" s="48" t="n">
        <f aca="false">I92*Input!$H$149</f>
        <v>0</v>
      </c>
      <c r="J125" s="48" t="n">
        <f aca="false">J92*Input!$H$149</f>
        <v>0</v>
      </c>
      <c r="K125" s="48" t="n">
        <f aca="false">K92*Input!$H$149</f>
        <v>0</v>
      </c>
      <c r="L125" s="48" t="n">
        <f aca="false">L92*Input!$H$149</f>
        <v>0</v>
      </c>
      <c r="M125" s="48" t="n">
        <f aca="false">M92*Input!$H$149</f>
        <v>0</v>
      </c>
      <c r="N125" s="48" t="n">
        <f aca="false">N92*Input!$H$149</f>
        <v>0</v>
      </c>
      <c r="O125" s="48" t="n">
        <f aca="false">O92*Input!$H$149</f>
        <v>0</v>
      </c>
      <c r="P125" s="48" t="n">
        <f aca="false">P92*Input!$H$149</f>
        <v>0</v>
      </c>
      <c r="Q125" s="48" t="n">
        <f aca="false">Q92*Input!$H$149</f>
        <v>0</v>
      </c>
      <c r="R125" s="48" t="n">
        <f aca="false">R92*Input!$H$149</f>
        <v>0</v>
      </c>
      <c r="S125" s="48" t="n">
        <f aca="false">S92*Input!$H$149</f>
        <v>0</v>
      </c>
      <c r="T125" s="48" t="n">
        <f aca="false">T92*Input!$H$149</f>
        <v>0</v>
      </c>
      <c r="U125" s="48" t="n">
        <f aca="false">U92*Input!$H$149</f>
        <v>0</v>
      </c>
      <c r="V125" s="48" t="n">
        <f aca="false">V92*Input!$H$149</f>
        <v>0</v>
      </c>
      <c r="W125" s="48" t="n">
        <f aca="false">W92*Input!$H$149</f>
        <v>0</v>
      </c>
      <c r="X125" s="48" t="n">
        <f aca="false">X92*Input!$H$149</f>
        <v>0</v>
      </c>
      <c r="Y125" s="48" t="n">
        <f aca="false">Y92*Input!$H$149</f>
        <v>0</v>
      </c>
      <c r="Z125" s="48" t="n">
        <f aca="false">Z92*Input!$H$149</f>
        <v>0</v>
      </c>
      <c r="AA125" s="48" t="n">
        <f aca="false">AA92*Input!$H$149</f>
        <v>0</v>
      </c>
      <c r="AB125" s="48" t="n">
        <f aca="false">AB92*Input!$H$149</f>
        <v>0</v>
      </c>
      <c r="AC125" s="48" t="n">
        <f aca="false">AC92*Input!$H$149</f>
        <v>0</v>
      </c>
      <c r="AD125" s="48" t="n">
        <f aca="false">AD92*Input!$H$149</f>
        <v>0</v>
      </c>
      <c r="AE125" s="48" t="n">
        <f aca="false">AE92*Input!$H$149</f>
        <v>0</v>
      </c>
      <c r="AF125" s="48" t="n">
        <f aca="false">AF92*Input!$H$149</f>
        <v>0</v>
      </c>
      <c r="AG125" s="48" t="n">
        <f aca="false">AG92*Input!$H$149</f>
        <v>0</v>
      </c>
      <c r="AH125" s="48" t="n">
        <f aca="false">AH92*Input!$H$149</f>
        <v>0</v>
      </c>
      <c r="AI125" s="48" t="n">
        <f aca="false">AI92*Input!$H$149</f>
        <v>0</v>
      </c>
      <c r="AJ125" s="48" t="n">
        <f aca="false">AJ92*Input!$H$149</f>
        <v>0</v>
      </c>
      <c r="AK125" s="48" t="n">
        <f aca="false">AK92*Input!$H$149</f>
        <v>0</v>
      </c>
      <c r="AL125" s="48" t="n">
        <f aca="false">AL92*Input!$H$149</f>
        <v>0</v>
      </c>
      <c r="AM125" s="48" t="n">
        <f aca="false">AM92*Input!$H$149</f>
        <v>0</v>
      </c>
      <c r="AN125" s="48" t="n">
        <f aca="false">AN92*Input!$H$149</f>
        <v>0</v>
      </c>
      <c r="AO125" s="48" t="n">
        <f aca="false">AO92*Input!$H$149</f>
        <v>0</v>
      </c>
      <c r="AP125" s="48" t="n">
        <f aca="false">AP92*Input!$H$149</f>
        <v>0</v>
      </c>
      <c r="AQ125" s="48" t="n">
        <f aca="false">AQ92*Input!$H$149</f>
        <v>0</v>
      </c>
      <c r="AR125" s="48" t="n">
        <f aca="false">AR92*Input!$H$149</f>
        <v>0</v>
      </c>
      <c r="AS125" s="48" t="n">
        <f aca="false">AS92*Input!$H$149</f>
        <v>0</v>
      </c>
      <c r="AT125" s="48" t="n">
        <f aca="false">AT92*Input!$H$149</f>
        <v>0</v>
      </c>
      <c r="AU125" s="48" t="n">
        <f aca="false">AU92*Input!$H$149</f>
        <v>0</v>
      </c>
      <c r="AV125" s="48" t="n">
        <f aca="false">AV92*Input!$H$149</f>
        <v>0</v>
      </c>
      <c r="AW125" s="48" t="n">
        <f aca="false">AW92*Input!$H$149</f>
        <v>0</v>
      </c>
      <c r="AX125" s="48" t="n">
        <f aca="false">AX92*Input!$H$149</f>
        <v>0</v>
      </c>
      <c r="AY125" s="48" t="n">
        <f aca="false">AY92*Input!$H$149</f>
        <v>0</v>
      </c>
      <c r="AZ125" s="48" t="n">
        <f aca="false">AZ92*Input!$H$149</f>
        <v>0</v>
      </c>
      <c r="BA125" s="48" t="n">
        <f aca="false">BA92*Input!$H$149</f>
        <v>0</v>
      </c>
      <c r="BB125" s="48" t="n">
        <f aca="false">BB92*Input!$H$149</f>
        <v>0</v>
      </c>
      <c r="BC125" s="48" t="n">
        <f aca="false">BC92*Input!$H$149</f>
        <v>0</v>
      </c>
      <c r="BD125" s="48" t="n">
        <f aca="false">BD92*Input!$H$149</f>
        <v>0</v>
      </c>
      <c r="BE125" s="48" t="n">
        <f aca="false">BE92*Input!$H$149</f>
        <v>0</v>
      </c>
      <c r="BF125" s="48" t="n">
        <f aca="false">BF92*Input!$H$149</f>
        <v>0</v>
      </c>
      <c r="BG125" s="48" t="n">
        <f aca="false">BG92*Input!$H$149</f>
        <v>0</v>
      </c>
      <c r="BH125" s="48" t="n">
        <f aca="false">BH92*Input!$H$149</f>
        <v>0</v>
      </c>
      <c r="BI125" s="48" t="n">
        <f aca="false">BI92*Input!$H$149</f>
        <v>0</v>
      </c>
      <c r="BJ125" s="48" t="n">
        <f aca="false">BJ92*Input!$H$149</f>
        <v>0</v>
      </c>
      <c r="BK125" s="48" t="n">
        <f aca="false">BK92*Input!$H$149</f>
        <v>0</v>
      </c>
      <c r="BL125" s="48" t="n">
        <f aca="false">BL92*Input!$H$149</f>
        <v>0</v>
      </c>
      <c r="BM125" s="48" t="n">
        <f aca="false">BM92*Input!$H$149</f>
        <v>0</v>
      </c>
      <c r="BN125" s="48" t="n">
        <f aca="false">BN92*Input!$H$149</f>
        <v>0</v>
      </c>
      <c r="BO125" s="48" t="n">
        <f aca="false">BO92*Input!$H$149</f>
        <v>0</v>
      </c>
      <c r="BP125" s="48" t="n">
        <f aca="false">BP92*Input!$H$149</f>
        <v>0</v>
      </c>
      <c r="BQ125" s="48" t="n">
        <f aca="false">BQ92*Input!$H$149</f>
        <v>0</v>
      </c>
      <c r="BR125" s="48" t="n">
        <f aca="false">BR92*Input!$H$149</f>
        <v>0</v>
      </c>
      <c r="BS125" s="48" t="n">
        <f aca="false">BS92*Input!$H$149</f>
        <v>0</v>
      </c>
      <c r="BT125" s="48" t="n">
        <f aca="false">BT92*Input!$H$149</f>
        <v>0</v>
      </c>
      <c r="BU125" s="48" t="n">
        <f aca="false">BU92*Input!$H$149</f>
        <v>0</v>
      </c>
      <c r="BV125" s="48" t="n">
        <f aca="false">BV92*Input!$H$149</f>
        <v>0</v>
      </c>
      <c r="BW125" s="48" t="n">
        <f aca="false">BW92*Input!$H$149</f>
        <v>0</v>
      </c>
      <c r="BX125" s="48" t="n">
        <f aca="false">BX92*Input!$H$149</f>
        <v>0</v>
      </c>
    </row>
    <row r="126" customFormat="false" ht="15" hidden="false" customHeight="false" outlineLevel="0" collapsed="false">
      <c r="A126" s="1"/>
      <c r="B126" s="8" t="s">
        <v>387</v>
      </c>
      <c r="C126" s="1"/>
      <c r="D126" s="48" t="n">
        <f aca="false">$D$20*1000/(1+Input!$H$154)</f>
        <v>166002.656042497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</row>
    <row r="127" customFormat="false" ht="15" hidden="false" customHeight="false" outlineLevel="0" collapsed="false">
      <c r="A127" s="1"/>
      <c r="B127" s="8" t="s">
        <v>388</v>
      </c>
      <c r="C127" s="1"/>
      <c r="D127" s="48" t="n">
        <f aca="false">$D$126*(1-Input!$H$153)</f>
        <v>143243.69189907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</row>
    <row r="128" customFormat="false" ht="15" hidden="false" customHeight="false" outlineLevel="0" collapsed="false">
      <c r="A128" s="1"/>
      <c r="B128" s="8" t="s">
        <v>389</v>
      </c>
      <c r="C128" s="1"/>
      <c r="D128" s="48" t="n">
        <f aca="false">MAX(Input!$H$156*MIN($D$127,Input!$H$155)+Input!$H$157*MAX($D$127-Input!$H$155,0)-Input!$H$158,0)</f>
        <v>18237.9814077025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</row>
    <row r="129" customFormat="false" ht="15" hidden="false" customHeight="false" outlineLevel="0" collapsed="false">
      <c r="A129" s="1"/>
      <c r="B129" s="8" t="s">
        <v>390</v>
      </c>
      <c r="C129" s="1"/>
      <c r="D129" s="48" t="n">
        <f aca="false">Input!$H$160*12*(1-Input!$H$153)</f>
        <v>93193.2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</row>
    <row r="130" customFormat="false" ht="15" hidden="false" customHeight="false" outlineLevel="0" collapsed="false">
      <c r="A130" s="1"/>
      <c r="B130" s="8" t="s">
        <v>391</v>
      </c>
      <c r="C130" s="8" t="s">
        <v>126</v>
      </c>
      <c r="D130" s="44" t="n">
        <f aca="false">SUM(G130:BX130)</f>
        <v>3.52274627689243</v>
      </c>
      <c r="E130" s="1"/>
      <c r="F130" s="1"/>
      <c r="G130" s="48" t="n">
        <f aca="false">(G38*$D$19*$D$127*Input!$H$159+G37*$D$32*G43/MAX($G$43:$BX$43)*$D$129*Input!$H$161)*Input!$H$150/1000000</f>
        <v>0</v>
      </c>
      <c r="H130" s="48" t="n">
        <f aca="false">(H38*$D$19*$D$127*Input!$H$159+H37*$D$32*H43/MAX($G$43:$BX$43)*$D$129*Input!$H$161)*Input!$H$150/1000000</f>
        <v>0</v>
      </c>
      <c r="I130" s="48" t="n">
        <f aca="false">(I38*$D$19*$D$127*Input!$H$159+I37*$D$32*I43/MAX($G$43:$BX$43)*$D$129*Input!$H$161)*Input!$H$150/1000000</f>
        <v>0.3261762</v>
      </c>
      <c r="J130" s="48" t="n">
        <f aca="false">(J38*$D$19*$D$127*Input!$H$159+J37*$D$32*J43/MAX($G$43:$BX$43)*$D$129*Input!$H$161)*Input!$H$150/1000000</f>
        <v>0.4892643</v>
      </c>
      <c r="K130" s="48" t="n">
        <f aca="false">(K38*$D$19*$D$127*Input!$H$159+K37*$D$32*K43/MAX($G$43:$BX$43)*$D$129*Input!$H$161)*Input!$H$150/1000000</f>
        <v>0.0902435258964143</v>
      </c>
      <c r="L130" s="48" t="n">
        <f aca="false">(L38*$D$19*$D$127*Input!$H$159+L37*$D$32*L43/MAX($G$43:$BX$43)*$D$129*Input!$H$161)*Input!$H$150/1000000</f>
        <v>0.0902435258964143</v>
      </c>
      <c r="M130" s="48" t="n">
        <f aca="false">(M38*$D$19*$D$127*Input!$H$159+M37*$D$32*M43/MAX($G$43:$BX$43)*$D$129*Input!$H$161)*Input!$H$150/1000000</f>
        <v>0.0902435258964143</v>
      </c>
      <c r="N130" s="48" t="n">
        <f aca="false">(N38*$D$19*$D$127*Input!$H$159+N37*$D$32*N43/MAX($G$43:$BX$43)*$D$129*Input!$H$161)*Input!$H$150/1000000</f>
        <v>0.0902435258964143</v>
      </c>
      <c r="O130" s="48" t="n">
        <f aca="false">(O38*$D$19*$D$127*Input!$H$159+O37*$D$32*O43/MAX($G$43:$BX$43)*$D$129*Input!$H$161)*Input!$H$150/1000000</f>
        <v>0.0902435258964143</v>
      </c>
      <c r="P130" s="48" t="n">
        <f aca="false">(P38*$D$19*$D$127*Input!$H$159+P37*$D$32*P43/MAX($G$43:$BX$43)*$D$129*Input!$H$161)*Input!$H$150/1000000</f>
        <v>0.0902435258964143</v>
      </c>
      <c r="Q130" s="48" t="n">
        <f aca="false">(Q38*$D$19*$D$127*Input!$H$159+Q37*$D$32*Q43/MAX($G$43:$BX$43)*$D$129*Input!$H$161)*Input!$H$150/1000000</f>
        <v>0.0902435258964143</v>
      </c>
      <c r="R130" s="48" t="n">
        <f aca="false">(R38*$D$19*$D$127*Input!$H$159+R37*$D$32*R43/MAX($G$43:$BX$43)*$D$129*Input!$H$161)*Input!$H$150/1000000</f>
        <v>0.0902435258964143</v>
      </c>
      <c r="S130" s="48" t="n">
        <f aca="false">(S38*$D$19*$D$127*Input!$H$159+S37*$D$32*S43/MAX($G$43:$BX$43)*$D$129*Input!$H$161)*Input!$H$150/1000000</f>
        <v>0.0902435258964143</v>
      </c>
      <c r="T130" s="48" t="n">
        <f aca="false">(T38*$D$19*$D$127*Input!$H$159+T37*$D$32*T43/MAX($G$43:$BX$43)*$D$129*Input!$H$161)*Input!$H$150/1000000</f>
        <v>0.0902435258964143</v>
      </c>
      <c r="U130" s="48" t="n">
        <f aca="false">(U38*$D$19*$D$127*Input!$H$159+U37*$D$32*U43/MAX($G$43:$BX$43)*$D$129*Input!$H$161)*Input!$H$150/1000000</f>
        <v>0.0902435258964143</v>
      </c>
      <c r="V130" s="48" t="n">
        <f aca="false">(V38*$D$19*$D$127*Input!$H$159+V37*$D$32*V43/MAX($G$43:$BX$43)*$D$129*Input!$H$161)*Input!$H$150/1000000</f>
        <v>0.0902435258964143</v>
      </c>
      <c r="W130" s="48" t="n">
        <f aca="false">(W38*$D$19*$D$127*Input!$H$159+W37*$D$32*W43/MAX($G$43:$BX$43)*$D$129*Input!$H$161)*Input!$H$150/1000000</f>
        <v>0.0902435258964143</v>
      </c>
      <c r="X130" s="48" t="n">
        <f aca="false">(X38*$D$19*$D$127*Input!$H$159+X37*$D$32*X43/MAX($G$43:$BX$43)*$D$129*Input!$H$161)*Input!$H$150/1000000</f>
        <v>0.0902435258964143</v>
      </c>
      <c r="Y130" s="48" t="n">
        <f aca="false">(Y38*$D$19*$D$127*Input!$H$159+Y37*$D$32*Y43/MAX($G$43:$BX$43)*$D$129*Input!$H$161)*Input!$H$150/1000000</f>
        <v>0.0902435258964143</v>
      </c>
      <c r="Z130" s="48" t="n">
        <f aca="false">(Z38*$D$19*$D$127*Input!$H$159+Z37*$D$32*Z43/MAX($G$43:$BX$43)*$D$129*Input!$H$161)*Input!$H$150/1000000</f>
        <v>0.0902435258964143</v>
      </c>
      <c r="AA130" s="48" t="n">
        <f aca="false">(AA38*$D$19*$D$127*Input!$H$159+AA37*$D$32*AA43/MAX($G$43:$BX$43)*$D$129*Input!$H$161)*Input!$H$150/1000000</f>
        <v>0.0902435258964143</v>
      </c>
      <c r="AB130" s="48" t="n">
        <f aca="false">(AB38*$D$19*$D$127*Input!$H$159+AB37*$D$32*AB43/MAX($G$43:$BX$43)*$D$129*Input!$H$161)*Input!$H$150/1000000</f>
        <v>0.0902435258964143</v>
      </c>
      <c r="AC130" s="48" t="n">
        <f aca="false">(AC38*$D$19*$D$127*Input!$H$159+AC37*$D$32*AC43/MAX($G$43:$BX$43)*$D$129*Input!$H$161)*Input!$H$150/1000000</f>
        <v>0.0902435258964143</v>
      </c>
      <c r="AD130" s="48" t="n">
        <f aca="false">(AD38*$D$19*$D$127*Input!$H$159+AD37*$D$32*AD43/MAX($G$43:$BX$43)*$D$129*Input!$H$161)*Input!$H$150/1000000</f>
        <v>0.0902435258964143</v>
      </c>
      <c r="AE130" s="48" t="n">
        <f aca="false">(AE38*$D$19*$D$127*Input!$H$159+AE37*$D$32*AE43/MAX($G$43:$BX$43)*$D$129*Input!$H$161)*Input!$H$150/1000000</f>
        <v>0.0902435258964143</v>
      </c>
      <c r="AF130" s="48" t="n">
        <f aca="false">(AF38*$D$19*$D$127*Input!$H$159+AF37*$D$32*AF43/MAX($G$43:$BX$43)*$D$129*Input!$H$161)*Input!$H$150/1000000</f>
        <v>0.0902435258964143</v>
      </c>
      <c r="AG130" s="48" t="n">
        <f aca="false">(AG38*$D$19*$D$127*Input!$H$159+AG37*$D$32*AG43/MAX($G$43:$BX$43)*$D$129*Input!$H$161)*Input!$H$150/1000000</f>
        <v>0.0902435258964143</v>
      </c>
      <c r="AH130" s="48" t="n">
        <f aca="false">(AH38*$D$19*$D$127*Input!$H$159+AH37*$D$32*AH43/MAX($G$43:$BX$43)*$D$129*Input!$H$161)*Input!$H$150/1000000</f>
        <v>0.0902435258964143</v>
      </c>
      <c r="AI130" s="48" t="n">
        <f aca="false">(AI38*$D$19*$D$127*Input!$H$159+AI37*$D$32*AI43/MAX($G$43:$BX$43)*$D$129*Input!$H$161)*Input!$H$150/1000000</f>
        <v>0.0902435258964143</v>
      </c>
      <c r="AJ130" s="48" t="n">
        <f aca="false">(AJ38*$D$19*$D$127*Input!$H$159+AJ37*$D$32*AJ43/MAX($G$43:$BX$43)*$D$129*Input!$H$161)*Input!$H$150/1000000</f>
        <v>0.0902435258964143</v>
      </c>
      <c r="AK130" s="48" t="n">
        <f aca="false">(AK38*$D$19*$D$127*Input!$H$159+AK37*$D$32*AK43/MAX($G$43:$BX$43)*$D$129*Input!$H$161)*Input!$H$150/1000000</f>
        <v>0.0902435258964143</v>
      </c>
      <c r="AL130" s="48" t="n">
        <f aca="false">(AL38*$D$19*$D$127*Input!$H$159+AL37*$D$32*AL43/MAX($G$43:$BX$43)*$D$129*Input!$H$161)*Input!$H$150/1000000</f>
        <v>0.0902435258964143</v>
      </c>
      <c r="AM130" s="48" t="n">
        <f aca="false">(AM38*$D$19*$D$127*Input!$H$159+AM37*$D$32*AM43/MAX($G$43:$BX$43)*$D$129*Input!$H$161)*Input!$H$150/1000000</f>
        <v>0.0902435258964143</v>
      </c>
      <c r="AN130" s="48" t="n">
        <f aca="false">(AN38*$D$19*$D$127*Input!$H$159+AN37*$D$32*AN43/MAX($G$43:$BX$43)*$D$129*Input!$H$161)*Input!$H$150/1000000</f>
        <v>0.0902435258964143</v>
      </c>
      <c r="AO130" s="48" t="n">
        <f aca="false">(AO38*$D$19*$D$127*Input!$H$159+AO37*$D$32*AO43/MAX($G$43:$BX$43)*$D$129*Input!$H$161)*Input!$H$150/1000000</f>
        <v>0</v>
      </c>
      <c r="AP130" s="48" t="n">
        <f aca="false">(AP38*$D$19*$D$127*Input!$H$159+AP37*$D$32*AP43/MAX($G$43:$BX$43)*$D$129*Input!$H$161)*Input!$H$150/1000000</f>
        <v>0</v>
      </c>
      <c r="AQ130" s="48" t="n">
        <f aca="false">(AQ38*$D$19*$D$127*Input!$H$159+AQ37*$D$32*AQ43/MAX($G$43:$BX$43)*$D$129*Input!$H$161)*Input!$H$150/1000000</f>
        <v>0</v>
      </c>
      <c r="AR130" s="48" t="n">
        <f aca="false">(AR38*$D$19*$D$127*Input!$H$159+AR37*$D$32*AR43/MAX($G$43:$BX$43)*$D$129*Input!$H$161)*Input!$H$150/1000000</f>
        <v>0</v>
      </c>
      <c r="AS130" s="48" t="n">
        <f aca="false">(AS38*$D$19*$D$127*Input!$H$159+AS37*$D$32*AS43/MAX($G$43:$BX$43)*$D$129*Input!$H$161)*Input!$H$150/1000000</f>
        <v>0</v>
      </c>
      <c r="AT130" s="48" t="n">
        <f aca="false">(AT38*$D$19*$D$127*Input!$H$159+AT37*$D$32*AT43/MAX($G$43:$BX$43)*$D$129*Input!$H$161)*Input!$H$150/1000000</f>
        <v>0</v>
      </c>
      <c r="AU130" s="48" t="n">
        <f aca="false">(AU38*$D$19*$D$127*Input!$H$159+AU37*$D$32*AU43/MAX($G$43:$BX$43)*$D$129*Input!$H$161)*Input!$H$150/1000000</f>
        <v>0</v>
      </c>
      <c r="AV130" s="48" t="n">
        <f aca="false">(AV38*$D$19*$D$127*Input!$H$159+AV37*$D$32*AV43/MAX($G$43:$BX$43)*$D$129*Input!$H$161)*Input!$H$150/1000000</f>
        <v>0</v>
      </c>
      <c r="AW130" s="48" t="n">
        <f aca="false">(AW38*$D$19*$D$127*Input!$H$159+AW37*$D$32*AW43/MAX($G$43:$BX$43)*$D$129*Input!$H$161)*Input!$H$150/1000000</f>
        <v>0</v>
      </c>
      <c r="AX130" s="48" t="n">
        <f aca="false">(AX38*$D$19*$D$127*Input!$H$159+AX37*$D$32*AX43/MAX($G$43:$BX$43)*$D$129*Input!$H$161)*Input!$H$150/1000000</f>
        <v>0</v>
      </c>
      <c r="AY130" s="48" t="n">
        <f aca="false">(AY38*$D$19*$D$127*Input!$H$159+AY37*$D$32*AY43/MAX($G$43:$BX$43)*$D$129*Input!$H$161)*Input!$H$150/1000000</f>
        <v>0</v>
      </c>
      <c r="AZ130" s="48" t="n">
        <f aca="false">(AZ38*$D$19*$D$127*Input!$H$159+AZ37*$D$32*AZ43/MAX($G$43:$BX$43)*$D$129*Input!$H$161)*Input!$H$150/1000000</f>
        <v>0</v>
      </c>
      <c r="BA130" s="48" t="n">
        <f aca="false">(BA38*$D$19*$D$127*Input!$H$159+BA37*$D$32*BA43/MAX($G$43:$BX$43)*$D$129*Input!$H$161)*Input!$H$150/1000000</f>
        <v>0</v>
      </c>
      <c r="BB130" s="48" t="n">
        <f aca="false">(BB38*$D$19*$D$127*Input!$H$159+BB37*$D$32*BB43/MAX($G$43:$BX$43)*$D$129*Input!$H$161)*Input!$H$150/1000000</f>
        <v>0</v>
      </c>
      <c r="BC130" s="48" t="n">
        <f aca="false">(BC38*$D$19*$D$127*Input!$H$159+BC37*$D$32*BC43/MAX($G$43:$BX$43)*$D$129*Input!$H$161)*Input!$H$150/1000000</f>
        <v>0</v>
      </c>
      <c r="BD130" s="48" t="n">
        <f aca="false">(BD38*$D$19*$D$127*Input!$H$159+BD37*$D$32*BD43/MAX($G$43:$BX$43)*$D$129*Input!$H$161)*Input!$H$150/1000000</f>
        <v>0</v>
      </c>
      <c r="BE130" s="48" t="n">
        <f aca="false">(BE38*$D$19*$D$127*Input!$H$159+BE37*$D$32*BE43/MAX($G$43:$BX$43)*$D$129*Input!$H$161)*Input!$H$150/1000000</f>
        <v>0</v>
      </c>
      <c r="BF130" s="48" t="n">
        <f aca="false">(BF38*$D$19*$D$127*Input!$H$159+BF37*$D$32*BF43/MAX($G$43:$BX$43)*$D$129*Input!$H$161)*Input!$H$150/1000000</f>
        <v>0</v>
      </c>
      <c r="BG130" s="48" t="n">
        <f aca="false">(BG38*$D$19*$D$127*Input!$H$159+BG37*$D$32*BG43/MAX($G$43:$BX$43)*$D$129*Input!$H$161)*Input!$H$150/1000000</f>
        <v>0</v>
      </c>
      <c r="BH130" s="48" t="n">
        <f aca="false">(BH38*$D$19*$D$127*Input!$H$159+BH37*$D$32*BH43/MAX($G$43:$BX$43)*$D$129*Input!$H$161)*Input!$H$150/1000000</f>
        <v>0</v>
      </c>
      <c r="BI130" s="48" t="n">
        <f aca="false">(BI38*$D$19*$D$127*Input!$H$159+BI37*$D$32*BI43/MAX($G$43:$BX$43)*$D$129*Input!$H$161)*Input!$H$150/1000000</f>
        <v>0</v>
      </c>
      <c r="BJ130" s="48" t="n">
        <f aca="false">(BJ38*$D$19*$D$127*Input!$H$159+BJ37*$D$32*BJ43/MAX($G$43:$BX$43)*$D$129*Input!$H$161)*Input!$H$150/1000000</f>
        <v>0</v>
      </c>
      <c r="BK130" s="48" t="n">
        <f aca="false">(BK38*$D$19*$D$127*Input!$H$159+BK37*$D$32*BK43/MAX($G$43:$BX$43)*$D$129*Input!$H$161)*Input!$H$150/1000000</f>
        <v>0</v>
      </c>
      <c r="BL130" s="48" t="n">
        <f aca="false">(BL38*$D$19*$D$127*Input!$H$159+BL37*$D$32*BL43/MAX($G$43:$BX$43)*$D$129*Input!$H$161)*Input!$H$150/1000000</f>
        <v>0</v>
      </c>
      <c r="BM130" s="48" t="n">
        <f aca="false">(BM38*$D$19*$D$127*Input!$H$159+BM37*$D$32*BM43/MAX($G$43:$BX$43)*$D$129*Input!$H$161)*Input!$H$150/1000000</f>
        <v>0</v>
      </c>
      <c r="BN130" s="48" t="n">
        <f aca="false">(BN38*$D$19*$D$127*Input!$H$159+BN37*$D$32*BN43/MAX($G$43:$BX$43)*$D$129*Input!$H$161)*Input!$H$150/1000000</f>
        <v>0</v>
      </c>
      <c r="BO130" s="48" t="n">
        <f aca="false">(BO38*$D$19*$D$127*Input!$H$159+BO37*$D$32*BO43/MAX($G$43:$BX$43)*$D$129*Input!$H$161)*Input!$H$150/1000000</f>
        <v>0</v>
      </c>
      <c r="BP130" s="48" t="n">
        <f aca="false">(BP38*$D$19*$D$127*Input!$H$159+BP37*$D$32*BP43/MAX($G$43:$BX$43)*$D$129*Input!$H$161)*Input!$H$150/1000000</f>
        <v>0</v>
      </c>
      <c r="BQ130" s="48" t="n">
        <f aca="false">(BQ38*$D$19*$D$127*Input!$H$159+BQ37*$D$32*BQ43/MAX($G$43:$BX$43)*$D$129*Input!$H$161)*Input!$H$150/1000000</f>
        <v>0</v>
      </c>
      <c r="BR130" s="48" t="n">
        <f aca="false">(BR38*$D$19*$D$127*Input!$H$159+BR37*$D$32*BR43/MAX($G$43:$BX$43)*$D$129*Input!$H$161)*Input!$H$150/1000000</f>
        <v>0</v>
      </c>
      <c r="BS130" s="48" t="n">
        <f aca="false">(BS38*$D$19*$D$127*Input!$H$159+BS37*$D$32*BS43/MAX($G$43:$BX$43)*$D$129*Input!$H$161)*Input!$H$150/1000000</f>
        <v>0</v>
      </c>
      <c r="BT130" s="48" t="n">
        <f aca="false">(BT38*$D$19*$D$127*Input!$H$159+BT37*$D$32*BT43/MAX($G$43:$BX$43)*$D$129*Input!$H$161)*Input!$H$150/1000000</f>
        <v>0</v>
      </c>
      <c r="BU130" s="48" t="n">
        <f aca="false">(BU38*$D$19*$D$127*Input!$H$159+BU37*$D$32*BU43/MAX($G$43:$BX$43)*$D$129*Input!$H$161)*Input!$H$150/1000000</f>
        <v>0</v>
      </c>
      <c r="BV130" s="48" t="n">
        <f aca="false">(BV38*$D$19*$D$127*Input!$H$159+BV37*$D$32*BV43/MAX($G$43:$BX$43)*$D$129*Input!$H$161)*Input!$H$150/1000000</f>
        <v>0</v>
      </c>
      <c r="BW130" s="48" t="n">
        <f aca="false">(BW38*$D$19*$D$127*Input!$H$159+BW37*$D$32*BW43/MAX($G$43:$BX$43)*$D$129*Input!$H$161)*Input!$H$150/1000000</f>
        <v>0</v>
      </c>
      <c r="BX130" s="48" t="n">
        <f aca="false">(BX38*$D$19*$D$127*Input!$H$159+BX37*$D$32*BX43/MAX($G$43:$BX$43)*$D$129*Input!$H$161)*Input!$H$150/1000000</f>
        <v>0</v>
      </c>
    </row>
    <row r="131" customFormat="false" ht="15" hidden="false" customHeight="false" outlineLevel="0" collapsed="false">
      <c r="A131" s="1"/>
      <c r="B131" s="8" t="s">
        <v>392</v>
      </c>
      <c r="C131" s="8" t="s">
        <v>126</v>
      </c>
      <c r="D131" s="44" t="n">
        <f aca="false">SUM(G131:BX131)</f>
        <v>1.00649893625498</v>
      </c>
      <c r="E131" s="1"/>
      <c r="F131" s="1"/>
      <c r="G131" s="48" t="n">
        <f aca="false">(G38*$D$19*$D$127*Input!$H$159+G37*$D$32*G43/MAX($G$43:$BX$43)*$D$129*Input!$H$161)*Input!$H$151/1000000</f>
        <v>0</v>
      </c>
      <c r="H131" s="48" t="n">
        <f aca="false">(H38*$D$19*$D$127*Input!$H$159+H37*$D$32*H43/MAX($G$43:$BX$43)*$D$129*Input!$H$161)*Input!$H$151/1000000</f>
        <v>0</v>
      </c>
      <c r="I131" s="48" t="n">
        <f aca="false">(I38*$D$19*$D$127*Input!$H$159+I37*$D$32*I43/MAX($G$43:$BX$43)*$D$129*Input!$H$161)*Input!$H$151/1000000</f>
        <v>0.0931932</v>
      </c>
      <c r="J131" s="48" t="n">
        <f aca="false">(J38*$D$19*$D$127*Input!$H$159+J37*$D$32*J43/MAX($G$43:$BX$43)*$D$129*Input!$H$161)*Input!$H$151/1000000</f>
        <v>0.1397898</v>
      </c>
      <c r="K131" s="48" t="n">
        <f aca="false">(K38*$D$19*$D$127*Input!$H$159+K37*$D$32*K43/MAX($G$43:$BX$43)*$D$129*Input!$H$161)*Input!$H$151/1000000</f>
        <v>0.0257838645418327</v>
      </c>
      <c r="L131" s="48" t="n">
        <f aca="false">(L38*$D$19*$D$127*Input!$H$159+L37*$D$32*L43/MAX($G$43:$BX$43)*$D$129*Input!$H$161)*Input!$H$151/1000000</f>
        <v>0.0257838645418327</v>
      </c>
      <c r="M131" s="48" t="n">
        <f aca="false">(M38*$D$19*$D$127*Input!$H$159+M37*$D$32*M43/MAX($G$43:$BX$43)*$D$129*Input!$H$161)*Input!$H$151/1000000</f>
        <v>0.0257838645418327</v>
      </c>
      <c r="N131" s="48" t="n">
        <f aca="false">(N38*$D$19*$D$127*Input!$H$159+N37*$D$32*N43/MAX($G$43:$BX$43)*$D$129*Input!$H$161)*Input!$H$151/1000000</f>
        <v>0.0257838645418327</v>
      </c>
      <c r="O131" s="48" t="n">
        <f aca="false">(O38*$D$19*$D$127*Input!$H$159+O37*$D$32*O43/MAX($G$43:$BX$43)*$D$129*Input!$H$161)*Input!$H$151/1000000</f>
        <v>0.0257838645418327</v>
      </c>
      <c r="P131" s="48" t="n">
        <f aca="false">(P38*$D$19*$D$127*Input!$H$159+P37*$D$32*P43/MAX($G$43:$BX$43)*$D$129*Input!$H$161)*Input!$H$151/1000000</f>
        <v>0.0257838645418327</v>
      </c>
      <c r="Q131" s="48" t="n">
        <f aca="false">(Q38*$D$19*$D$127*Input!$H$159+Q37*$D$32*Q43/MAX($G$43:$BX$43)*$D$129*Input!$H$161)*Input!$H$151/1000000</f>
        <v>0.0257838645418327</v>
      </c>
      <c r="R131" s="48" t="n">
        <f aca="false">(R38*$D$19*$D$127*Input!$H$159+R37*$D$32*R43/MAX($G$43:$BX$43)*$D$129*Input!$H$161)*Input!$H$151/1000000</f>
        <v>0.0257838645418327</v>
      </c>
      <c r="S131" s="48" t="n">
        <f aca="false">(S38*$D$19*$D$127*Input!$H$159+S37*$D$32*S43/MAX($G$43:$BX$43)*$D$129*Input!$H$161)*Input!$H$151/1000000</f>
        <v>0.0257838645418327</v>
      </c>
      <c r="T131" s="48" t="n">
        <f aca="false">(T38*$D$19*$D$127*Input!$H$159+T37*$D$32*T43/MAX($G$43:$BX$43)*$D$129*Input!$H$161)*Input!$H$151/1000000</f>
        <v>0.0257838645418327</v>
      </c>
      <c r="U131" s="48" t="n">
        <f aca="false">(U38*$D$19*$D$127*Input!$H$159+U37*$D$32*U43/MAX($G$43:$BX$43)*$D$129*Input!$H$161)*Input!$H$151/1000000</f>
        <v>0.0257838645418327</v>
      </c>
      <c r="V131" s="48" t="n">
        <f aca="false">(V38*$D$19*$D$127*Input!$H$159+V37*$D$32*V43/MAX($G$43:$BX$43)*$D$129*Input!$H$161)*Input!$H$151/1000000</f>
        <v>0.0257838645418327</v>
      </c>
      <c r="W131" s="48" t="n">
        <f aca="false">(W38*$D$19*$D$127*Input!$H$159+W37*$D$32*W43/MAX($G$43:$BX$43)*$D$129*Input!$H$161)*Input!$H$151/1000000</f>
        <v>0.0257838645418327</v>
      </c>
      <c r="X131" s="48" t="n">
        <f aca="false">(X38*$D$19*$D$127*Input!$H$159+X37*$D$32*X43/MAX($G$43:$BX$43)*$D$129*Input!$H$161)*Input!$H$151/1000000</f>
        <v>0.0257838645418327</v>
      </c>
      <c r="Y131" s="48" t="n">
        <f aca="false">(Y38*$D$19*$D$127*Input!$H$159+Y37*$D$32*Y43/MAX($G$43:$BX$43)*$D$129*Input!$H$161)*Input!$H$151/1000000</f>
        <v>0.0257838645418327</v>
      </c>
      <c r="Z131" s="48" t="n">
        <f aca="false">(Z38*$D$19*$D$127*Input!$H$159+Z37*$D$32*Z43/MAX($G$43:$BX$43)*$D$129*Input!$H$161)*Input!$H$151/1000000</f>
        <v>0.0257838645418327</v>
      </c>
      <c r="AA131" s="48" t="n">
        <f aca="false">(AA38*$D$19*$D$127*Input!$H$159+AA37*$D$32*AA43/MAX($G$43:$BX$43)*$D$129*Input!$H$161)*Input!$H$151/1000000</f>
        <v>0.0257838645418327</v>
      </c>
      <c r="AB131" s="48" t="n">
        <f aca="false">(AB38*$D$19*$D$127*Input!$H$159+AB37*$D$32*AB43/MAX($G$43:$BX$43)*$D$129*Input!$H$161)*Input!$H$151/1000000</f>
        <v>0.0257838645418327</v>
      </c>
      <c r="AC131" s="48" t="n">
        <f aca="false">(AC38*$D$19*$D$127*Input!$H$159+AC37*$D$32*AC43/MAX($G$43:$BX$43)*$D$129*Input!$H$161)*Input!$H$151/1000000</f>
        <v>0.0257838645418327</v>
      </c>
      <c r="AD131" s="48" t="n">
        <f aca="false">(AD38*$D$19*$D$127*Input!$H$159+AD37*$D$32*AD43/MAX($G$43:$BX$43)*$D$129*Input!$H$161)*Input!$H$151/1000000</f>
        <v>0.0257838645418327</v>
      </c>
      <c r="AE131" s="48" t="n">
        <f aca="false">(AE38*$D$19*$D$127*Input!$H$159+AE37*$D$32*AE43/MAX($G$43:$BX$43)*$D$129*Input!$H$161)*Input!$H$151/1000000</f>
        <v>0.0257838645418327</v>
      </c>
      <c r="AF131" s="48" t="n">
        <f aca="false">(AF38*$D$19*$D$127*Input!$H$159+AF37*$D$32*AF43/MAX($G$43:$BX$43)*$D$129*Input!$H$161)*Input!$H$151/1000000</f>
        <v>0.0257838645418327</v>
      </c>
      <c r="AG131" s="48" t="n">
        <f aca="false">(AG38*$D$19*$D$127*Input!$H$159+AG37*$D$32*AG43/MAX($G$43:$BX$43)*$D$129*Input!$H$161)*Input!$H$151/1000000</f>
        <v>0.0257838645418327</v>
      </c>
      <c r="AH131" s="48" t="n">
        <f aca="false">(AH38*$D$19*$D$127*Input!$H$159+AH37*$D$32*AH43/MAX($G$43:$BX$43)*$D$129*Input!$H$161)*Input!$H$151/1000000</f>
        <v>0.0257838645418327</v>
      </c>
      <c r="AI131" s="48" t="n">
        <f aca="false">(AI38*$D$19*$D$127*Input!$H$159+AI37*$D$32*AI43/MAX($G$43:$BX$43)*$D$129*Input!$H$161)*Input!$H$151/1000000</f>
        <v>0.0257838645418327</v>
      </c>
      <c r="AJ131" s="48" t="n">
        <f aca="false">(AJ38*$D$19*$D$127*Input!$H$159+AJ37*$D$32*AJ43/MAX($G$43:$BX$43)*$D$129*Input!$H$161)*Input!$H$151/1000000</f>
        <v>0.0257838645418327</v>
      </c>
      <c r="AK131" s="48" t="n">
        <f aca="false">(AK38*$D$19*$D$127*Input!$H$159+AK37*$D$32*AK43/MAX($G$43:$BX$43)*$D$129*Input!$H$161)*Input!$H$151/1000000</f>
        <v>0.0257838645418327</v>
      </c>
      <c r="AL131" s="48" t="n">
        <f aca="false">(AL38*$D$19*$D$127*Input!$H$159+AL37*$D$32*AL43/MAX($G$43:$BX$43)*$D$129*Input!$H$161)*Input!$H$151/1000000</f>
        <v>0.0257838645418327</v>
      </c>
      <c r="AM131" s="48" t="n">
        <f aca="false">(AM38*$D$19*$D$127*Input!$H$159+AM37*$D$32*AM43/MAX($G$43:$BX$43)*$D$129*Input!$H$161)*Input!$H$151/1000000</f>
        <v>0.0257838645418327</v>
      </c>
      <c r="AN131" s="48" t="n">
        <f aca="false">(AN38*$D$19*$D$127*Input!$H$159+AN37*$D$32*AN43/MAX($G$43:$BX$43)*$D$129*Input!$H$161)*Input!$H$151/1000000</f>
        <v>0.0257838645418327</v>
      </c>
      <c r="AO131" s="48" t="n">
        <f aca="false">(AO38*$D$19*$D$127*Input!$H$159+AO37*$D$32*AO43/MAX($G$43:$BX$43)*$D$129*Input!$H$161)*Input!$H$151/1000000</f>
        <v>0</v>
      </c>
      <c r="AP131" s="48" t="n">
        <f aca="false">(AP38*$D$19*$D$127*Input!$H$159+AP37*$D$32*AP43/MAX($G$43:$BX$43)*$D$129*Input!$H$161)*Input!$H$151/1000000</f>
        <v>0</v>
      </c>
      <c r="AQ131" s="48" t="n">
        <f aca="false">(AQ38*$D$19*$D$127*Input!$H$159+AQ37*$D$32*AQ43/MAX($G$43:$BX$43)*$D$129*Input!$H$161)*Input!$H$151/1000000</f>
        <v>0</v>
      </c>
      <c r="AR131" s="48" t="n">
        <f aca="false">(AR38*$D$19*$D$127*Input!$H$159+AR37*$D$32*AR43/MAX($G$43:$BX$43)*$D$129*Input!$H$161)*Input!$H$151/1000000</f>
        <v>0</v>
      </c>
      <c r="AS131" s="48" t="n">
        <f aca="false">(AS38*$D$19*$D$127*Input!$H$159+AS37*$D$32*AS43/MAX($G$43:$BX$43)*$D$129*Input!$H$161)*Input!$H$151/1000000</f>
        <v>0</v>
      </c>
      <c r="AT131" s="48" t="n">
        <f aca="false">(AT38*$D$19*$D$127*Input!$H$159+AT37*$D$32*AT43/MAX($G$43:$BX$43)*$D$129*Input!$H$161)*Input!$H$151/1000000</f>
        <v>0</v>
      </c>
      <c r="AU131" s="48" t="n">
        <f aca="false">(AU38*$D$19*$D$127*Input!$H$159+AU37*$D$32*AU43/MAX($G$43:$BX$43)*$D$129*Input!$H$161)*Input!$H$151/1000000</f>
        <v>0</v>
      </c>
      <c r="AV131" s="48" t="n">
        <f aca="false">(AV38*$D$19*$D$127*Input!$H$159+AV37*$D$32*AV43/MAX($G$43:$BX$43)*$D$129*Input!$H$161)*Input!$H$151/1000000</f>
        <v>0</v>
      </c>
      <c r="AW131" s="48" t="n">
        <f aca="false">(AW38*$D$19*$D$127*Input!$H$159+AW37*$D$32*AW43/MAX($G$43:$BX$43)*$D$129*Input!$H$161)*Input!$H$151/1000000</f>
        <v>0</v>
      </c>
      <c r="AX131" s="48" t="n">
        <f aca="false">(AX38*$D$19*$D$127*Input!$H$159+AX37*$D$32*AX43/MAX($G$43:$BX$43)*$D$129*Input!$H$161)*Input!$H$151/1000000</f>
        <v>0</v>
      </c>
      <c r="AY131" s="48" t="n">
        <f aca="false">(AY38*$D$19*$D$127*Input!$H$159+AY37*$D$32*AY43/MAX($G$43:$BX$43)*$D$129*Input!$H$161)*Input!$H$151/1000000</f>
        <v>0</v>
      </c>
      <c r="AZ131" s="48" t="n">
        <f aca="false">(AZ38*$D$19*$D$127*Input!$H$159+AZ37*$D$32*AZ43/MAX($G$43:$BX$43)*$D$129*Input!$H$161)*Input!$H$151/1000000</f>
        <v>0</v>
      </c>
      <c r="BA131" s="48" t="n">
        <f aca="false">(BA38*$D$19*$D$127*Input!$H$159+BA37*$D$32*BA43/MAX($G$43:$BX$43)*$D$129*Input!$H$161)*Input!$H$151/1000000</f>
        <v>0</v>
      </c>
      <c r="BB131" s="48" t="n">
        <f aca="false">(BB38*$D$19*$D$127*Input!$H$159+BB37*$D$32*BB43/MAX($G$43:$BX$43)*$D$129*Input!$H$161)*Input!$H$151/1000000</f>
        <v>0</v>
      </c>
      <c r="BC131" s="48" t="n">
        <f aca="false">(BC38*$D$19*$D$127*Input!$H$159+BC37*$D$32*BC43/MAX($G$43:$BX$43)*$D$129*Input!$H$161)*Input!$H$151/1000000</f>
        <v>0</v>
      </c>
      <c r="BD131" s="48" t="n">
        <f aca="false">(BD38*$D$19*$D$127*Input!$H$159+BD37*$D$32*BD43/MAX($G$43:$BX$43)*$D$129*Input!$H$161)*Input!$H$151/1000000</f>
        <v>0</v>
      </c>
      <c r="BE131" s="48" t="n">
        <f aca="false">(BE38*$D$19*$D$127*Input!$H$159+BE37*$D$32*BE43/MAX($G$43:$BX$43)*$D$129*Input!$H$161)*Input!$H$151/1000000</f>
        <v>0</v>
      </c>
      <c r="BF131" s="48" t="n">
        <f aca="false">(BF38*$D$19*$D$127*Input!$H$159+BF37*$D$32*BF43/MAX($G$43:$BX$43)*$D$129*Input!$H$161)*Input!$H$151/1000000</f>
        <v>0</v>
      </c>
      <c r="BG131" s="48" t="n">
        <f aca="false">(BG38*$D$19*$D$127*Input!$H$159+BG37*$D$32*BG43/MAX($G$43:$BX$43)*$D$129*Input!$H$161)*Input!$H$151/1000000</f>
        <v>0</v>
      </c>
      <c r="BH131" s="48" t="n">
        <f aca="false">(BH38*$D$19*$D$127*Input!$H$159+BH37*$D$32*BH43/MAX($G$43:$BX$43)*$D$129*Input!$H$161)*Input!$H$151/1000000</f>
        <v>0</v>
      </c>
      <c r="BI131" s="48" t="n">
        <f aca="false">(BI38*$D$19*$D$127*Input!$H$159+BI37*$D$32*BI43/MAX($G$43:$BX$43)*$D$129*Input!$H$161)*Input!$H$151/1000000</f>
        <v>0</v>
      </c>
      <c r="BJ131" s="48" t="n">
        <f aca="false">(BJ38*$D$19*$D$127*Input!$H$159+BJ37*$D$32*BJ43/MAX($G$43:$BX$43)*$D$129*Input!$H$161)*Input!$H$151/1000000</f>
        <v>0</v>
      </c>
      <c r="BK131" s="48" t="n">
        <f aca="false">(BK38*$D$19*$D$127*Input!$H$159+BK37*$D$32*BK43/MAX($G$43:$BX$43)*$D$129*Input!$H$161)*Input!$H$151/1000000</f>
        <v>0</v>
      </c>
      <c r="BL131" s="48" t="n">
        <f aca="false">(BL38*$D$19*$D$127*Input!$H$159+BL37*$D$32*BL43/MAX($G$43:$BX$43)*$D$129*Input!$H$161)*Input!$H$151/1000000</f>
        <v>0</v>
      </c>
      <c r="BM131" s="48" t="n">
        <f aca="false">(BM38*$D$19*$D$127*Input!$H$159+BM37*$D$32*BM43/MAX($G$43:$BX$43)*$D$129*Input!$H$161)*Input!$H$151/1000000</f>
        <v>0</v>
      </c>
      <c r="BN131" s="48" t="n">
        <f aca="false">(BN38*$D$19*$D$127*Input!$H$159+BN37*$D$32*BN43/MAX($G$43:$BX$43)*$D$129*Input!$H$161)*Input!$H$151/1000000</f>
        <v>0</v>
      </c>
      <c r="BO131" s="48" t="n">
        <f aca="false">(BO38*$D$19*$D$127*Input!$H$159+BO37*$D$32*BO43/MAX($G$43:$BX$43)*$D$129*Input!$H$161)*Input!$H$151/1000000</f>
        <v>0</v>
      </c>
      <c r="BP131" s="48" t="n">
        <f aca="false">(BP38*$D$19*$D$127*Input!$H$159+BP37*$D$32*BP43/MAX($G$43:$BX$43)*$D$129*Input!$H$161)*Input!$H$151/1000000</f>
        <v>0</v>
      </c>
      <c r="BQ131" s="48" t="n">
        <f aca="false">(BQ38*$D$19*$D$127*Input!$H$159+BQ37*$D$32*BQ43/MAX($G$43:$BX$43)*$D$129*Input!$H$161)*Input!$H$151/1000000</f>
        <v>0</v>
      </c>
      <c r="BR131" s="48" t="n">
        <f aca="false">(BR38*$D$19*$D$127*Input!$H$159+BR37*$D$32*BR43/MAX($G$43:$BX$43)*$D$129*Input!$H$161)*Input!$H$151/1000000</f>
        <v>0</v>
      </c>
      <c r="BS131" s="48" t="n">
        <f aca="false">(BS38*$D$19*$D$127*Input!$H$159+BS37*$D$32*BS43/MAX($G$43:$BX$43)*$D$129*Input!$H$161)*Input!$H$151/1000000</f>
        <v>0</v>
      </c>
      <c r="BT131" s="48" t="n">
        <f aca="false">(BT38*$D$19*$D$127*Input!$H$159+BT37*$D$32*BT43/MAX($G$43:$BX$43)*$D$129*Input!$H$161)*Input!$H$151/1000000</f>
        <v>0</v>
      </c>
      <c r="BU131" s="48" t="n">
        <f aca="false">(BU38*$D$19*$D$127*Input!$H$159+BU37*$D$32*BU43/MAX($G$43:$BX$43)*$D$129*Input!$H$161)*Input!$H$151/1000000</f>
        <v>0</v>
      </c>
      <c r="BV131" s="48" t="n">
        <f aca="false">(BV38*$D$19*$D$127*Input!$H$159+BV37*$D$32*BV43/MAX($G$43:$BX$43)*$D$129*Input!$H$161)*Input!$H$151/1000000</f>
        <v>0</v>
      </c>
      <c r="BW131" s="48" t="n">
        <f aca="false">(BW38*$D$19*$D$127*Input!$H$159+BW37*$D$32*BW43/MAX($G$43:$BX$43)*$D$129*Input!$H$161)*Input!$H$151/1000000</f>
        <v>0</v>
      </c>
      <c r="BX131" s="48" t="n">
        <f aca="false">(BX38*$D$19*$D$127*Input!$H$159+BX37*$D$32*BX43/MAX($G$43:$BX$43)*$D$129*Input!$H$161)*Input!$H$151/1000000</f>
        <v>0</v>
      </c>
    </row>
    <row r="132" customFormat="false" ht="15" hidden="false" customHeight="false" outlineLevel="0" collapsed="false">
      <c r="A132" s="1"/>
      <c r="B132" s="8" t="s">
        <v>393</v>
      </c>
      <c r="C132" s="8" t="s">
        <v>126</v>
      </c>
      <c r="D132" s="44" t="n">
        <f aca="false">SUM(G132:BX132)</f>
        <v>0.135365288844621</v>
      </c>
      <c r="E132" s="1"/>
      <c r="F132" s="1"/>
      <c r="G132" s="48" t="n">
        <f aca="false">G38*$D$19*$D$127*Input!$H$159*Input!$H$152/1000000</f>
        <v>0</v>
      </c>
      <c r="H132" s="48" t="n">
        <f aca="false">H38*$D$19*$D$127*Input!$H$159*Input!$H$152/1000000</f>
        <v>0</v>
      </c>
      <c r="I132" s="48" t="n">
        <f aca="false">I38*$D$19*$D$127*Input!$H$159*Input!$H$152/1000000</f>
        <v>0</v>
      </c>
      <c r="J132" s="48" t="n">
        <f aca="false">J38*$D$19*$D$127*Input!$H$159*Input!$H$152/1000000</f>
        <v>0</v>
      </c>
      <c r="K132" s="48" t="n">
        <f aca="false">K38*$D$19*$D$127*Input!$H$159*Input!$H$152/1000000</f>
        <v>0.00451217629482072</v>
      </c>
      <c r="L132" s="48" t="n">
        <f aca="false">L38*$D$19*$D$127*Input!$H$159*Input!$H$152/1000000</f>
        <v>0.00451217629482072</v>
      </c>
      <c r="M132" s="48" t="n">
        <f aca="false">M38*$D$19*$D$127*Input!$H$159*Input!$H$152/1000000</f>
        <v>0.00451217629482072</v>
      </c>
      <c r="N132" s="48" t="n">
        <f aca="false">N38*$D$19*$D$127*Input!$H$159*Input!$H$152/1000000</f>
        <v>0.00451217629482072</v>
      </c>
      <c r="O132" s="48" t="n">
        <f aca="false">O38*$D$19*$D$127*Input!$H$159*Input!$H$152/1000000</f>
        <v>0.00451217629482072</v>
      </c>
      <c r="P132" s="48" t="n">
        <f aca="false">P38*$D$19*$D$127*Input!$H$159*Input!$H$152/1000000</f>
        <v>0.00451217629482072</v>
      </c>
      <c r="Q132" s="48" t="n">
        <f aca="false">Q38*$D$19*$D$127*Input!$H$159*Input!$H$152/1000000</f>
        <v>0.00451217629482072</v>
      </c>
      <c r="R132" s="48" t="n">
        <f aca="false">R38*$D$19*$D$127*Input!$H$159*Input!$H$152/1000000</f>
        <v>0.00451217629482072</v>
      </c>
      <c r="S132" s="48" t="n">
        <f aca="false">S38*$D$19*$D$127*Input!$H$159*Input!$H$152/1000000</f>
        <v>0.00451217629482072</v>
      </c>
      <c r="T132" s="48" t="n">
        <f aca="false">T38*$D$19*$D$127*Input!$H$159*Input!$H$152/1000000</f>
        <v>0.00451217629482072</v>
      </c>
      <c r="U132" s="48" t="n">
        <f aca="false">U38*$D$19*$D$127*Input!$H$159*Input!$H$152/1000000</f>
        <v>0.00451217629482072</v>
      </c>
      <c r="V132" s="48" t="n">
        <f aca="false">V38*$D$19*$D$127*Input!$H$159*Input!$H$152/1000000</f>
        <v>0.00451217629482072</v>
      </c>
      <c r="W132" s="48" t="n">
        <f aca="false">W38*$D$19*$D$127*Input!$H$159*Input!$H$152/1000000</f>
        <v>0.00451217629482072</v>
      </c>
      <c r="X132" s="48" t="n">
        <f aca="false">X38*$D$19*$D$127*Input!$H$159*Input!$H$152/1000000</f>
        <v>0.00451217629482072</v>
      </c>
      <c r="Y132" s="48" t="n">
        <f aca="false">Y38*$D$19*$D$127*Input!$H$159*Input!$H$152/1000000</f>
        <v>0.00451217629482072</v>
      </c>
      <c r="Z132" s="48" t="n">
        <f aca="false">Z38*$D$19*$D$127*Input!$H$159*Input!$H$152/1000000</f>
        <v>0.00451217629482072</v>
      </c>
      <c r="AA132" s="48" t="n">
        <f aca="false">AA38*$D$19*$D$127*Input!$H$159*Input!$H$152/1000000</f>
        <v>0.00451217629482072</v>
      </c>
      <c r="AB132" s="48" t="n">
        <f aca="false">AB38*$D$19*$D$127*Input!$H$159*Input!$H$152/1000000</f>
        <v>0.00451217629482072</v>
      </c>
      <c r="AC132" s="48" t="n">
        <f aca="false">AC38*$D$19*$D$127*Input!$H$159*Input!$H$152/1000000</f>
        <v>0.00451217629482072</v>
      </c>
      <c r="AD132" s="48" t="n">
        <f aca="false">AD38*$D$19*$D$127*Input!$H$159*Input!$H$152/1000000</f>
        <v>0.00451217629482072</v>
      </c>
      <c r="AE132" s="48" t="n">
        <f aca="false">AE38*$D$19*$D$127*Input!$H$159*Input!$H$152/1000000</f>
        <v>0.00451217629482072</v>
      </c>
      <c r="AF132" s="48" t="n">
        <f aca="false">AF38*$D$19*$D$127*Input!$H$159*Input!$H$152/1000000</f>
        <v>0.00451217629482072</v>
      </c>
      <c r="AG132" s="48" t="n">
        <f aca="false">AG38*$D$19*$D$127*Input!$H$159*Input!$H$152/1000000</f>
        <v>0.00451217629482072</v>
      </c>
      <c r="AH132" s="48" t="n">
        <f aca="false">AH38*$D$19*$D$127*Input!$H$159*Input!$H$152/1000000</f>
        <v>0.00451217629482072</v>
      </c>
      <c r="AI132" s="48" t="n">
        <f aca="false">AI38*$D$19*$D$127*Input!$H$159*Input!$H$152/1000000</f>
        <v>0.00451217629482072</v>
      </c>
      <c r="AJ132" s="48" t="n">
        <f aca="false">AJ38*$D$19*$D$127*Input!$H$159*Input!$H$152/1000000</f>
        <v>0.00451217629482072</v>
      </c>
      <c r="AK132" s="48" t="n">
        <f aca="false">AK38*$D$19*$D$127*Input!$H$159*Input!$H$152/1000000</f>
        <v>0.00451217629482072</v>
      </c>
      <c r="AL132" s="48" t="n">
        <f aca="false">AL38*$D$19*$D$127*Input!$H$159*Input!$H$152/1000000</f>
        <v>0.00451217629482072</v>
      </c>
      <c r="AM132" s="48" t="n">
        <f aca="false">AM38*$D$19*$D$127*Input!$H$159*Input!$H$152/1000000</f>
        <v>0.00451217629482072</v>
      </c>
      <c r="AN132" s="48" t="n">
        <f aca="false">AN38*$D$19*$D$127*Input!$H$159*Input!$H$152/1000000</f>
        <v>0.00451217629482072</v>
      </c>
      <c r="AO132" s="48" t="n">
        <f aca="false">AO38*$D$19*$D$127*Input!$H$159*Input!$H$152/1000000</f>
        <v>0</v>
      </c>
      <c r="AP132" s="48" t="n">
        <f aca="false">AP38*$D$19*$D$127*Input!$H$159*Input!$H$152/1000000</f>
        <v>0</v>
      </c>
      <c r="AQ132" s="48" t="n">
        <f aca="false">AQ38*$D$19*$D$127*Input!$H$159*Input!$H$152/1000000</f>
        <v>0</v>
      </c>
      <c r="AR132" s="48" t="n">
        <f aca="false">AR38*$D$19*$D$127*Input!$H$159*Input!$H$152/1000000</f>
        <v>0</v>
      </c>
      <c r="AS132" s="48" t="n">
        <f aca="false">AS38*$D$19*$D$127*Input!$H$159*Input!$H$152/1000000</f>
        <v>0</v>
      </c>
      <c r="AT132" s="48" t="n">
        <f aca="false">AT38*$D$19*$D$127*Input!$H$159*Input!$H$152/1000000</f>
        <v>0</v>
      </c>
      <c r="AU132" s="48" t="n">
        <f aca="false">AU38*$D$19*$D$127*Input!$H$159*Input!$H$152/1000000</f>
        <v>0</v>
      </c>
      <c r="AV132" s="48" t="n">
        <f aca="false">AV38*$D$19*$D$127*Input!$H$159*Input!$H$152/1000000</f>
        <v>0</v>
      </c>
      <c r="AW132" s="48" t="n">
        <f aca="false">AW38*$D$19*$D$127*Input!$H$159*Input!$H$152/1000000</f>
        <v>0</v>
      </c>
      <c r="AX132" s="48" t="n">
        <f aca="false">AX38*$D$19*$D$127*Input!$H$159*Input!$H$152/1000000</f>
        <v>0</v>
      </c>
      <c r="AY132" s="48" t="n">
        <f aca="false">AY38*$D$19*$D$127*Input!$H$159*Input!$H$152/1000000</f>
        <v>0</v>
      </c>
      <c r="AZ132" s="48" t="n">
        <f aca="false">AZ38*$D$19*$D$127*Input!$H$159*Input!$H$152/1000000</f>
        <v>0</v>
      </c>
      <c r="BA132" s="48" t="n">
        <f aca="false">BA38*$D$19*$D$127*Input!$H$159*Input!$H$152/1000000</f>
        <v>0</v>
      </c>
      <c r="BB132" s="48" t="n">
        <f aca="false">BB38*$D$19*$D$127*Input!$H$159*Input!$H$152/1000000</f>
        <v>0</v>
      </c>
      <c r="BC132" s="48" t="n">
        <f aca="false">BC38*$D$19*$D$127*Input!$H$159*Input!$H$152/1000000</f>
        <v>0</v>
      </c>
      <c r="BD132" s="48" t="n">
        <f aca="false">BD38*$D$19*$D$127*Input!$H$159*Input!$H$152/1000000</f>
        <v>0</v>
      </c>
      <c r="BE132" s="48" t="n">
        <f aca="false">BE38*$D$19*$D$127*Input!$H$159*Input!$H$152/1000000</f>
        <v>0</v>
      </c>
      <c r="BF132" s="48" t="n">
        <f aca="false">BF38*$D$19*$D$127*Input!$H$159*Input!$H$152/1000000</f>
        <v>0</v>
      </c>
      <c r="BG132" s="48" t="n">
        <f aca="false">BG38*$D$19*$D$127*Input!$H$159*Input!$H$152/1000000</f>
        <v>0</v>
      </c>
      <c r="BH132" s="48" t="n">
        <f aca="false">BH38*$D$19*$D$127*Input!$H$159*Input!$H$152/1000000</f>
        <v>0</v>
      </c>
      <c r="BI132" s="48" t="n">
        <f aca="false">BI38*$D$19*$D$127*Input!$H$159*Input!$H$152/1000000</f>
        <v>0</v>
      </c>
      <c r="BJ132" s="48" t="n">
        <f aca="false">BJ38*$D$19*$D$127*Input!$H$159*Input!$H$152/1000000</f>
        <v>0</v>
      </c>
      <c r="BK132" s="48" t="n">
        <f aca="false">BK38*$D$19*$D$127*Input!$H$159*Input!$H$152/1000000</f>
        <v>0</v>
      </c>
      <c r="BL132" s="48" t="n">
        <f aca="false">BL38*$D$19*$D$127*Input!$H$159*Input!$H$152/1000000</f>
        <v>0</v>
      </c>
      <c r="BM132" s="48" t="n">
        <f aca="false">BM38*$D$19*$D$127*Input!$H$159*Input!$H$152/1000000</f>
        <v>0</v>
      </c>
      <c r="BN132" s="48" t="n">
        <f aca="false">BN38*$D$19*$D$127*Input!$H$159*Input!$H$152/1000000</f>
        <v>0</v>
      </c>
      <c r="BO132" s="48" t="n">
        <f aca="false">BO38*$D$19*$D$127*Input!$H$159*Input!$H$152/1000000</f>
        <v>0</v>
      </c>
      <c r="BP132" s="48" t="n">
        <f aca="false">BP38*$D$19*$D$127*Input!$H$159*Input!$H$152/1000000</f>
        <v>0</v>
      </c>
      <c r="BQ132" s="48" t="n">
        <f aca="false">BQ38*$D$19*$D$127*Input!$H$159*Input!$H$152/1000000</f>
        <v>0</v>
      </c>
      <c r="BR132" s="48" t="n">
        <f aca="false">BR38*$D$19*$D$127*Input!$H$159*Input!$H$152/1000000</f>
        <v>0</v>
      </c>
      <c r="BS132" s="48" t="n">
        <f aca="false">BS38*$D$19*$D$127*Input!$H$159*Input!$H$152/1000000</f>
        <v>0</v>
      </c>
      <c r="BT132" s="48" t="n">
        <f aca="false">BT38*$D$19*$D$127*Input!$H$159*Input!$H$152/1000000</f>
        <v>0</v>
      </c>
      <c r="BU132" s="48" t="n">
        <f aca="false">BU38*$D$19*$D$127*Input!$H$159*Input!$H$152/1000000</f>
        <v>0</v>
      </c>
      <c r="BV132" s="48" t="n">
        <f aca="false">BV38*$D$19*$D$127*Input!$H$159*Input!$H$152/1000000</f>
        <v>0</v>
      </c>
      <c r="BW132" s="48" t="n">
        <f aca="false">BW38*$D$19*$D$127*Input!$H$159*Input!$H$152/1000000</f>
        <v>0</v>
      </c>
      <c r="BX132" s="48" t="n">
        <f aca="false">BX38*$D$19*$D$127*Input!$H$159*Input!$H$152/1000000</f>
        <v>0</v>
      </c>
    </row>
    <row r="133" customFormat="false" ht="15" hidden="false" customHeight="false" outlineLevel="0" collapsed="false">
      <c r="A133" s="1"/>
      <c r="B133" s="4" t="s">
        <v>394</v>
      </c>
      <c r="C133" s="8" t="s">
        <v>126</v>
      </c>
      <c r="D133" s="44" t="n">
        <f aca="false">SUM(G133:BX133)</f>
        <v>78.104610501992</v>
      </c>
      <c r="E133" s="1"/>
      <c r="F133" s="1"/>
      <c r="G133" s="44" t="n">
        <f aca="false">G121+G122+G123+G124+G125+G130+G131+G132</f>
        <v>0</v>
      </c>
      <c r="H133" s="44" t="n">
        <f aca="false">H121+H122+H123+H124+H125+H130+H131+H132</f>
        <v>0</v>
      </c>
      <c r="I133" s="44" t="n">
        <f aca="false">I121+I122+I123+I124+I125+I130+I131+I132</f>
        <v>0.4193694</v>
      </c>
      <c r="J133" s="44" t="n">
        <f aca="false">J121+J122+J123+J124+J125+J130+J131+J132</f>
        <v>0.6290541</v>
      </c>
      <c r="K133" s="44" t="n">
        <f aca="false">K121+K122+K123+K124+K125+K130+K131+K132</f>
        <v>2.56853956673307</v>
      </c>
      <c r="L133" s="44" t="n">
        <f aca="false">L121+L122+L123+L124+L125+L130+L131+L132</f>
        <v>2.56853956673307</v>
      </c>
      <c r="M133" s="44" t="n">
        <f aca="false">M121+M122+M123+M124+M125+M130+M131+M132</f>
        <v>2.56853956673307</v>
      </c>
      <c r="N133" s="44" t="n">
        <f aca="false">N121+N122+N123+N124+N125+N130+N131+N132</f>
        <v>2.56853956673307</v>
      </c>
      <c r="O133" s="44" t="n">
        <f aca="false">O121+O122+O123+O124+O125+O130+O131+O132</f>
        <v>2.56853956673307</v>
      </c>
      <c r="P133" s="44" t="n">
        <f aca="false">P121+P122+P123+P124+P125+P130+P131+P132</f>
        <v>2.56853956673307</v>
      </c>
      <c r="Q133" s="44" t="n">
        <f aca="false">Q121+Q122+Q123+Q124+Q125+Q130+Q131+Q132</f>
        <v>2.56853956673307</v>
      </c>
      <c r="R133" s="44" t="n">
        <f aca="false">R121+R122+R123+R124+R125+R130+R131+R132</f>
        <v>2.56853956673307</v>
      </c>
      <c r="S133" s="44" t="n">
        <f aca="false">S121+S122+S123+S124+S125+S130+S131+S132</f>
        <v>2.56853956673307</v>
      </c>
      <c r="T133" s="44" t="n">
        <f aca="false">T121+T122+T123+T124+T125+T130+T131+T132</f>
        <v>2.56853956673307</v>
      </c>
      <c r="U133" s="44" t="n">
        <f aca="false">U121+U122+U123+U124+U125+U130+U131+U132</f>
        <v>2.56853956673307</v>
      </c>
      <c r="V133" s="44" t="n">
        <f aca="false">V121+V122+V123+V124+V125+V130+V131+V132</f>
        <v>2.56853956673307</v>
      </c>
      <c r="W133" s="44" t="n">
        <f aca="false">W121+W122+W123+W124+W125+W130+W131+W132</f>
        <v>2.56853956673307</v>
      </c>
      <c r="X133" s="44" t="n">
        <f aca="false">X121+X122+X123+X124+X125+X130+X131+X132</f>
        <v>2.56853956673307</v>
      </c>
      <c r="Y133" s="44" t="n">
        <f aca="false">Y121+Y122+Y123+Y124+Y125+Y130+Y131+Y132</f>
        <v>2.56853956673307</v>
      </c>
      <c r="Z133" s="44" t="n">
        <f aca="false">Z121+Z122+Z123+Z124+Z125+Z130+Z131+Z132</f>
        <v>2.56853956673307</v>
      </c>
      <c r="AA133" s="44" t="n">
        <f aca="false">AA121+AA122+AA123+AA124+AA125+AA130+AA131+AA132</f>
        <v>2.56853956673307</v>
      </c>
      <c r="AB133" s="44" t="n">
        <f aca="false">AB121+AB122+AB123+AB124+AB125+AB130+AB131+AB132</f>
        <v>2.56853956673307</v>
      </c>
      <c r="AC133" s="44" t="n">
        <f aca="false">AC121+AC122+AC123+AC124+AC125+AC130+AC131+AC132</f>
        <v>2.56853956673307</v>
      </c>
      <c r="AD133" s="44" t="n">
        <f aca="false">AD121+AD122+AD123+AD124+AD125+AD130+AD131+AD132</f>
        <v>2.56853956673307</v>
      </c>
      <c r="AE133" s="44" t="n">
        <f aca="false">AE121+AE122+AE123+AE124+AE125+AE130+AE131+AE132</f>
        <v>2.56853956673307</v>
      </c>
      <c r="AF133" s="44" t="n">
        <f aca="false">AF121+AF122+AF123+AF124+AF125+AF130+AF131+AF132</f>
        <v>2.56853956673307</v>
      </c>
      <c r="AG133" s="44" t="n">
        <f aca="false">AG121+AG122+AG123+AG124+AG125+AG130+AG131+AG132</f>
        <v>2.56853956673307</v>
      </c>
      <c r="AH133" s="44" t="n">
        <f aca="false">AH121+AH122+AH123+AH124+AH125+AH130+AH131+AH132</f>
        <v>2.56853956673307</v>
      </c>
      <c r="AI133" s="44" t="n">
        <f aca="false">AI121+AI122+AI123+AI124+AI125+AI130+AI131+AI132</f>
        <v>2.56853956673307</v>
      </c>
      <c r="AJ133" s="44" t="n">
        <f aca="false">AJ121+AJ122+AJ123+AJ124+AJ125+AJ130+AJ131+AJ132</f>
        <v>2.56853956673307</v>
      </c>
      <c r="AK133" s="44" t="n">
        <f aca="false">AK121+AK122+AK123+AK124+AK125+AK130+AK131+AK132</f>
        <v>2.56853956673307</v>
      </c>
      <c r="AL133" s="44" t="n">
        <f aca="false">AL121+AL122+AL123+AL124+AL125+AL130+AL131+AL132</f>
        <v>2.56853956673307</v>
      </c>
      <c r="AM133" s="44" t="n">
        <f aca="false">AM121+AM122+AM123+AM124+AM125+AM130+AM131+AM132</f>
        <v>2.56853956673307</v>
      </c>
      <c r="AN133" s="44" t="n">
        <f aca="false">AN121+AN122+AN123+AN124+AN125+AN130+AN131+AN132</f>
        <v>2.56853956673307</v>
      </c>
      <c r="AO133" s="44" t="n">
        <f aca="false">AO121+AO122+AO123+AO124+AO125+AO130+AO131+AO132</f>
        <v>0</v>
      </c>
      <c r="AP133" s="44" t="n">
        <f aca="false">AP121+AP122+AP123+AP124+AP125+AP130+AP131+AP132</f>
        <v>0</v>
      </c>
      <c r="AQ133" s="44" t="n">
        <f aca="false">AQ121+AQ122+AQ123+AQ124+AQ125+AQ130+AQ131+AQ132</f>
        <v>0</v>
      </c>
      <c r="AR133" s="44" t="n">
        <f aca="false">AR121+AR122+AR123+AR124+AR125+AR130+AR131+AR132</f>
        <v>0</v>
      </c>
      <c r="AS133" s="44" t="n">
        <f aca="false">AS121+AS122+AS123+AS124+AS125+AS130+AS131+AS132</f>
        <v>0</v>
      </c>
      <c r="AT133" s="44" t="n">
        <f aca="false">AT121+AT122+AT123+AT124+AT125+AT130+AT131+AT132</f>
        <v>0</v>
      </c>
      <c r="AU133" s="44" t="n">
        <f aca="false">AU121+AU122+AU123+AU124+AU125+AU130+AU131+AU132</f>
        <v>0</v>
      </c>
      <c r="AV133" s="44" t="n">
        <f aca="false">AV121+AV122+AV123+AV124+AV125+AV130+AV131+AV132</f>
        <v>0</v>
      </c>
      <c r="AW133" s="44" t="n">
        <f aca="false">AW121+AW122+AW123+AW124+AW125+AW130+AW131+AW132</f>
        <v>0</v>
      </c>
      <c r="AX133" s="44" t="n">
        <f aca="false">AX121+AX122+AX123+AX124+AX125+AX130+AX131+AX132</f>
        <v>0</v>
      </c>
      <c r="AY133" s="44" t="n">
        <f aca="false">AY121+AY122+AY123+AY124+AY125+AY130+AY131+AY132</f>
        <v>0</v>
      </c>
      <c r="AZ133" s="44" t="n">
        <f aca="false">AZ121+AZ122+AZ123+AZ124+AZ125+AZ130+AZ131+AZ132</f>
        <v>0</v>
      </c>
      <c r="BA133" s="44" t="n">
        <f aca="false">BA121+BA122+BA123+BA124+BA125+BA130+BA131+BA132</f>
        <v>0</v>
      </c>
      <c r="BB133" s="44" t="n">
        <f aca="false">BB121+BB122+BB123+BB124+BB125+BB130+BB131+BB132</f>
        <v>0</v>
      </c>
      <c r="BC133" s="44" t="n">
        <f aca="false">BC121+BC122+BC123+BC124+BC125+BC130+BC131+BC132</f>
        <v>0</v>
      </c>
      <c r="BD133" s="44" t="n">
        <f aca="false">BD121+BD122+BD123+BD124+BD125+BD130+BD131+BD132</f>
        <v>0</v>
      </c>
      <c r="BE133" s="44" t="n">
        <f aca="false">BE121+BE122+BE123+BE124+BE125+BE130+BE131+BE132</f>
        <v>0</v>
      </c>
      <c r="BF133" s="44" t="n">
        <f aca="false">BF121+BF122+BF123+BF124+BF125+BF130+BF131+BF132</f>
        <v>0</v>
      </c>
      <c r="BG133" s="44" t="n">
        <f aca="false">BG121+BG122+BG123+BG124+BG125+BG130+BG131+BG132</f>
        <v>0</v>
      </c>
      <c r="BH133" s="44" t="n">
        <f aca="false">BH121+BH122+BH123+BH124+BH125+BH130+BH131+BH132</f>
        <v>0</v>
      </c>
      <c r="BI133" s="44" t="n">
        <f aca="false">BI121+BI122+BI123+BI124+BI125+BI130+BI131+BI132</f>
        <v>0</v>
      </c>
      <c r="BJ133" s="44" t="n">
        <f aca="false">BJ121+BJ122+BJ123+BJ124+BJ125+BJ130+BJ131+BJ132</f>
        <v>0</v>
      </c>
      <c r="BK133" s="44" t="n">
        <f aca="false">BK121+BK122+BK123+BK124+BK125+BK130+BK131+BK132</f>
        <v>0</v>
      </c>
      <c r="BL133" s="44" t="n">
        <f aca="false">BL121+BL122+BL123+BL124+BL125+BL130+BL131+BL132</f>
        <v>0</v>
      </c>
      <c r="BM133" s="44" t="n">
        <f aca="false">BM121+BM122+BM123+BM124+BM125+BM130+BM131+BM132</f>
        <v>0</v>
      </c>
      <c r="BN133" s="44" t="n">
        <f aca="false">BN121+BN122+BN123+BN124+BN125+BN130+BN131+BN132</f>
        <v>0</v>
      </c>
      <c r="BO133" s="44" t="n">
        <f aca="false">BO121+BO122+BO123+BO124+BO125+BO130+BO131+BO132</f>
        <v>0</v>
      </c>
      <c r="BP133" s="44" t="n">
        <f aca="false">BP121+BP122+BP123+BP124+BP125+BP130+BP131+BP132</f>
        <v>0</v>
      </c>
      <c r="BQ133" s="44" t="n">
        <f aca="false">BQ121+BQ122+BQ123+BQ124+BQ125+BQ130+BQ131+BQ132</f>
        <v>0</v>
      </c>
      <c r="BR133" s="44" t="n">
        <f aca="false">BR121+BR122+BR123+BR124+BR125+BR130+BR131+BR132</f>
        <v>0</v>
      </c>
      <c r="BS133" s="44" t="n">
        <f aca="false">BS121+BS122+BS123+BS124+BS125+BS130+BS131+BS132</f>
        <v>0</v>
      </c>
      <c r="BT133" s="44" t="n">
        <f aca="false">BT121+BT122+BT123+BT124+BT125+BT130+BT131+BT132</f>
        <v>0</v>
      </c>
      <c r="BU133" s="44" t="n">
        <f aca="false">BU121+BU122+BU123+BU124+BU125+BU130+BU131+BU132</f>
        <v>0</v>
      </c>
      <c r="BV133" s="44" t="n">
        <f aca="false">BV121+BV122+BV123+BV124+BV125+BV130+BV131+BV132</f>
        <v>0</v>
      </c>
      <c r="BW133" s="44" t="n">
        <f aca="false">BW121+BW122+BW123+BW124+BW125+BW130+BW131+BW132</f>
        <v>0</v>
      </c>
      <c r="BX133" s="44" t="n">
        <f aca="false">BX121+BX122+BX123+BX124+BX125+BX130+BX131+BX132</f>
        <v>0</v>
      </c>
    </row>
    <row r="134" customFormat="false" ht="15" hidden="false" customHeight="false" outlineLevel="0" collapsed="false">
      <c r="A134" s="1"/>
      <c r="B134" s="8" t="s">
        <v>395</v>
      </c>
      <c r="C134" s="8" t="s">
        <v>126</v>
      </c>
      <c r="D134" s="44" t="n">
        <f aca="false">SUM(G134:BX134)</f>
        <v>8.20709163346613</v>
      </c>
      <c r="E134" s="1"/>
      <c r="F134" s="1"/>
      <c r="G134" s="48" t="n">
        <f aca="false">G38*$D$19*$D$128/1000000</f>
        <v>0</v>
      </c>
      <c r="H134" s="48" t="n">
        <f aca="false">H38*$D$19*$D$128/1000000</f>
        <v>0</v>
      </c>
      <c r="I134" s="48" t="n">
        <f aca="false">I38*$D$19*$D$128/1000000</f>
        <v>0</v>
      </c>
      <c r="J134" s="48" t="n">
        <f aca="false">J38*$D$19*$D$128/1000000</f>
        <v>0</v>
      </c>
      <c r="K134" s="48" t="n">
        <f aca="false">K38*$D$19*$D$128/1000000</f>
        <v>0.273569721115538</v>
      </c>
      <c r="L134" s="48" t="n">
        <f aca="false">L38*$D$19*$D$128/1000000</f>
        <v>0.273569721115538</v>
      </c>
      <c r="M134" s="48" t="n">
        <f aca="false">M38*$D$19*$D$128/1000000</f>
        <v>0.273569721115538</v>
      </c>
      <c r="N134" s="48" t="n">
        <f aca="false">N38*$D$19*$D$128/1000000</f>
        <v>0.273569721115538</v>
      </c>
      <c r="O134" s="48" t="n">
        <f aca="false">O38*$D$19*$D$128/1000000</f>
        <v>0.273569721115538</v>
      </c>
      <c r="P134" s="48" t="n">
        <f aca="false">P38*$D$19*$D$128/1000000</f>
        <v>0.273569721115538</v>
      </c>
      <c r="Q134" s="48" t="n">
        <f aca="false">Q38*$D$19*$D$128/1000000</f>
        <v>0.273569721115538</v>
      </c>
      <c r="R134" s="48" t="n">
        <f aca="false">R38*$D$19*$D$128/1000000</f>
        <v>0.273569721115538</v>
      </c>
      <c r="S134" s="48" t="n">
        <f aca="false">S38*$D$19*$D$128/1000000</f>
        <v>0.273569721115538</v>
      </c>
      <c r="T134" s="48" t="n">
        <f aca="false">T38*$D$19*$D$128/1000000</f>
        <v>0.273569721115538</v>
      </c>
      <c r="U134" s="48" t="n">
        <f aca="false">U38*$D$19*$D$128/1000000</f>
        <v>0.273569721115538</v>
      </c>
      <c r="V134" s="48" t="n">
        <f aca="false">V38*$D$19*$D$128/1000000</f>
        <v>0.273569721115538</v>
      </c>
      <c r="W134" s="48" t="n">
        <f aca="false">W38*$D$19*$D$128/1000000</f>
        <v>0.273569721115538</v>
      </c>
      <c r="X134" s="48" t="n">
        <f aca="false">X38*$D$19*$D$128/1000000</f>
        <v>0.273569721115538</v>
      </c>
      <c r="Y134" s="48" t="n">
        <f aca="false">Y38*$D$19*$D$128/1000000</f>
        <v>0.273569721115538</v>
      </c>
      <c r="Z134" s="48" t="n">
        <f aca="false">Z38*$D$19*$D$128/1000000</f>
        <v>0.273569721115538</v>
      </c>
      <c r="AA134" s="48" t="n">
        <f aca="false">AA38*$D$19*$D$128/1000000</f>
        <v>0.273569721115538</v>
      </c>
      <c r="AB134" s="48" t="n">
        <f aca="false">AB38*$D$19*$D$128/1000000</f>
        <v>0.273569721115538</v>
      </c>
      <c r="AC134" s="48" t="n">
        <f aca="false">AC38*$D$19*$D$128/1000000</f>
        <v>0.273569721115538</v>
      </c>
      <c r="AD134" s="48" t="n">
        <f aca="false">AD38*$D$19*$D$128/1000000</f>
        <v>0.273569721115538</v>
      </c>
      <c r="AE134" s="48" t="n">
        <f aca="false">AE38*$D$19*$D$128/1000000</f>
        <v>0.273569721115538</v>
      </c>
      <c r="AF134" s="48" t="n">
        <f aca="false">AF38*$D$19*$D$128/1000000</f>
        <v>0.273569721115538</v>
      </c>
      <c r="AG134" s="48" t="n">
        <f aca="false">AG38*$D$19*$D$128/1000000</f>
        <v>0.273569721115538</v>
      </c>
      <c r="AH134" s="48" t="n">
        <f aca="false">AH38*$D$19*$D$128/1000000</f>
        <v>0.273569721115538</v>
      </c>
      <c r="AI134" s="48" t="n">
        <f aca="false">AI38*$D$19*$D$128/1000000</f>
        <v>0.273569721115538</v>
      </c>
      <c r="AJ134" s="48" t="n">
        <f aca="false">AJ38*$D$19*$D$128/1000000</f>
        <v>0.273569721115538</v>
      </c>
      <c r="AK134" s="48" t="n">
        <f aca="false">AK38*$D$19*$D$128/1000000</f>
        <v>0.273569721115538</v>
      </c>
      <c r="AL134" s="48" t="n">
        <f aca="false">AL38*$D$19*$D$128/1000000</f>
        <v>0.273569721115538</v>
      </c>
      <c r="AM134" s="48" t="n">
        <f aca="false">AM38*$D$19*$D$128/1000000</f>
        <v>0.273569721115538</v>
      </c>
      <c r="AN134" s="48" t="n">
        <f aca="false">AN38*$D$19*$D$128/1000000</f>
        <v>0.273569721115538</v>
      </c>
      <c r="AO134" s="48" t="n">
        <f aca="false">AO38*$D$19*$D$128/1000000</f>
        <v>0</v>
      </c>
      <c r="AP134" s="48" t="n">
        <f aca="false">AP38*$D$19*$D$128/1000000</f>
        <v>0</v>
      </c>
      <c r="AQ134" s="48" t="n">
        <f aca="false">AQ38*$D$19*$D$128/1000000</f>
        <v>0</v>
      </c>
      <c r="AR134" s="48" t="n">
        <f aca="false">AR38*$D$19*$D$128/1000000</f>
        <v>0</v>
      </c>
      <c r="AS134" s="48" t="n">
        <f aca="false">AS38*$D$19*$D$128/1000000</f>
        <v>0</v>
      </c>
      <c r="AT134" s="48" t="n">
        <f aca="false">AT38*$D$19*$D$128/1000000</f>
        <v>0</v>
      </c>
      <c r="AU134" s="48" t="n">
        <f aca="false">AU38*$D$19*$D$128/1000000</f>
        <v>0</v>
      </c>
      <c r="AV134" s="48" t="n">
        <f aca="false">AV38*$D$19*$D$128/1000000</f>
        <v>0</v>
      </c>
      <c r="AW134" s="48" t="n">
        <f aca="false">AW38*$D$19*$D$128/1000000</f>
        <v>0</v>
      </c>
      <c r="AX134" s="48" t="n">
        <f aca="false">AX38*$D$19*$D$128/1000000</f>
        <v>0</v>
      </c>
      <c r="AY134" s="48" t="n">
        <f aca="false">AY38*$D$19*$D$128/1000000</f>
        <v>0</v>
      </c>
      <c r="AZ134" s="48" t="n">
        <f aca="false">AZ38*$D$19*$D$128/1000000</f>
        <v>0</v>
      </c>
      <c r="BA134" s="48" t="n">
        <f aca="false">BA38*$D$19*$D$128/1000000</f>
        <v>0</v>
      </c>
      <c r="BB134" s="48" t="n">
        <f aca="false">BB38*$D$19*$D$128/1000000</f>
        <v>0</v>
      </c>
      <c r="BC134" s="48" t="n">
        <f aca="false">BC38*$D$19*$D$128/1000000</f>
        <v>0</v>
      </c>
      <c r="BD134" s="48" t="n">
        <f aca="false">BD38*$D$19*$D$128/1000000</f>
        <v>0</v>
      </c>
      <c r="BE134" s="48" t="n">
        <f aca="false">BE38*$D$19*$D$128/1000000</f>
        <v>0</v>
      </c>
      <c r="BF134" s="48" t="n">
        <f aca="false">BF38*$D$19*$D$128/1000000</f>
        <v>0</v>
      </c>
      <c r="BG134" s="48" t="n">
        <f aca="false">BG38*$D$19*$D$128/1000000</f>
        <v>0</v>
      </c>
      <c r="BH134" s="48" t="n">
        <f aca="false">BH38*$D$19*$D$128/1000000</f>
        <v>0</v>
      </c>
      <c r="BI134" s="48" t="n">
        <f aca="false">BI38*$D$19*$D$128/1000000</f>
        <v>0</v>
      </c>
      <c r="BJ134" s="48" t="n">
        <f aca="false">BJ38*$D$19*$D$128/1000000</f>
        <v>0</v>
      </c>
      <c r="BK134" s="48" t="n">
        <f aca="false">BK38*$D$19*$D$128/1000000</f>
        <v>0</v>
      </c>
      <c r="BL134" s="48" t="n">
        <f aca="false">BL38*$D$19*$D$128/1000000</f>
        <v>0</v>
      </c>
      <c r="BM134" s="48" t="n">
        <f aca="false">BM38*$D$19*$D$128/1000000</f>
        <v>0</v>
      </c>
      <c r="BN134" s="48" t="n">
        <f aca="false">BN38*$D$19*$D$128/1000000</f>
        <v>0</v>
      </c>
      <c r="BO134" s="48" t="n">
        <f aca="false">BO38*$D$19*$D$128/1000000</f>
        <v>0</v>
      </c>
      <c r="BP134" s="48" t="n">
        <f aca="false">BP38*$D$19*$D$128/1000000</f>
        <v>0</v>
      </c>
      <c r="BQ134" s="48" t="n">
        <f aca="false">BQ38*$D$19*$D$128/1000000</f>
        <v>0</v>
      </c>
      <c r="BR134" s="48" t="n">
        <f aca="false">BR38*$D$19*$D$128/1000000</f>
        <v>0</v>
      </c>
      <c r="BS134" s="48" t="n">
        <f aca="false">BS38*$D$19*$D$128/1000000</f>
        <v>0</v>
      </c>
      <c r="BT134" s="48" t="n">
        <f aca="false">BT38*$D$19*$D$128/1000000</f>
        <v>0</v>
      </c>
      <c r="BU134" s="48" t="n">
        <f aca="false">BU38*$D$19*$D$128/1000000</f>
        <v>0</v>
      </c>
      <c r="BV134" s="48" t="n">
        <f aca="false">BV38*$D$19*$D$128/1000000</f>
        <v>0</v>
      </c>
      <c r="BW134" s="48" t="n">
        <f aca="false">BW38*$D$19*$D$128/1000000</f>
        <v>0</v>
      </c>
      <c r="BX134" s="48" t="n">
        <f aca="false">BX38*$D$19*$D$128/1000000</f>
        <v>0</v>
      </c>
    </row>
    <row r="135" customFormat="false" ht="15" hidden="false" customHeight="false" outlineLevel="0" collapsed="false">
      <c r="A135" s="1"/>
      <c r="B135" s="4" t="s">
        <v>396</v>
      </c>
      <c r="C135" s="1"/>
      <c r="D135" s="46" t="n">
        <f aca="false">IFERROR(SUMIF($G$38:$BX$38,1,$G$133:$BX$133)/COUNTIF($G$38:$BX$38,1),0)</f>
        <v>2.56853956673307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</row>
    <row r="136" customFormat="false" ht="15" hidden="false" customHeight="false" outlineLevel="0" collapsed="false">
      <c r="A136" s="1"/>
      <c r="B136" s="8" t="s">
        <v>397</v>
      </c>
      <c r="C136" s="1"/>
      <c r="D136" s="48" t="n">
        <f aca="false">SUM($G$93:$BX$93)</f>
        <v>0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</row>
    <row r="137" customFormat="false" ht="15" hidden="false" customHeight="false" outlineLevel="0" collapsed="false">
      <c r="A137" s="1"/>
      <c r="B137" s="8" t="s">
        <v>398</v>
      </c>
      <c r="C137" s="1"/>
      <c r="D137" s="48" t="n">
        <f aca="false">SUM($G$69:$BX$69)</f>
        <v>942.75920112692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</row>
    <row r="138" customFormat="false" ht="15" hidden="false" customHeight="false" outlineLevel="0" collapsed="false">
      <c r="A138" s="1"/>
      <c r="B138" s="8" t="s">
        <v>399</v>
      </c>
      <c r="C138" s="1"/>
      <c r="D138" s="48" t="n">
        <f aca="false">SUM($G$72:$BX$72)</f>
        <v>0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</row>
    <row r="139" customFormat="false" ht="15" hidden="false" customHeight="false" outlineLevel="0" collapsed="false">
      <c r="A139" s="1"/>
      <c r="B139" s="8" t="s">
        <v>400</v>
      </c>
      <c r="C139" s="1"/>
      <c r="D139" s="48" t="n">
        <f aca="false">SUM($G$60:$BX$60)</f>
        <v>0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</row>
    <row r="140" customFormat="false" ht="15" hidden="false" customHeight="false" outlineLevel="0" collapsed="false">
      <c r="A140" s="1"/>
      <c r="B140" s="8" t="s">
        <v>401</v>
      </c>
      <c r="C140" s="1"/>
      <c r="D140" s="48" t="n">
        <f aca="false">SUM($G$121:$BX$121)</f>
        <v>73.44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</row>
    <row r="141" customFormat="false" ht="15" hidden="false" customHeight="false" outlineLevel="0" collapsed="false">
      <c r="A141" s="1"/>
      <c r="B141" s="8" t="s">
        <v>402</v>
      </c>
      <c r="C141" s="1"/>
      <c r="D141" s="48" t="n">
        <f aca="false">SUM($G$122:$BX$122)</f>
        <v>0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</row>
    <row r="142" customFormat="false" ht="15" hidden="false" customHeight="false" outlineLevel="0" collapsed="false">
      <c r="A142" s="1"/>
      <c r="B142" s="8" t="s">
        <v>403</v>
      </c>
      <c r="C142" s="1"/>
      <c r="D142" s="48" t="n">
        <f aca="false">SUM($G$123:$BX$123)+SUM($G$124:$BX$124)+SUM($G$125:$BX$125)</f>
        <v>0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</row>
    <row r="143" customFormat="false" ht="15" hidden="false" customHeight="false" outlineLevel="0" collapsed="false">
      <c r="A143" s="1"/>
      <c r="B143" s="8" t="s">
        <v>404</v>
      </c>
      <c r="C143" s="1"/>
      <c r="D143" s="48" t="n">
        <f aca="false">SUM($G$130:$BX$130)+SUM($G$131:$BX$131)+SUM($G$132:$BX$132)</f>
        <v>4.66461050199203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X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6" min="5" style="0" width="3"/>
    <col collapsed="false" customWidth="true" hidden="false" outlineLevel="0" max="76" min="7" style="0" width="10.51"/>
  </cols>
  <sheetData>
    <row r="1" customFormat="false" ht="15" hidden="false" customHeight="false" outlineLevel="0" collapsed="false">
      <c r="A1" s="1"/>
      <c r="B1" s="2" t="s">
        <v>21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</row>
    <row r="2" customFormat="false" ht="15" hidden="false" customHeight="false" outlineLevel="0" collapsed="false">
      <c r="A2" s="1"/>
      <c r="B2" s="6" t="s">
        <v>273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</row>
    <row r="4" customFormat="false" ht="15" hidden="false" customHeight="false" outlineLevel="0" collapsed="false">
      <c r="A4" s="1"/>
      <c r="B4" s="4" t="s">
        <v>25</v>
      </c>
      <c r="C4" s="1"/>
      <c r="D4" s="1"/>
      <c r="E4" s="1"/>
      <c r="F4" s="1"/>
      <c r="G4" s="37" t="n">
        <v>2027</v>
      </c>
      <c r="H4" s="37" t="n">
        <v>2028</v>
      </c>
      <c r="I4" s="37" t="n">
        <v>2029</v>
      </c>
      <c r="J4" s="37" t="n">
        <v>2030</v>
      </c>
      <c r="K4" s="37" t="n">
        <v>2031</v>
      </c>
      <c r="L4" s="37" t="n">
        <v>2032</v>
      </c>
      <c r="M4" s="37" t="n">
        <v>2033</v>
      </c>
      <c r="N4" s="37" t="n">
        <v>2034</v>
      </c>
      <c r="O4" s="37" t="n">
        <v>2035</v>
      </c>
      <c r="P4" s="37" t="n">
        <v>2036</v>
      </c>
      <c r="Q4" s="37" t="n">
        <v>2037</v>
      </c>
      <c r="R4" s="37" t="n">
        <v>2038</v>
      </c>
      <c r="S4" s="37" t="n">
        <v>2039</v>
      </c>
      <c r="T4" s="37" t="n">
        <v>2040</v>
      </c>
      <c r="U4" s="37" t="n">
        <v>2041</v>
      </c>
      <c r="V4" s="37" t="n">
        <v>2042</v>
      </c>
      <c r="W4" s="37" t="n">
        <v>2043</v>
      </c>
      <c r="X4" s="37" t="n">
        <v>2044</v>
      </c>
      <c r="Y4" s="37" t="n">
        <v>2045</v>
      </c>
      <c r="Z4" s="37" t="n">
        <v>2046</v>
      </c>
      <c r="AA4" s="37" t="n">
        <v>2047</v>
      </c>
      <c r="AB4" s="37" t="n">
        <v>2048</v>
      </c>
      <c r="AC4" s="37" t="n">
        <v>2049</v>
      </c>
      <c r="AD4" s="37" t="n">
        <v>2050</v>
      </c>
      <c r="AE4" s="37" t="n">
        <v>2051</v>
      </c>
      <c r="AF4" s="37" t="n">
        <v>2052</v>
      </c>
      <c r="AG4" s="37" t="n">
        <v>2053</v>
      </c>
      <c r="AH4" s="37" t="n">
        <v>2054</v>
      </c>
      <c r="AI4" s="37" t="n">
        <v>2055</v>
      </c>
      <c r="AJ4" s="37" t="n">
        <v>2056</v>
      </c>
      <c r="AK4" s="37" t="n">
        <v>2057</v>
      </c>
      <c r="AL4" s="37" t="n">
        <v>2058</v>
      </c>
      <c r="AM4" s="37" t="n">
        <v>2059</v>
      </c>
      <c r="AN4" s="37" t="n">
        <v>2060</v>
      </c>
      <c r="AO4" s="37" t="n">
        <v>2061</v>
      </c>
      <c r="AP4" s="37" t="n">
        <v>2062</v>
      </c>
      <c r="AQ4" s="37" t="n">
        <v>2063</v>
      </c>
      <c r="AR4" s="37" t="n">
        <v>2064</v>
      </c>
      <c r="AS4" s="37" t="n">
        <v>2065</v>
      </c>
      <c r="AT4" s="37" t="n">
        <v>2066</v>
      </c>
      <c r="AU4" s="37" t="n">
        <v>2067</v>
      </c>
      <c r="AV4" s="37" t="n">
        <v>2068</v>
      </c>
      <c r="AW4" s="37" t="n">
        <v>2069</v>
      </c>
      <c r="AX4" s="37" t="n">
        <v>2070</v>
      </c>
      <c r="AY4" s="37" t="n">
        <v>2071</v>
      </c>
      <c r="AZ4" s="37" t="n">
        <v>2072</v>
      </c>
      <c r="BA4" s="37" t="n">
        <v>2073</v>
      </c>
      <c r="BB4" s="37" t="n">
        <v>2074</v>
      </c>
      <c r="BC4" s="37" t="n">
        <v>2075</v>
      </c>
      <c r="BD4" s="37" t="n">
        <v>2076</v>
      </c>
      <c r="BE4" s="37" t="n">
        <v>2077</v>
      </c>
      <c r="BF4" s="37" t="n">
        <v>2078</v>
      </c>
      <c r="BG4" s="37" t="n">
        <v>2079</v>
      </c>
      <c r="BH4" s="37" t="n">
        <v>2080</v>
      </c>
      <c r="BI4" s="37" t="n">
        <v>2081</v>
      </c>
      <c r="BJ4" s="37" t="n">
        <v>2082</v>
      </c>
      <c r="BK4" s="37" t="n">
        <v>2083</v>
      </c>
      <c r="BL4" s="37" t="n">
        <v>2084</v>
      </c>
      <c r="BM4" s="37" t="n">
        <v>2085</v>
      </c>
      <c r="BN4" s="37" t="n">
        <v>2086</v>
      </c>
      <c r="BO4" s="37" t="n">
        <v>2087</v>
      </c>
      <c r="BP4" s="37" t="n">
        <v>2088</v>
      </c>
      <c r="BQ4" s="37" t="n">
        <v>2089</v>
      </c>
      <c r="BR4" s="37" t="n">
        <v>2090</v>
      </c>
      <c r="BS4" s="37" t="n">
        <v>2091</v>
      </c>
      <c r="BT4" s="37" t="n">
        <v>2092</v>
      </c>
      <c r="BU4" s="37" t="n">
        <v>2093</v>
      </c>
      <c r="BV4" s="37" t="n">
        <v>2094</v>
      </c>
      <c r="BW4" s="37" t="n">
        <v>2095</v>
      </c>
      <c r="BX4" s="37" t="n">
        <v>2096</v>
      </c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</row>
    <row r="6" customFormat="false" ht="15" hidden="false" customHeight="false" outlineLevel="0" collapsed="false">
      <c r="A6" s="1"/>
      <c r="B6" s="13" t="s">
        <v>274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</row>
    <row r="7" customFormat="false" ht="15" hidden="false" customHeight="false" outlineLevel="0" collapsed="false">
      <c r="A7" s="1"/>
      <c r="B7" s="8" t="s">
        <v>275</v>
      </c>
      <c r="C7" s="1"/>
      <c r="D7" s="9" t="n">
        <f aca="false">Input!$H$124</f>
        <v>72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</row>
    <row r="8" customFormat="false" ht="15" hidden="false" customHeight="false" outlineLevel="0" collapsed="false">
      <c r="A8" s="1"/>
      <c r="B8" s="8" t="s">
        <v>276</v>
      </c>
      <c r="C8" s="1"/>
      <c r="D8" s="9" t="n">
        <f aca="false">Input!$H$125</f>
        <v>3800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</row>
    <row r="9" customFormat="false" ht="15" hidden="false" customHeight="false" outlineLevel="0" collapsed="false">
      <c r="A9" s="1"/>
      <c r="B9" s="8" t="s">
        <v>277</v>
      </c>
      <c r="C9" s="1"/>
      <c r="D9" s="38" t="n">
        <f aca="false">Input!$H$126</f>
        <v>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</row>
    <row r="10" customFormat="false" ht="15" hidden="false" customHeight="false" outlineLevel="0" collapsed="false">
      <c r="A10" s="1"/>
      <c r="B10" s="8" t="s">
        <v>278</v>
      </c>
      <c r="C10" s="1"/>
      <c r="D10" s="38" t="n">
        <f aca="false">Input!$H$83</f>
        <v>2031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</row>
    <row r="11" customFormat="false" ht="15" hidden="false" customHeight="false" outlineLevel="0" collapsed="false">
      <c r="A11" s="1"/>
      <c r="B11" s="8" t="s">
        <v>279</v>
      </c>
      <c r="C11" s="1"/>
      <c r="D11" s="38" t="n">
        <f aca="false">Input!$H$127</f>
        <v>25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</row>
    <row r="12" customFormat="false" ht="15" hidden="false" customHeight="false" outlineLevel="0" collapsed="false">
      <c r="A12" s="1"/>
      <c r="B12" s="8" t="s">
        <v>280</v>
      </c>
      <c r="C12" s="1"/>
      <c r="D12" s="39" t="n">
        <f aca="false">$D$10-$D$9</f>
        <v>2029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</row>
    <row r="13" customFormat="false" ht="15" hidden="false" customHeight="false" outlineLevel="0" collapsed="false">
      <c r="A13" s="1"/>
      <c r="B13" s="8" t="s">
        <v>281</v>
      </c>
      <c r="C13" s="1"/>
      <c r="D13" s="10" t="n">
        <f aca="false">Input!$H$17</f>
        <v>0.07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</row>
    <row r="14" customFormat="false" ht="15" hidden="false" customHeight="false" outlineLevel="0" collapsed="false">
      <c r="A14" s="1"/>
      <c r="B14" s="8" t="s">
        <v>282</v>
      </c>
      <c r="C14" s="1"/>
      <c r="D14" s="9" t="n">
        <f aca="false">Input!$H$129</f>
        <v>75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</row>
    <row r="15" customFormat="false" ht="15" hidden="false" customHeight="false" outlineLevel="0" collapsed="false">
      <c r="A15" s="1"/>
      <c r="B15" s="8" t="s">
        <v>283</v>
      </c>
      <c r="C15" s="1"/>
      <c r="D15" s="40" t="n">
        <f aca="false">Input!$H$130</f>
        <v>32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</row>
    <row r="16" customFormat="false" ht="15" hidden="false" customHeight="false" outlineLevel="0" collapsed="false">
      <c r="A16" s="1"/>
      <c r="B16" s="8" t="s">
        <v>57</v>
      </c>
      <c r="C16" s="1"/>
      <c r="D16" s="41" t="n">
        <f aca="false">Input!$H$10</f>
        <v>4.3633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</row>
    <row r="17" customFormat="false" ht="15" hidden="false" customHeight="false" outlineLevel="0" collapsed="false">
      <c r="A17" s="1"/>
      <c r="B17" s="8" t="s">
        <v>215</v>
      </c>
      <c r="C17" s="1"/>
      <c r="D17" s="10" t="n">
        <f aca="false">Input!$H$141</f>
        <v>0.19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</row>
    <row r="18" customFormat="false" ht="15" hidden="false" customHeight="false" outlineLevel="0" collapsed="false">
      <c r="A18" s="1"/>
      <c r="B18" s="8" t="s">
        <v>284</v>
      </c>
      <c r="C18" s="1"/>
      <c r="D18" s="42" t="n">
        <f aca="false">Input!$H$31</f>
        <v>0.005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</row>
    <row r="19" customFormat="false" ht="15" hidden="false" customHeight="false" outlineLevel="0" collapsed="false">
      <c r="A19" s="1"/>
      <c r="B19" s="8" t="s">
        <v>285</v>
      </c>
      <c r="C19" s="1"/>
      <c r="D19" s="9" t="n">
        <f aca="false">Input!$H$132</f>
        <v>15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</row>
    <row r="20" customFormat="false" ht="15" hidden="false" customHeight="false" outlineLevel="0" collapsed="false">
      <c r="A20" s="1"/>
      <c r="B20" s="8" t="s">
        <v>286</v>
      </c>
      <c r="C20" s="1"/>
      <c r="D20" s="9" t="n">
        <f aca="false">Input!$H$133</f>
        <v>200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</row>
    <row r="21" customFormat="false" ht="15" hidden="false" customHeight="false" outlineLevel="0" collapsed="false">
      <c r="A21" s="1"/>
      <c r="B21" s="8" t="s">
        <v>287</v>
      </c>
      <c r="C21" s="1"/>
      <c r="D21" s="10" t="n">
        <f aca="false">Input!$H$134</f>
        <v>0.12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</row>
    <row r="22" customFormat="false" ht="15" hidden="false" customHeight="false" outlineLevel="0" collapsed="false">
      <c r="A22" s="1"/>
      <c r="B22" s="8" t="s">
        <v>288</v>
      </c>
      <c r="C22" s="1"/>
      <c r="D22" s="43" t="n">
        <f aca="false">Input!$H$84</f>
        <v>0.02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</row>
    <row r="23" customFormat="false" ht="15" hidden="false" customHeight="false" outlineLevel="0" collapsed="false">
      <c r="A23" s="1"/>
      <c r="B23" s="8" t="s">
        <v>155</v>
      </c>
      <c r="C23" s="1"/>
      <c r="D23" s="43" t="n">
        <f aca="false">1</f>
        <v>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</row>
    <row r="24" customFormat="false" ht="15" hidden="false" customHeight="false" outlineLevel="0" collapsed="false">
      <c r="A24" s="1"/>
      <c r="B24" s="4" t="s">
        <v>289</v>
      </c>
      <c r="C24" s="1"/>
      <c r="D24" s="44" t="n">
        <f aca="false">$D$8*$D$7*1000/1000000</f>
        <v>273.6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</row>
    <row r="25" customFormat="false" ht="15" hidden="false" customHeight="false" outlineLevel="0" collapsed="false">
      <c r="A25" s="1"/>
      <c r="B25" s="8" t="s">
        <v>410</v>
      </c>
      <c r="C25" s="1"/>
      <c r="D25" s="10" t="n">
        <f aca="false">Input!$H$128</f>
        <v>0.48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</row>
    <row r="26" customFormat="false" ht="15" hidden="false" customHeight="false" outlineLevel="0" collapsed="false">
      <c r="A26" s="1"/>
      <c r="B26" s="8" t="s">
        <v>411</v>
      </c>
      <c r="C26" s="1"/>
      <c r="D26" s="41" t="n">
        <f aca="false">Input!$H$30</f>
        <v>0.2006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</row>
    <row r="27" customFormat="false" ht="15" hidden="false" customHeight="false" outlineLevel="0" collapsed="false">
      <c r="A27" s="1"/>
      <c r="B27" s="8" t="s">
        <v>412</v>
      </c>
      <c r="C27" s="1"/>
      <c r="D27" s="9" t="n">
        <f aca="false">Input!$H$131</f>
        <v>35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</row>
    <row r="28" customFormat="false" ht="15" hidden="false" customHeight="false" outlineLevel="0" collapsed="false">
      <c r="A28" s="1"/>
      <c r="B28" s="8" t="s">
        <v>413</v>
      </c>
      <c r="C28" s="1"/>
      <c r="D28" s="9" t="n">
        <f aca="false">Input!$H$85</f>
        <v>350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</row>
    <row r="29" customFormat="false" ht="15" hidden="false" customHeight="false" outlineLevel="0" collapsed="false">
      <c r="A29" s="1"/>
      <c r="B29" s="8" t="s">
        <v>414</v>
      </c>
      <c r="C29" s="1"/>
      <c r="D29" s="10" t="n">
        <f aca="false">Input!$H$86</f>
        <v>0.05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</row>
    <row r="30" customFormat="false" ht="15" hidden="false" customHeight="false" outlineLevel="0" collapsed="false">
      <c r="A30" s="1"/>
      <c r="B30" s="8" t="s">
        <v>299</v>
      </c>
      <c r="C30" s="1"/>
      <c r="D30" s="41" t="n">
        <f aca="false">Input!$H$27</f>
        <v>0.9328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</row>
    <row r="31" customFormat="false" ht="15" hidden="false" customHeight="false" outlineLevel="0" collapsed="false">
      <c r="A31" s="1"/>
      <c r="B31" s="8" t="s">
        <v>415</v>
      </c>
      <c r="C31" s="1"/>
      <c r="D31" s="9" t="n">
        <f aca="false">Input!$H$29</f>
        <v>40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</row>
    <row r="32" customFormat="false" ht="15" hidden="false" customHeight="false" outlineLevel="0" collapsed="false">
      <c r="A32" s="1"/>
      <c r="B32" s="8" t="s">
        <v>300</v>
      </c>
      <c r="C32" s="1"/>
      <c r="D32" s="48" t="n">
        <f aca="false">Input!$H$87*$D$7/300</f>
        <v>72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</row>
    <row r="33" customFormat="false" ht="15" hidden="false" customHeight="false" outlineLevel="0" collapsed="false">
      <c r="A33" s="1"/>
      <c r="B33" s="8" t="s">
        <v>304</v>
      </c>
      <c r="C33" s="1"/>
      <c r="D33" s="9" t="n">
        <f aca="false">Input!$H$23</f>
        <v>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</row>
    <row r="34" customFormat="false" ht="15" hidden="false" customHeight="false" outlineLevel="0" collapsed="false">
      <c r="A34" s="1"/>
      <c r="B34" s="8" t="s">
        <v>305</v>
      </c>
      <c r="C34" s="1"/>
      <c r="D34" s="38" t="n">
        <f aca="false">Input!$H$24</f>
        <v>17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</row>
    <row r="36" customFormat="false" ht="15" hidden="false" customHeight="false" outlineLevel="0" collapsed="false">
      <c r="A36" s="1"/>
      <c r="B36" s="13" t="s">
        <v>306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</row>
    <row r="37" customFormat="false" ht="15" hidden="false" customHeight="false" outlineLevel="0" collapsed="false">
      <c r="A37" s="1"/>
      <c r="B37" s="8" t="s">
        <v>307</v>
      </c>
      <c r="C37" s="8" t="s">
        <v>308</v>
      </c>
      <c r="D37" s="1"/>
      <c r="E37" s="1"/>
      <c r="F37" s="1"/>
      <c r="G37" s="39" t="n">
        <f aca="false">IF(AND(G$4&gt;=$D$12,G$4&lt;$D$10),1,0)</f>
        <v>0</v>
      </c>
      <c r="H37" s="39" t="n">
        <f aca="false">IF(AND(H$4&gt;=$D$12,H$4&lt;$D$10),1,0)</f>
        <v>0</v>
      </c>
      <c r="I37" s="39" t="n">
        <f aca="false">IF(AND(I$4&gt;=$D$12,I$4&lt;$D$10),1,0)</f>
        <v>1</v>
      </c>
      <c r="J37" s="39" t="n">
        <f aca="false">IF(AND(J$4&gt;=$D$12,J$4&lt;$D$10),1,0)</f>
        <v>1</v>
      </c>
      <c r="K37" s="39" t="n">
        <f aca="false">IF(AND(K$4&gt;=$D$12,K$4&lt;$D$10),1,0)</f>
        <v>0</v>
      </c>
      <c r="L37" s="39" t="n">
        <f aca="false">IF(AND(L$4&gt;=$D$12,L$4&lt;$D$10),1,0)</f>
        <v>0</v>
      </c>
      <c r="M37" s="39" t="n">
        <f aca="false">IF(AND(M$4&gt;=$D$12,M$4&lt;$D$10),1,0)</f>
        <v>0</v>
      </c>
      <c r="N37" s="39" t="n">
        <f aca="false">IF(AND(N$4&gt;=$D$12,N$4&lt;$D$10),1,0)</f>
        <v>0</v>
      </c>
      <c r="O37" s="39" t="n">
        <f aca="false">IF(AND(O$4&gt;=$D$12,O$4&lt;$D$10),1,0)</f>
        <v>0</v>
      </c>
      <c r="P37" s="39" t="n">
        <f aca="false">IF(AND(P$4&gt;=$D$12,P$4&lt;$D$10),1,0)</f>
        <v>0</v>
      </c>
      <c r="Q37" s="39" t="n">
        <f aca="false">IF(AND(Q$4&gt;=$D$12,Q$4&lt;$D$10),1,0)</f>
        <v>0</v>
      </c>
      <c r="R37" s="39" t="n">
        <f aca="false">IF(AND(R$4&gt;=$D$12,R$4&lt;$D$10),1,0)</f>
        <v>0</v>
      </c>
      <c r="S37" s="39" t="n">
        <f aca="false">IF(AND(S$4&gt;=$D$12,S$4&lt;$D$10),1,0)</f>
        <v>0</v>
      </c>
      <c r="T37" s="39" t="n">
        <f aca="false">IF(AND(T$4&gt;=$D$12,T$4&lt;$D$10),1,0)</f>
        <v>0</v>
      </c>
      <c r="U37" s="39" t="n">
        <f aca="false">IF(AND(U$4&gt;=$D$12,U$4&lt;$D$10),1,0)</f>
        <v>0</v>
      </c>
      <c r="V37" s="39" t="n">
        <f aca="false">IF(AND(V$4&gt;=$D$12,V$4&lt;$D$10),1,0)</f>
        <v>0</v>
      </c>
      <c r="W37" s="39" t="n">
        <f aca="false">IF(AND(W$4&gt;=$D$12,W$4&lt;$D$10),1,0)</f>
        <v>0</v>
      </c>
      <c r="X37" s="39" t="n">
        <f aca="false">IF(AND(X$4&gt;=$D$12,X$4&lt;$D$10),1,0)</f>
        <v>0</v>
      </c>
      <c r="Y37" s="39" t="n">
        <f aca="false">IF(AND(Y$4&gt;=$D$12,Y$4&lt;$D$10),1,0)</f>
        <v>0</v>
      </c>
      <c r="Z37" s="39" t="n">
        <f aca="false">IF(AND(Z$4&gt;=$D$12,Z$4&lt;$D$10),1,0)</f>
        <v>0</v>
      </c>
      <c r="AA37" s="39" t="n">
        <f aca="false">IF(AND(AA$4&gt;=$D$12,AA$4&lt;$D$10),1,0)</f>
        <v>0</v>
      </c>
      <c r="AB37" s="39" t="n">
        <f aca="false">IF(AND(AB$4&gt;=$D$12,AB$4&lt;$D$10),1,0)</f>
        <v>0</v>
      </c>
      <c r="AC37" s="39" t="n">
        <f aca="false">IF(AND(AC$4&gt;=$D$12,AC$4&lt;$D$10),1,0)</f>
        <v>0</v>
      </c>
      <c r="AD37" s="39" t="n">
        <f aca="false">IF(AND(AD$4&gt;=$D$12,AD$4&lt;$D$10),1,0)</f>
        <v>0</v>
      </c>
      <c r="AE37" s="39" t="n">
        <f aca="false">IF(AND(AE$4&gt;=$D$12,AE$4&lt;$D$10),1,0)</f>
        <v>0</v>
      </c>
      <c r="AF37" s="39" t="n">
        <f aca="false">IF(AND(AF$4&gt;=$D$12,AF$4&lt;$D$10),1,0)</f>
        <v>0</v>
      </c>
      <c r="AG37" s="39" t="n">
        <f aca="false">IF(AND(AG$4&gt;=$D$12,AG$4&lt;$D$10),1,0)</f>
        <v>0</v>
      </c>
      <c r="AH37" s="39" t="n">
        <f aca="false">IF(AND(AH$4&gt;=$D$12,AH$4&lt;$D$10),1,0)</f>
        <v>0</v>
      </c>
      <c r="AI37" s="39" t="n">
        <f aca="false">IF(AND(AI$4&gt;=$D$12,AI$4&lt;$D$10),1,0)</f>
        <v>0</v>
      </c>
      <c r="AJ37" s="39" t="n">
        <f aca="false">IF(AND(AJ$4&gt;=$D$12,AJ$4&lt;$D$10),1,0)</f>
        <v>0</v>
      </c>
      <c r="AK37" s="39" t="n">
        <f aca="false">IF(AND(AK$4&gt;=$D$12,AK$4&lt;$D$10),1,0)</f>
        <v>0</v>
      </c>
      <c r="AL37" s="39" t="n">
        <f aca="false">IF(AND(AL$4&gt;=$D$12,AL$4&lt;$D$10),1,0)</f>
        <v>0</v>
      </c>
      <c r="AM37" s="39" t="n">
        <f aca="false">IF(AND(AM$4&gt;=$D$12,AM$4&lt;$D$10),1,0)</f>
        <v>0</v>
      </c>
      <c r="AN37" s="39" t="n">
        <f aca="false">IF(AND(AN$4&gt;=$D$12,AN$4&lt;$D$10),1,0)</f>
        <v>0</v>
      </c>
      <c r="AO37" s="39" t="n">
        <f aca="false">IF(AND(AO$4&gt;=$D$12,AO$4&lt;$D$10),1,0)</f>
        <v>0</v>
      </c>
      <c r="AP37" s="39" t="n">
        <f aca="false">IF(AND(AP$4&gt;=$D$12,AP$4&lt;$D$10),1,0)</f>
        <v>0</v>
      </c>
      <c r="AQ37" s="39" t="n">
        <f aca="false">IF(AND(AQ$4&gt;=$D$12,AQ$4&lt;$D$10),1,0)</f>
        <v>0</v>
      </c>
      <c r="AR37" s="39" t="n">
        <f aca="false">IF(AND(AR$4&gt;=$D$12,AR$4&lt;$D$10),1,0)</f>
        <v>0</v>
      </c>
      <c r="AS37" s="39" t="n">
        <f aca="false">IF(AND(AS$4&gt;=$D$12,AS$4&lt;$D$10),1,0)</f>
        <v>0</v>
      </c>
      <c r="AT37" s="39" t="n">
        <f aca="false">IF(AND(AT$4&gt;=$D$12,AT$4&lt;$D$10),1,0)</f>
        <v>0</v>
      </c>
      <c r="AU37" s="39" t="n">
        <f aca="false">IF(AND(AU$4&gt;=$D$12,AU$4&lt;$D$10),1,0)</f>
        <v>0</v>
      </c>
      <c r="AV37" s="39" t="n">
        <f aca="false">IF(AND(AV$4&gt;=$D$12,AV$4&lt;$D$10),1,0)</f>
        <v>0</v>
      </c>
      <c r="AW37" s="39" t="n">
        <f aca="false">IF(AND(AW$4&gt;=$D$12,AW$4&lt;$D$10),1,0)</f>
        <v>0</v>
      </c>
      <c r="AX37" s="39" t="n">
        <f aca="false">IF(AND(AX$4&gt;=$D$12,AX$4&lt;$D$10),1,0)</f>
        <v>0</v>
      </c>
      <c r="AY37" s="39" t="n">
        <f aca="false">IF(AND(AY$4&gt;=$D$12,AY$4&lt;$D$10),1,0)</f>
        <v>0</v>
      </c>
      <c r="AZ37" s="39" t="n">
        <f aca="false">IF(AND(AZ$4&gt;=$D$12,AZ$4&lt;$D$10),1,0)</f>
        <v>0</v>
      </c>
      <c r="BA37" s="39" t="n">
        <f aca="false">IF(AND(BA$4&gt;=$D$12,BA$4&lt;$D$10),1,0)</f>
        <v>0</v>
      </c>
      <c r="BB37" s="39" t="n">
        <f aca="false">IF(AND(BB$4&gt;=$D$12,BB$4&lt;$D$10),1,0)</f>
        <v>0</v>
      </c>
      <c r="BC37" s="39" t="n">
        <f aca="false">IF(AND(BC$4&gt;=$D$12,BC$4&lt;$D$10),1,0)</f>
        <v>0</v>
      </c>
      <c r="BD37" s="39" t="n">
        <f aca="false">IF(AND(BD$4&gt;=$D$12,BD$4&lt;$D$10),1,0)</f>
        <v>0</v>
      </c>
      <c r="BE37" s="39" t="n">
        <f aca="false">IF(AND(BE$4&gt;=$D$12,BE$4&lt;$D$10),1,0)</f>
        <v>0</v>
      </c>
      <c r="BF37" s="39" t="n">
        <f aca="false">IF(AND(BF$4&gt;=$D$12,BF$4&lt;$D$10),1,0)</f>
        <v>0</v>
      </c>
      <c r="BG37" s="39" t="n">
        <f aca="false">IF(AND(BG$4&gt;=$D$12,BG$4&lt;$D$10),1,0)</f>
        <v>0</v>
      </c>
      <c r="BH37" s="39" t="n">
        <f aca="false">IF(AND(BH$4&gt;=$D$12,BH$4&lt;$D$10),1,0)</f>
        <v>0</v>
      </c>
      <c r="BI37" s="39" t="n">
        <f aca="false">IF(AND(BI$4&gt;=$D$12,BI$4&lt;$D$10),1,0)</f>
        <v>0</v>
      </c>
      <c r="BJ37" s="39" t="n">
        <f aca="false">IF(AND(BJ$4&gt;=$D$12,BJ$4&lt;$D$10),1,0)</f>
        <v>0</v>
      </c>
      <c r="BK37" s="39" t="n">
        <f aca="false">IF(AND(BK$4&gt;=$D$12,BK$4&lt;$D$10),1,0)</f>
        <v>0</v>
      </c>
      <c r="BL37" s="39" t="n">
        <f aca="false">IF(AND(BL$4&gt;=$D$12,BL$4&lt;$D$10),1,0)</f>
        <v>0</v>
      </c>
      <c r="BM37" s="39" t="n">
        <f aca="false">IF(AND(BM$4&gt;=$D$12,BM$4&lt;$D$10),1,0)</f>
        <v>0</v>
      </c>
      <c r="BN37" s="39" t="n">
        <f aca="false">IF(AND(BN$4&gt;=$D$12,BN$4&lt;$D$10),1,0)</f>
        <v>0</v>
      </c>
      <c r="BO37" s="39" t="n">
        <f aca="false">IF(AND(BO$4&gt;=$D$12,BO$4&lt;$D$10),1,0)</f>
        <v>0</v>
      </c>
      <c r="BP37" s="39" t="n">
        <f aca="false">IF(AND(BP$4&gt;=$D$12,BP$4&lt;$D$10),1,0)</f>
        <v>0</v>
      </c>
      <c r="BQ37" s="39" t="n">
        <f aca="false">IF(AND(BQ$4&gt;=$D$12,BQ$4&lt;$D$10),1,0)</f>
        <v>0</v>
      </c>
      <c r="BR37" s="39" t="n">
        <f aca="false">IF(AND(BR$4&gt;=$D$12,BR$4&lt;$D$10),1,0)</f>
        <v>0</v>
      </c>
      <c r="BS37" s="39" t="n">
        <f aca="false">IF(AND(BS$4&gt;=$D$12,BS$4&lt;$D$10),1,0)</f>
        <v>0</v>
      </c>
      <c r="BT37" s="39" t="n">
        <f aca="false">IF(AND(BT$4&gt;=$D$12,BT$4&lt;$D$10),1,0)</f>
        <v>0</v>
      </c>
      <c r="BU37" s="39" t="n">
        <f aca="false">IF(AND(BU$4&gt;=$D$12,BU$4&lt;$D$10),1,0)</f>
        <v>0</v>
      </c>
      <c r="BV37" s="39" t="n">
        <f aca="false">IF(AND(BV$4&gt;=$D$12,BV$4&lt;$D$10),1,0)</f>
        <v>0</v>
      </c>
      <c r="BW37" s="39" t="n">
        <f aca="false">IF(AND(BW$4&gt;=$D$12,BW$4&lt;$D$10),1,0)</f>
        <v>0</v>
      </c>
      <c r="BX37" s="39" t="n">
        <f aca="false">IF(AND(BX$4&gt;=$D$12,BX$4&lt;$D$10),1,0)</f>
        <v>0</v>
      </c>
    </row>
    <row r="38" customFormat="false" ht="15" hidden="false" customHeight="false" outlineLevel="0" collapsed="false">
      <c r="A38" s="1"/>
      <c r="B38" s="8" t="s">
        <v>309</v>
      </c>
      <c r="C38" s="8" t="s">
        <v>308</v>
      </c>
      <c r="D38" s="1"/>
      <c r="E38" s="1"/>
      <c r="F38" s="1"/>
      <c r="G38" s="39" t="n">
        <f aca="false">IF(AND(G$4&gt;=$D$10,G$4&lt;$D$10+$D$11),1,0)</f>
        <v>0</v>
      </c>
      <c r="H38" s="39" t="n">
        <f aca="false">IF(AND(H$4&gt;=$D$10,H$4&lt;$D$10+$D$11),1,0)</f>
        <v>0</v>
      </c>
      <c r="I38" s="39" t="n">
        <f aca="false">IF(AND(I$4&gt;=$D$10,I$4&lt;$D$10+$D$11),1,0)</f>
        <v>0</v>
      </c>
      <c r="J38" s="39" t="n">
        <f aca="false">IF(AND(J$4&gt;=$D$10,J$4&lt;$D$10+$D$11),1,0)</f>
        <v>0</v>
      </c>
      <c r="K38" s="39" t="n">
        <f aca="false">IF(AND(K$4&gt;=$D$10,K$4&lt;$D$10+$D$11),1,0)</f>
        <v>1</v>
      </c>
      <c r="L38" s="39" t="n">
        <f aca="false">IF(AND(L$4&gt;=$D$10,L$4&lt;$D$10+$D$11),1,0)</f>
        <v>1</v>
      </c>
      <c r="M38" s="39" t="n">
        <f aca="false">IF(AND(M$4&gt;=$D$10,M$4&lt;$D$10+$D$11),1,0)</f>
        <v>1</v>
      </c>
      <c r="N38" s="39" t="n">
        <f aca="false">IF(AND(N$4&gt;=$D$10,N$4&lt;$D$10+$D$11),1,0)</f>
        <v>1</v>
      </c>
      <c r="O38" s="39" t="n">
        <f aca="false">IF(AND(O$4&gt;=$D$10,O$4&lt;$D$10+$D$11),1,0)</f>
        <v>1</v>
      </c>
      <c r="P38" s="39" t="n">
        <f aca="false">IF(AND(P$4&gt;=$D$10,P$4&lt;$D$10+$D$11),1,0)</f>
        <v>1</v>
      </c>
      <c r="Q38" s="39" t="n">
        <f aca="false">IF(AND(Q$4&gt;=$D$10,Q$4&lt;$D$10+$D$11),1,0)</f>
        <v>1</v>
      </c>
      <c r="R38" s="39" t="n">
        <f aca="false">IF(AND(R$4&gt;=$D$10,R$4&lt;$D$10+$D$11),1,0)</f>
        <v>1</v>
      </c>
      <c r="S38" s="39" t="n">
        <f aca="false">IF(AND(S$4&gt;=$D$10,S$4&lt;$D$10+$D$11),1,0)</f>
        <v>1</v>
      </c>
      <c r="T38" s="39" t="n">
        <f aca="false">IF(AND(T$4&gt;=$D$10,T$4&lt;$D$10+$D$11),1,0)</f>
        <v>1</v>
      </c>
      <c r="U38" s="39" t="n">
        <f aca="false">IF(AND(U$4&gt;=$D$10,U$4&lt;$D$10+$D$11),1,0)</f>
        <v>1</v>
      </c>
      <c r="V38" s="39" t="n">
        <f aca="false">IF(AND(V$4&gt;=$D$10,V$4&lt;$D$10+$D$11),1,0)</f>
        <v>1</v>
      </c>
      <c r="W38" s="39" t="n">
        <f aca="false">IF(AND(W$4&gt;=$D$10,W$4&lt;$D$10+$D$11),1,0)</f>
        <v>1</v>
      </c>
      <c r="X38" s="39" t="n">
        <f aca="false">IF(AND(X$4&gt;=$D$10,X$4&lt;$D$10+$D$11),1,0)</f>
        <v>1</v>
      </c>
      <c r="Y38" s="39" t="n">
        <f aca="false">IF(AND(Y$4&gt;=$D$10,Y$4&lt;$D$10+$D$11),1,0)</f>
        <v>1</v>
      </c>
      <c r="Z38" s="39" t="n">
        <f aca="false">IF(AND(Z$4&gt;=$D$10,Z$4&lt;$D$10+$D$11),1,0)</f>
        <v>1</v>
      </c>
      <c r="AA38" s="39" t="n">
        <f aca="false">IF(AND(AA$4&gt;=$D$10,AA$4&lt;$D$10+$D$11),1,0)</f>
        <v>1</v>
      </c>
      <c r="AB38" s="39" t="n">
        <f aca="false">IF(AND(AB$4&gt;=$D$10,AB$4&lt;$D$10+$D$11),1,0)</f>
        <v>1</v>
      </c>
      <c r="AC38" s="39" t="n">
        <f aca="false">IF(AND(AC$4&gt;=$D$10,AC$4&lt;$D$10+$D$11),1,0)</f>
        <v>1</v>
      </c>
      <c r="AD38" s="39" t="n">
        <f aca="false">IF(AND(AD$4&gt;=$D$10,AD$4&lt;$D$10+$D$11),1,0)</f>
        <v>1</v>
      </c>
      <c r="AE38" s="39" t="n">
        <f aca="false">IF(AND(AE$4&gt;=$D$10,AE$4&lt;$D$10+$D$11),1,0)</f>
        <v>1</v>
      </c>
      <c r="AF38" s="39" t="n">
        <f aca="false">IF(AND(AF$4&gt;=$D$10,AF$4&lt;$D$10+$D$11),1,0)</f>
        <v>1</v>
      </c>
      <c r="AG38" s="39" t="n">
        <f aca="false">IF(AND(AG$4&gt;=$D$10,AG$4&lt;$D$10+$D$11),1,0)</f>
        <v>1</v>
      </c>
      <c r="AH38" s="39" t="n">
        <f aca="false">IF(AND(AH$4&gt;=$D$10,AH$4&lt;$D$10+$D$11),1,0)</f>
        <v>1</v>
      </c>
      <c r="AI38" s="39" t="n">
        <f aca="false">IF(AND(AI$4&gt;=$D$10,AI$4&lt;$D$10+$D$11),1,0)</f>
        <v>1</v>
      </c>
      <c r="AJ38" s="39" t="n">
        <f aca="false">IF(AND(AJ$4&gt;=$D$10,AJ$4&lt;$D$10+$D$11),1,0)</f>
        <v>0</v>
      </c>
      <c r="AK38" s="39" t="n">
        <f aca="false">IF(AND(AK$4&gt;=$D$10,AK$4&lt;$D$10+$D$11),1,0)</f>
        <v>0</v>
      </c>
      <c r="AL38" s="39" t="n">
        <f aca="false">IF(AND(AL$4&gt;=$D$10,AL$4&lt;$D$10+$D$11),1,0)</f>
        <v>0</v>
      </c>
      <c r="AM38" s="39" t="n">
        <f aca="false">IF(AND(AM$4&gt;=$D$10,AM$4&lt;$D$10+$D$11),1,0)</f>
        <v>0</v>
      </c>
      <c r="AN38" s="39" t="n">
        <f aca="false">IF(AND(AN$4&gt;=$D$10,AN$4&lt;$D$10+$D$11),1,0)</f>
        <v>0</v>
      </c>
      <c r="AO38" s="39" t="n">
        <f aca="false">IF(AND(AO$4&gt;=$D$10,AO$4&lt;$D$10+$D$11),1,0)</f>
        <v>0</v>
      </c>
      <c r="AP38" s="39" t="n">
        <f aca="false">IF(AND(AP$4&gt;=$D$10,AP$4&lt;$D$10+$D$11),1,0)</f>
        <v>0</v>
      </c>
      <c r="AQ38" s="39" t="n">
        <f aca="false">IF(AND(AQ$4&gt;=$D$10,AQ$4&lt;$D$10+$D$11),1,0)</f>
        <v>0</v>
      </c>
      <c r="AR38" s="39" t="n">
        <f aca="false">IF(AND(AR$4&gt;=$D$10,AR$4&lt;$D$10+$D$11),1,0)</f>
        <v>0</v>
      </c>
      <c r="AS38" s="39" t="n">
        <f aca="false">IF(AND(AS$4&gt;=$D$10,AS$4&lt;$D$10+$D$11),1,0)</f>
        <v>0</v>
      </c>
      <c r="AT38" s="39" t="n">
        <f aca="false">IF(AND(AT$4&gt;=$D$10,AT$4&lt;$D$10+$D$11),1,0)</f>
        <v>0</v>
      </c>
      <c r="AU38" s="39" t="n">
        <f aca="false">IF(AND(AU$4&gt;=$D$10,AU$4&lt;$D$10+$D$11),1,0)</f>
        <v>0</v>
      </c>
      <c r="AV38" s="39" t="n">
        <f aca="false">IF(AND(AV$4&gt;=$D$10,AV$4&lt;$D$10+$D$11),1,0)</f>
        <v>0</v>
      </c>
      <c r="AW38" s="39" t="n">
        <f aca="false">IF(AND(AW$4&gt;=$D$10,AW$4&lt;$D$10+$D$11),1,0)</f>
        <v>0</v>
      </c>
      <c r="AX38" s="39" t="n">
        <f aca="false">IF(AND(AX$4&gt;=$D$10,AX$4&lt;$D$10+$D$11),1,0)</f>
        <v>0</v>
      </c>
      <c r="AY38" s="39" t="n">
        <f aca="false">IF(AND(AY$4&gt;=$D$10,AY$4&lt;$D$10+$D$11),1,0)</f>
        <v>0</v>
      </c>
      <c r="AZ38" s="39" t="n">
        <f aca="false">IF(AND(AZ$4&gt;=$D$10,AZ$4&lt;$D$10+$D$11),1,0)</f>
        <v>0</v>
      </c>
      <c r="BA38" s="39" t="n">
        <f aca="false">IF(AND(BA$4&gt;=$D$10,BA$4&lt;$D$10+$D$11),1,0)</f>
        <v>0</v>
      </c>
      <c r="BB38" s="39" t="n">
        <f aca="false">IF(AND(BB$4&gt;=$D$10,BB$4&lt;$D$10+$D$11),1,0)</f>
        <v>0</v>
      </c>
      <c r="BC38" s="39" t="n">
        <f aca="false">IF(AND(BC$4&gt;=$D$10,BC$4&lt;$D$10+$D$11),1,0)</f>
        <v>0</v>
      </c>
      <c r="BD38" s="39" t="n">
        <f aca="false">IF(AND(BD$4&gt;=$D$10,BD$4&lt;$D$10+$D$11),1,0)</f>
        <v>0</v>
      </c>
      <c r="BE38" s="39" t="n">
        <f aca="false">IF(AND(BE$4&gt;=$D$10,BE$4&lt;$D$10+$D$11),1,0)</f>
        <v>0</v>
      </c>
      <c r="BF38" s="39" t="n">
        <f aca="false">IF(AND(BF$4&gt;=$D$10,BF$4&lt;$D$10+$D$11),1,0)</f>
        <v>0</v>
      </c>
      <c r="BG38" s="39" t="n">
        <f aca="false">IF(AND(BG$4&gt;=$D$10,BG$4&lt;$D$10+$D$11),1,0)</f>
        <v>0</v>
      </c>
      <c r="BH38" s="39" t="n">
        <f aca="false">IF(AND(BH$4&gt;=$D$10,BH$4&lt;$D$10+$D$11),1,0)</f>
        <v>0</v>
      </c>
      <c r="BI38" s="39" t="n">
        <f aca="false">IF(AND(BI$4&gt;=$D$10,BI$4&lt;$D$10+$D$11),1,0)</f>
        <v>0</v>
      </c>
      <c r="BJ38" s="39" t="n">
        <f aca="false">IF(AND(BJ$4&gt;=$D$10,BJ$4&lt;$D$10+$D$11),1,0)</f>
        <v>0</v>
      </c>
      <c r="BK38" s="39" t="n">
        <f aca="false">IF(AND(BK$4&gt;=$D$10,BK$4&lt;$D$10+$D$11),1,0)</f>
        <v>0</v>
      </c>
      <c r="BL38" s="39" t="n">
        <f aca="false">IF(AND(BL$4&gt;=$D$10,BL$4&lt;$D$10+$D$11),1,0)</f>
        <v>0</v>
      </c>
      <c r="BM38" s="39" t="n">
        <f aca="false">IF(AND(BM$4&gt;=$D$10,BM$4&lt;$D$10+$D$11),1,0)</f>
        <v>0</v>
      </c>
      <c r="BN38" s="39" t="n">
        <f aca="false">IF(AND(BN$4&gt;=$D$10,BN$4&lt;$D$10+$D$11),1,0)</f>
        <v>0</v>
      </c>
      <c r="BO38" s="39" t="n">
        <f aca="false">IF(AND(BO$4&gt;=$D$10,BO$4&lt;$D$10+$D$11),1,0)</f>
        <v>0</v>
      </c>
      <c r="BP38" s="39" t="n">
        <f aca="false">IF(AND(BP$4&gt;=$D$10,BP$4&lt;$D$10+$D$11),1,0)</f>
        <v>0</v>
      </c>
      <c r="BQ38" s="39" t="n">
        <f aca="false">IF(AND(BQ$4&gt;=$D$10,BQ$4&lt;$D$10+$D$11),1,0)</f>
        <v>0</v>
      </c>
      <c r="BR38" s="39" t="n">
        <f aca="false">IF(AND(BR$4&gt;=$D$10,BR$4&lt;$D$10+$D$11),1,0)</f>
        <v>0</v>
      </c>
      <c r="BS38" s="39" t="n">
        <f aca="false">IF(AND(BS$4&gt;=$D$10,BS$4&lt;$D$10+$D$11),1,0)</f>
        <v>0</v>
      </c>
      <c r="BT38" s="39" t="n">
        <f aca="false">IF(AND(BT$4&gt;=$D$10,BT$4&lt;$D$10+$D$11),1,0)</f>
        <v>0</v>
      </c>
      <c r="BU38" s="39" t="n">
        <f aca="false">IF(AND(BU$4&gt;=$D$10,BU$4&lt;$D$10+$D$11),1,0)</f>
        <v>0</v>
      </c>
      <c r="BV38" s="39" t="n">
        <f aca="false">IF(AND(BV$4&gt;=$D$10,BV$4&lt;$D$10+$D$11),1,0)</f>
        <v>0</v>
      </c>
      <c r="BW38" s="39" t="n">
        <f aca="false">IF(AND(BW$4&gt;=$D$10,BW$4&lt;$D$10+$D$11),1,0)</f>
        <v>0</v>
      </c>
      <c r="BX38" s="39" t="n">
        <f aca="false">IF(AND(BX$4&gt;=$D$10,BX$4&lt;$D$10+$D$11),1,0)</f>
        <v>0</v>
      </c>
    </row>
    <row r="39" customFormat="false" ht="15" hidden="false" customHeight="false" outlineLevel="0" collapsed="false">
      <c r="A39" s="1"/>
      <c r="B39" s="8" t="s">
        <v>310</v>
      </c>
      <c r="C39" s="8" t="s">
        <v>46</v>
      </c>
      <c r="D39" s="1"/>
      <c r="E39" s="1"/>
      <c r="F39" s="1"/>
      <c r="G39" s="39" t="n">
        <f aca="false">IF(G38=1,G$4-$D$10+1,0)</f>
        <v>0</v>
      </c>
      <c r="H39" s="39" t="n">
        <f aca="false">IF(H38=1,H$4-$D$10+1,0)</f>
        <v>0</v>
      </c>
      <c r="I39" s="39" t="n">
        <f aca="false">IF(I38=1,I$4-$D$10+1,0)</f>
        <v>0</v>
      </c>
      <c r="J39" s="39" t="n">
        <f aca="false">IF(J38=1,J$4-$D$10+1,0)</f>
        <v>0</v>
      </c>
      <c r="K39" s="39" t="n">
        <f aca="false">IF(K38=1,K$4-$D$10+1,0)</f>
        <v>1</v>
      </c>
      <c r="L39" s="39" t="n">
        <f aca="false">IF(L38=1,L$4-$D$10+1,0)</f>
        <v>2</v>
      </c>
      <c r="M39" s="39" t="n">
        <f aca="false">IF(M38=1,M$4-$D$10+1,0)</f>
        <v>3</v>
      </c>
      <c r="N39" s="39" t="n">
        <f aca="false">IF(N38=1,N$4-$D$10+1,0)</f>
        <v>4</v>
      </c>
      <c r="O39" s="39" t="n">
        <f aca="false">IF(O38=1,O$4-$D$10+1,0)</f>
        <v>5</v>
      </c>
      <c r="P39" s="39" t="n">
        <f aca="false">IF(P38=1,P$4-$D$10+1,0)</f>
        <v>6</v>
      </c>
      <c r="Q39" s="39" t="n">
        <f aca="false">IF(Q38=1,Q$4-$D$10+1,0)</f>
        <v>7</v>
      </c>
      <c r="R39" s="39" t="n">
        <f aca="false">IF(R38=1,R$4-$D$10+1,0)</f>
        <v>8</v>
      </c>
      <c r="S39" s="39" t="n">
        <f aca="false">IF(S38=1,S$4-$D$10+1,0)</f>
        <v>9</v>
      </c>
      <c r="T39" s="39" t="n">
        <f aca="false">IF(T38=1,T$4-$D$10+1,0)</f>
        <v>10</v>
      </c>
      <c r="U39" s="39" t="n">
        <f aca="false">IF(U38=1,U$4-$D$10+1,0)</f>
        <v>11</v>
      </c>
      <c r="V39" s="39" t="n">
        <f aca="false">IF(V38=1,V$4-$D$10+1,0)</f>
        <v>12</v>
      </c>
      <c r="W39" s="39" t="n">
        <f aca="false">IF(W38=1,W$4-$D$10+1,0)</f>
        <v>13</v>
      </c>
      <c r="X39" s="39" t="n">
        <f aca="false">IF(X38=1,X$4-$D$10+1,0)</f>
        <v>14</v>
      </c>
      <c r="Y39" s="39" t="n">
        <f aca="false">IF(Y38=1,Y$4-$D$10+1,0)</f>
        <v>15</v>
      </c>
      <c r="Z39" s="39" t="n">
        <f aca="false">IF(Z38=1,Z$4-$D$10+1,0)</f>
        <v>16</v>
      </c>
      <c r="AA39" s="39" t="n">
        <f aca="false">IF(AA38=1,AA$4-$D$10+1,0)</f>
        <v>17</v>
      </c>
      <c r="AB39" s="39" t="n">
        <f aca="false">IF(AB38=1,AB$4-$D$10+1,0)</f>
        <v>18</v>
      </c>
      <c r="AC39" s="39" t="n">
        <f aca="false">IF(AC38=1,AC$4-$D$10+1,0)</f>
        <v>19</v>
      </c>
      <c r="AD39" s="39" t="n">
        <f aca="false">IF(AD38=1,AD$4-$D$10+1,0)</f>
        <v>20</v>
      </c>
      <c r="AE39" s="39" t="n">
        <f aca="false">IF(AE38=1,AE$4-$D$10+1,0)</f>
        <v>21</v>
      </c>
      <c r="AF39" s="39" t="n">
        <f aca="false">IF(AF38=1,AF$4-$D$10+1,0)</f>
        <v>22</v>
      </c>
      <c r="AG39" s="39" t="n">
        <f aca="false">IF(AG38=1,AG$4-$D$10+1,0)</f>
        <v>23</v>
      </c>
      <c r="AH39" s="39" t="n">
        <f aca="false">IF(AH38=1,AH$4-$D$10+1,0)</f>
        <v>24</v>
      </c>
      <c r="AI39" s="39" t="n">
        <f aca="false">IF(AI38=1,AI$4-$D$10+1,0)</f>
        <v>25</v>
      </c>
      <c r="AJ39" s="39" t="n">
        <f aca="false">IF(AJ38=1,AJ$4-$D$10+1,0)</f>
        <v>0</v>
      </c>
      <c r="AK39" s="39" t="n">
        <f aca="false">IF(AK38=1,AK$4-$D$10+1,0)</f>
        <v>0</v>
      </c>
      <c r="AL39" s="39" t="n">
        <f aca="false">IF(AL38=1,AL$4-$D$10+1,0)</f>
        <v>0</v>
      </c>
      <c r="AM39" s="39" t="n">
        <f aca="false">IF(AM38=1,AM$4-$D$10+1,0)</f>
        <v>0</v>
      </c>
      <c r="AN39" s="39" t="n">
        <f aca="false">IF(AN38=1,AN$4-$D$10+1,0)</f>
        <v>0</v>
      </c>
      <c r="AO39" s="39" t="n">
        <f aca="false">IF(AO38=1,AO$4-$D$10+1,0)</f>
        <v>0</v>
      </c>
      <c r="AP39" s="39" t="n">
        <f aca="false">IF(AP38=1,AP$4-$D$10+1,0)</f>
        <v>0</v>
      </c>
      <c r="AQ39" s="39" t="n">
        <f aca="false">IF(AQ38=1,AQ$4-$D$10+1,0)</f>
        <v>0</v>
      </c>
      <c r="AR39" s="39" t="n">
        <f aca="false">IF(AR38=1,AR$4-$D$10+1,0)</f>
        <v>0</v>
      </c>
      <c r="AS39" s="39" t="n">
        <f aca="false">IF(AS38=1,AS$4-$D$10+1,0)</f>
        <v>0</v>
      </c>
      <c r="AT39" s="39" t="n">
        <f aca="false">IF(AT38=1,AT$4-$D$10+1,0)</f>
        <v>0</v>
      </c>
      <c r="AU39" s="39" t="n">
        <f aca="false">IF(AU38=1,AU$4-$D$10+1,0)</f>
        <v>0</v>
      </c>
      <c r="AV39" s="39" t="n">
        <f aca="false">IF(AV38=1,AV$4-$D$10+1,0)</f>
        <v>0</v>
      </c>
      <c r="AW39" s="39" t="n">
        <f aca="false">IF(AW38=1,AW$4-$D$10+1,0)</f>
        <v>0</v>
      </c>
      <c r="AX39" s="39" t="n">
        <f aca="false">IF(AX38=1,AX$4-$D$10+1,0)</f>
        <v>0</v>
      </c>
      <c r="AY39" s="39" t="n">
        <f aca="false">IF(AY38=1,AY$4-$D$10+1,0)</f>
        <v>0</v>
      </c>
      <c r="AZ39" s="39" t="n">
        <f aca="false">IF(AZ38=1,AZ$4-$D$10+1,0)</f>
        <v>0</v>
      </c>
      <c r="BA39" s="39" t="n">
        <f aca="false">IF(BA38=1,BA$4-$D$10+1,0)</f>
        <v>0</v>
      </c>
      <c r="BB39" s="39" t="n">
        <f aca="false">IF(BB38=1,BB$4-$D$10+1,0)</f>
        <v>0</v>
      </c>
      <c r="BC39" s="39" t="n">
        <f aca="false">IF(BC38=1,BC$4-$D$10+1,0)</f>
        <v>0</v>
      </c>
      <c r="BD39" s="39" t="n">
        <f aca="false">IF(BD38=1,BD$4-$D$10+1,0)</f>
        <v>0</v>
      </c>
      <c r="BE39" s="39" t="n">
        <f aca="false">IF(BE38=1,BE$4-$D$10+1,0)</f>
        <v>0</v>
      </c>
      <c r="BF39" s="39" t="n">
        <f aca="false">IF(BF38=1,BF$4-$D$10+1,0)</f>
        <v>0</v>
      </c>
      <c r="BG39" s="39" t="n">
        <f aca="false">IF(BG38=1,BG$4-$D$10+1,0)</f>
        <v>0</v>
      </c>
      <c r="BH39" s="39" t="n">
        <f aca="false">IF(BH38=1,BH$4-$D$10+1,0)</f>
        <v>0</v>
      </c>
      <c r="BI39" s="39" t="n">
        <f aca="false">IF(BI38=1,BI$4-$D$10+1,0)</f>
        <v>0</v>
      </c>
      <c r="BJ39" s="39" t="n">
        <f aca="false">IF(BJ38=1,BJ$4-$D$10+1,0)</f>
        <v>0</v>
      </c>
      <c r="BK39" s="39" t="n">
        <f aca="false">IF(BK38=1,BK$4-$D$10+1,0)</f>
        <v>0</v>
      </c>
      <c r="BL39" s="39" t="n">
        <f aca="false">IF(BL38=1,BL$4-$D$10+1,0)</f>
        <v>0</v>
      </c>
      <c r="BM39" s="39" t="n">
        <f aca="false">IF(BM38=1,BM$4-$D$10+1,0)</f>
        <v>0</v>
      </c>
      <c r="BN39" s="39" t="n">
        <f aca="false">IF(BN38=1,BN$4-$D$10+1,0)</f>
        <v>0</v>
      </c>
      <c r="BO39" s="39" t="n">
        <f aca="false">IF(BO38=1,BO$4-$D$10+1,0)</f>
        <v>0</v>
      </c>
      <c r="BP39" s="39" t="n">
        <f aca="false">IF(BP38=1,BP$4-$D$10+1,0)</f>
        <v>0</v>
      </c>
      <c r="BQ39" s="39" t="n">
        <f aca="false">IF(BQ38=1,BQ$4-$D$10+1,0)</f>
        <v>0</v>
      </c>
      <c r="BR39" s="39" t="n">
        <f aca="false">IF(BR38=1,BR$4-$D$10+1,0)</f>
        <v>0</v>
      </c>
      <c r="BS39" s="39" t="n">
        <f aca="false">IF(BS38=1,BS$4-$D$10+1,0)</f>
        <v>0</v>
      </c>
      <c r="BT39" s="39" t="n">
        <f aca="false">IF(BT38=1,BT$4-$D$10+1,0)</f>
        <v>0</v>
      </c>
      <c r="BU39" s="39" t="n">
        <f aca="false">IF(BU38=1,BU$4-$D$10+1,0)</f>
        <v>0</v>
      </c>
      <c r="BV39" s="39" t="n">
        <f aca="false">IF(BV38=1,BV$4-$D$10+1,0)</f>
        <v>0</v>
      </c>
      <c r="BW39" s="39" t="n">
        <f aca="false">IF(BW38=1,BW$4-$D$10+1,0)</f>
        <v>0</v>
      </c>
      <c r="BX39" s="39" t="n">
        <f aca="false">IF(BX38=1,BX$4-$D$10+1,0)</f>
        <v>0</v>
      </c>
    </row>
    <row r="40" customFormat="false" ht="15" hidden="false" customHeight="false" outlineLevel="0" collapsed="false">
      <c r="A40" s="1"/>
      <c r="B40" s="8" t="s">
        <v>311</v>
      </c>
      <c r="C40" s="8" t="s">
        <v>46</v>
      </c>
      <c r="D40" s="1"/>
      <c r="E40" s="1"/>
      <c r="F40" s="1"/>
      <c r="G40" s="39" t="n">
        <f aca="false">G$4-$D$12</f>
        <v>-2</v>
      </c>
      <c r="H40" s="39" t="n">
        <f aca="false">H$4-$D$12</f>
        <v>-1</v>
      </c>
      <c r="I40" s="39" t="n">
        <f aca="false">I$4-$D$12</f>
        <v>0</v>
      </c>
      <c r="J40" s="39" t="n">
        <f aca="false">J$4-$D$12</f>
        <v>1</v>
      </c>
      <c r="K40" s="39" t="n">
        <f aca="false">K$4-$D$12</f>
        <v>2</v>
      </c>
      <c r="L40" s="39" t="n">
        <f aca="false">L$4-$D$12</f>
        <v>3</v>
      </c>
      <c r="M40" s="39" t="n">
        <f aca="false">M$4-$D$12</f>
        <v>4</v>
      </c>
      <c r="N40" s="39" t="n">
        <f aca="false">N$4-$D$12</f>
        <v>5</v>
      </c>
      <c r="O40" s="39" t="n">
        <f aca="false">O$4-$D$12</f>
        <v>6</v>
      </c>
      <c r="P40" s="39" t="n">
        <f aca="false">P$4-$D$12</f>
        <v>7</v>
      </c>
      <c r="Q40" s="39" t="n">
        <f aca="false">Q$4-$D$12</f>
        <v>8</v>
      </c>
      <c r="R40" s="39" t="n">
        <f aca="false">R$4-$D$12</f>
        <v>9</v>
      </c>
      <c r="S40" s="39" t="n">
        <f aca="false">S$4-$D$12</f>
        <v>10</v>
      </c>
      <c r="T40" s="39" t="n">
        <f aca="false">T$4-$D$12</f>
        <v>11</v>
      </c>
      <c r="U40" s="39" t="n">
        <f aca="false">U$4-$D$12</f>
        <v>12</v>
      </c>
      <c r="V40" s="39" t="n">
        <f aca="false">V$4-$D$12</f>
        <v>13</v>
      </c>
      <c r="W40" s="39" t="n">
        <f aca="false">W$4-$D$12</f>
        <v>14</v>
      </c>
      <c r="X40" s="39" t="n">
        <f aca="false">X$4-$D$12</f>
        <v>15</v>
      </c>
      <c r="Y40" s="39" t="n">
        <f aca="false">Y$4-$D$12</f>
        <v>16</v>
      </c>
      <c r="Z40" s="39" t="n">
        <f aca="false">Z$4-$D$12</f>
        <v>17</v>
      </c>
      <c r="AA40" s="39" t="n">
        <f aca="false">AA$4-$D$12</f>
        <v>18</v>
      </c>
      <c r="AB40" s="39" t="n">
        <f aca="false">AB$4-$D$12</f>
        <v>19</v>
      </c>
      <c r="AC40" s="39" t="n">
        <f aca="false">AC$4-$D$12</f>
        <v>20</v>
      </c>
      <c r="AD40" s="39" t="n">
        <f aca="false">AD$4-$D$12</f>
        <v>21</v>
      </c>
      <c r="AE40" s="39" t="n">
        <f aca="false">AE$4-$D$12</f>
        <v>22</v>
      </c>
      <c r="AF40" s="39" t="n">
        <f aca="false">AF$4-$D$12</f>
        <v>23</v>
      </c>
      <c r="AG40" s="39" t="n">
        <f aca="false">AG$4-$D$12</f>
        <v>24</v>
      </c>
      <c r="AH40" s="39" t="n">
        <f aca="false">AH$4-$D$12</f>
        <v>25</v>
      </c>
      <c r="AI40" s="39" t="n">
        <f aca="false">AI$4-$D$12</f>
        <v>26</v>
      </c>
      <c r="AJ40" s="39" t="n">
        <f aca="false">AJ$4-$D$12</f>
        <v>27</v>
      </c>
      <c r="AK40" s="39" t="n">
        <f aca="false">AK$4-$D$12</f>
        <v>28</v>
      </c>
      <c r="AL40" s="39" t="n">
        <f aca="false">AL$4-$D$12</f>
        <v>29</v>
      </c>
      <c r="AM40" s="39" t="n">
        <f aca="false">AM$4-$D$12</f>
        <v>30</v>
      </c>
      <c r="AN40" s="39" t="n">
        <f aca="false">AN$4-$D$12</f>
        <v>31</v>
      </c>
      <c r="AO40" s="39" t="n">
        <f aca="false">AO$4-$D$12</f>
        <v>32</v>
      </c>
      <c r="AP40" s="39" t="n">
        <f aca="false">AP$4-$D$12</f>
        <v>33</v>
      </c>
      <c r="AQ40" s="39" t="n">
        <f aca="false">AQ$4-$D$12</f>
        <v>34</v>
      </c>
      <c r="AR40" s="39" t="n">
        <f aca="false">AR$4-$D$12</f>
        <v>35</v>
      </c>
      <c r="AS40" s="39" t="n">
        <f aca="false">AS$4-$D$12</f>
        <v>36</v>
      </c>
      <c r="AT40" s="39" t="n">
        <f aca="false">AT$4-$D$12</f>
        <v>37</v>
      </c>
      <c r="AU40" s="39" t="n">
        <f aca="false">AU$4-$D$12</f>
        <v>38</v>
      </c>
      <c r="AV40" s="39" t="n">
        <f aca="false">AV$4-$D$12</f>
        <v>39</v>
      </c>
      <c r="AW40" s="39" t="n">
        <f aca="false">AW$4-$D$12</f>
        <v>40</v>
      </c>
      <c r="AX40" s="39" t="n">
        <f aca="false">AX$4-$D$12</f>
        <v>41</v>
      </c>
      <c r="AY40" s="39" t="n">
        <f aca="false">AY$4-$D$12</f>
        <v>42</v>
      </c>
      <c r="AZ40" s="39" t="n">
        <f aca="false">AZ$4-$D$12</f>
        <v>43</v>
      </c>
      <c r="BA40" s="39" t="n">
        <f aca="false">BA$4-$D$12</f>
        <v>44</v>
      </c>
      <c r="BB40" s="39" t="n">
        <f aca="false">BB$4-$D$12</f>
        <v>45</v>
      </c>
      <c r="BC40" s="39" t="n">
        <f aca="false">BC$4-$D$12</f>
        <v>46</v>
      </c>
      <c r="BD40" s="39" t="n">
        <f aca="false">BD$4-$D$12</f>
        <v>47</v>
      </c>
      <c r="BE40" s="39" t="n">
        <f aca="false">BE$4-$D$12</f>
        <v>48</v>
      </c>
      <c r="BF40" s="39" t="n">
        <f aca="false">BF$4-$D$12</f>
        <v>49</v>
      </c>
      <c r="BG40" s="39" t="n">
        <f aca="false">BG$4-$D$12</f>
        <v>50</v>
      </c>
      <c r="BH40" s="39" t="n">
        <f aca="false">BH$4-$D$12</f>
        <v>51</v>
      </c>
      <c r="BI40" s="39" t="n">
        <f aca="false">BI$4-$D$12</f>
        <v>52</v>
      </c>
      <c r="BJ40" s="39" t="n">
        <f aca="false">BJ$4-$D$12</f>
        <v>53</v>
      </c>
      <c r="BK40" s="39" t="n">
        <f aca="false">BK$4-$D$12</f>
        <v>54</v>
      </c>
      <c r="BL40" s="39" t="n">
        <f aca="false">BL$4-$D$12</f>
        <v>55</v>
      </c>
      <c r="BM40" s="39" t="n">
        <f aca="false">BM$4-$D$12</f>
        <v>56</v>
      </c>
      <c r="BN40" s="39" t="n">
        <f aca="false">BN$4-$D$12</f>
        <v>57</v>
      </c>
      <c r="BO40" s="39" t="n">
        <f aca="false">BO$4-$D$12</f>
        <v>58</v>
      </c>
      <c r="BP40" s="39" t="n">
        <f aca="false">BP$4-$D$12</f>
        <v>59</v>
      </c>
      <c r="BQ40" s="39" t="n">
        <f aca="false">BQ$4-$D$12</f>
        <v>60</v>
      </c>
      <c r="BR40" s="39" t="n">
        <f aca="false">BR$4-$D$12</f>
        <v>61</v>
      </c>
      <c r="BS40" s="39" t="n">
        <f aca="false">BS$4-$D$12</f>
        <v>62</v>
      </c>
      <c r="BT40" s="39" t="n">
        <f aca="false">BT$4-$D$12</f>
        <v>63</v>
      </c>
      <c r="BU40" s="39" t="n">
        <f aca="false">BU$4-$D$12</f>
        <v>64</v>
      </c>
      <c r="BV40" s="39" t="n">
        <f aca="false">BV$4-$D$12</f>
        <v>65</v>
      </c>
      <c r="BW40" s="39" t="n">
        <f aca="false">BW$4-$D$12</f>
        <v>66</v>
      </c>
      <c r="BX40" s="39" t="n">
        <f aca="false">BX$4-$D$12</f>
        <v>67</v>
      </c>
    </row>
    <row r="41" customFormat="false" ht="15" hidden="false" customHeight="false" outlineLevel="0" collapsed="false">
      <c r="A41" s="1"/>
      <c r="B41" s="8" t="s">
        <v>312</v>
      </c>
      <c r="C41" s="8" t="s">
        <v>46</v>
      </c>
      <c r="D41" s="1"/>
      <c r="E41" s="1"/>
      <c r="F41" s="1"/>
      <c r="G41" s="47" t="n">
        <f aca="false">IF(G$4&gt;=$D$12,1/(1+$D$13)^G40,0)</f>
        <v>0</v>
      </c>
      <c r="H41" s="47" t="n">
        <f aca="false">IF(H$4&gt;=$D$12,1/(1+$D$13)^H40,0)</f>
        <v>0</v>
      </c>
      <c r="I41" s="47" t="n">
        <f aca="false">IF(I$4&gt;=$D$12,1/(1+$D$13)^I40,0)</f>
        <v>1</v>
      </c>
      <c r="J41" s="47" t="n">
        <f aca="false">IF(J$4&gt;=$D$12,1/(1+$D$13)^J40,0)</f>
        <v>0.934579439252336</v>
      </c>
      <c r="K41" s="47" t="n">
        <f aca="false">IF(K$4&gt;=$D$12,1/(1+$D$13)^K40,0)</f>
        <v>0.873438728273212</v>
      </c>
      <c r="L41" s="47" t="n">
        <f aca="false">IF(L$4&gt;=$D$12,1/(1+$D$13)^L40,0)</f>
        <v>0.816297876890852</v>
      </c>
      <c r="M41" s="47" t="n">
        <f aca="false">IF(M$4&gt;=$D$12,1/(1+$D$13)^M40,0)</f>
        <v>0.762895212047525</v>
      </c>
      <c r="N41" s="47" t="n">
        <f aca="false">IF(N$4&gt;=$D$12,1/(1+$D$13)^N40,0)</f>
        <v>0.712986179483668</v>
      </c>
      <c r="O41" s="47" t="n">
        <f aca="false">IF(O$4&gt;=$D$12,1/(1+$D$13)^O40,0)</f>
        <v>0.666342223816512</v>
      </c>
      <c r="P41" s="47" t="n">
        <f aca="false">IF(P$4&gt;=$D$12,1/(1+$D$13)^P40,0)</f>
        <v>0.622749741884591</v>
      </c>
      <c r="Q41" s="47" t="n">
        <f aca="false">IF(Q$4&gt;=$D$12,1/(1+$D$13)^Q40,0)</f>
        <v>0.582009104565038</v>
      </c>
      <c r="R41" s="47" t="n">
        <f aca="false">IF(R$4&gt;=$D$12,1/(1+$D$13)^R40,0)</f>
        <v>0.543933742584148</v>
      </c>
      <c r="S41" s="47" t="n">
        <f aca="false">IF(S$4&gt;=$D$12,1/(1+$D$13)^S40,0)</f>
        <v>0.508349292134718</v>
      </c>
      <c r="T41" s="47" t="n">
        <f aca="false">IF(T$4&gt;=$D$12,1/(1+$D$13)^T40,0)</f>
        <v>0.475092796387586</v>
      </c>
      <c r="U41" s="47" t="n">
        <f aca="false">IF(U$4&gt;=$D$12,1/(1+$D$13)^U40,0)</f>
        <v>0.444011959240735</v>
      </c>
      <c r="V41" s="47" t="n">
        <f aca="false">IF(V$4&gt;=$D$12,1/(1+$D$13)^V40,0)</f>
        <v>0.414964447888537</v>
      </c>
      <c r="W41" s="47" t="n">
        <f aca="false">IF(W$4&gt;=$D$12,1/(1+$D$13)^W40,0)</f>
        <v>0.387817241017325</v>
      </c>
      <c r="X41" s="47" t="n">
        <f aca="false">IF(X$4&gt;=$D$12,1/(1+$D$13)^X40,0)</f>
        <v>0.362446019642359</v>
      </c>
      <c r="Y41" s="47" t="n">
        <f aca="false">IF(Y$4&gt;=$D$12,1/(1+$D$13)^Y40,0)</f>
        <v>0.338734597796598</v>
      </c>
      <c r="Z41" s="47" t="n">
        <f aca="false">IF(Z$4&gt;=$D$12,1/(1+$D$13)^Z40,0)</f>
        <v>0.31657439046411</v>
      </c>
      <c r="AA41" s="47" t="n">
        <f aca="false">IF(AA$4&gt;=$D$12,1/(1+$D$13)^AA40,0)</f>
        <v>0.295863916321598</v>
      </c>
      <c r="AB41" s="47" t="n">
        <f aca="false">IF(AB$4&gt;=$D$12,1/(1+$D$13)^AB40,0)</f>
        <v>0.276508333010839</v>
      </c>
      <c r="AC41" s="47" t="n">
        <f aca="false">IF(AC$4&gt;=$D$12,1/(1+$D$13)^AC40,0)</f>
        <v>0.258419002813868</v>
      </c>
      <c r="AD41" s="47" t="n">
        <f aca="false">IF(AD$4&gt;=$D$12,1/(1+$D$13)^AD40,0)</f>
        <v>0.241513086741933</v>
      </c>
      <c r="AE41" s="47" t="n">
        <f aca="false">IF(AE$4&gt;=$D$12,1/(1+$D$13)^AE40,0)</f>
        <v>0.225713165179377</v>
      </c>
      <c r="AF41" s="47" t="n">
        <f aca="false">IF(AF$4&gt;=$D$12,1/(1+$D$13)^AF40,0)</f>
        <v>0.210946883345212</v>
      </c>
      <c r="AG41" s="47" t="n">
        <f aca="false">IF(AG$4&gt;=$D$12,1/(1+$D$13)^AG40,0)</f>
        <v>0.197146619948796</v>
      </c>
      <c r="AH41" s="47" t="n">
        <f aca="false">IF(AH$4&gt;=$D$12,1/(1+$D$13)^AH40,0)</f>
        <v>0.184249177522239</v>
      </c>
      <c r="AI41" s="47" t="n">
        <f aca="false">IF(AI$4&gt;=$D$12,1/(1+$D$13)^AI40,0)</f>
        <v>0.172195493011439</v>
      </c>
      <c r="AJ41" s="47" t="n">
        <f aca="false">IF(AJ$4&gt;=$D$12,1/(1+$D$13)^AJ40,0)</f>
        <v>0.16093036730041</v>
      </c>
      <c r="AK41" s="47" t="n">
        <f aca="false">IF(AK$4&gt;=$D$12,1/(1+$D$13)^AK40,0)</f>
        <v>0.15040221243029</v>
      </c>
      <c r="AL41" s="47" t="n">
        <f aca="false">IF(AL$4&gt;=$D$12,1/(1+$D$13)^AL40,0)</f>
        <v>0.140562815355411</v>
      </c>
      <c r="AM41" s="47" t="n">
        <f aca="false">IF(AM$4&gt;=$D$12,1/(1+$D$13)^AM40,0)</f>
        <v>0.13136711715459</v>
      </c>
      <c r="AN41" s="47" t="n">
        <f aca="false">IF(AN$4&gt;=$D$12,1/(1+$D$13)^AN40,0)</f>
        <v>0.122773006686532</v>
      </c>
      <c r="AO41" s="47" t="n">
        <f aca="false">IF(AO$4&gt;=$D$12,1/(1+$D$13)^AO40,0)</f>
        <v>0.114741127744423</v>
      </c>
      <c r="AP41" s="47" t="n">
        <f aca="false">IF(AP$4&gt;=$D$12,1/(1+$D$13)^AP40,0)</f>
        <v>0.107234698826563</v>
      </c>
      <c r="AQ41" s="47" t="n">
        <f aca="false">IF(AQ$4&gt;=$D$12,1/(1+$D$13)^AQ40,0)</f>
        <v>0.100219344697723</v>
      </c>
      <c r="AR41" s="47" t="n">
        <f aca="false">IF(AR$4&gt;=$D$12,1/(1+$D$13)^AR40,0)</f>
        <v>0.0936629389698343</v>
      </c>
      <c r="AS41" s="47" t="n">
        <f aca="false">IF(AS$4&gt;=$D$12,1/(1+$D$13)^AS40,0)</f>
        <v>0.0875354569811535</v>
      </c>
      <c r="AT41" s="47" t="n">
        <f aca="false">IF(AT$4&gt;=$D$12,1/(1+$D$13)^AT40,0)</f>
        <v>0.0818088383001435</v>
      </c>
      <c r="AU41" s="47" t="n">
        <f aca="false">IF(AU$4&gt;=$D$12,1/(1+$D$13)^AU40,0)</f>
        <v>0.0764568582244332</v>
      </c>
      <c r="AV41" s="47" t="n">
        <f aca="false">IF(AV$4&gt;=$D$12,1/(1+$D$13)^AV40,0)</f>
        <v>0.0714550076863861</v>
      </c>
      <c r="AW41" s="47" t="n">
        <f aca="false">IF(AW$4&gt;=$D$12,1/(1+$D$13)^AW40,0)</f>
        <v>0.0667803810153141</v>
      </c>
      <c r="AX41" s="47" t="n">
        <f aca="false">IF(AX$4&gt;=$D$12,1/(1+$D$13)^AX40,0)</f>
        <v>0.0624115710423497</v>
      </c>
      <c r="AY41" s="47" t="n">
        <f aca="false">IF(AY$4&gt;=$D$12,1/(1+$D$13)^AY40,0)</f>
        <v>0.0583285710676165</v>
      </c>
      <c r="AZ41" s="47" t="n">
        <f aca="false">IF(AZ$4&gt;=$D$12,1/(1+$D$13)^AZ40,0)</f>
        <v>0.0545126832407631</v>
      </c>
      <c r="BA41" s="47" t="n">
        <f aca="false">IF(BA$4&gt;=$D$12,1/(1+$D$13)^BA40,0)</f>
        <v>0.0509464329352926</v>
      </c>
      <c r="BB41" s="47" t="n">
        <f aca="false">IF(BB$4&gt;=$D$12,1/(1+$D$13)^BB40,0)</f>
        <v>0.0476134887245725</v>
      </c>
      <c r="BC41" s="47" t="n">
        <f aca="false">IF(BC$4&gt;=$D$12,1/(1+$D$13)^BC40,0)</f>
        <v>0.0444985875930584</v>
      </c>
      <c r="BD41" s="47" t="n">
        <f aca="false">IF(BD$4&gt;=$D$12,1/(1+$D$13)^BD40,0)</f>
        <v>0.0415874650402415</v>
      </c>
      <c r="BE41" s="47" t="n">
        <f aca="false">IF(BE$4&gt;=$D$12,1/(1+$D$13)^BE40,0)</f>
        <v>0.0388667897572351</v>
      </c>
      <c r="BF41" s="47" t="n">
        <f aca="false">IF(BF$4&gt;=$D$12,1/(1+$D$13)^BF40,0)</f>
        <v>0.0363241025768552</v>
      </c>
      <c r="BG41" s="47" t="n">
        <f aca="false">IF(BG$4&gt;=$D$12,1/(1+$D$13)^BG40,0)</f>
        <v>0.0339477594176217</v>
      </c>
      <c r="BH41" s="47" t="n">
        <f aca="false">IF(BH$4&gt;=$D$12,1/(1+$D$13)^BH40,0)</f>
        <v>0.0317268779603941</v>
      </c>
      <c r="BI41" s="47" t="n">
        <f aca="false">IF(BI$4&gt;=$D$12,1/(1+$D$13)^BI40,0)</f>
        <v>0.0296512878134524</v>
      </c>
      <c r="BJ41" s="47" t="n">
        <f aca="false">IF(BJ$4&gt;=$D$12,1/(1+$D$13)^BJ40,0)</f>
        <v>0.027711483937806</v>
      </c>
      <c r="BK41" s="47" t="n">
        <f aca="false">IF(BK$4&gt;=$D$12,1/(1+$D$13)^BK40,0)</f>
        <v>0.0258985831194449</v>
      </c>
      <c r="BL41" s="47" t="n">
        <f aca="false">IF(BL$4&gt;=$D$12,1/(1+$D$13)^BL40,0)</f>
        <v>0.0242042832892008</v>
      </c>
      <c r="BM41" s="47" t="n">
        <f aca="false">IF(BM$4&gt;=$D$12,1/(1+$D$13)^BM40,0)</f>
        <v>0.022620825503926</v>
      </c>
      <c r="BN41" s="47" t="n">
        <f aca="false">IF(BN$4&gt;=$D$12,1/(1+$D$13)^BN40,0)</f>
        <v>0.0211409584148841</v>
      </c>
      <c r="BO41" s="47" t="n">
        <f aca="false">IF(BO$4&gt;=$D$12,1/(1+$D$13)^BO40,0)</f>
        <v>0.0197579050606393</v>
      </c>
      <c r="BP41" s="47" t="n">
        <f aca="false">IF(BP$4&gt;=$D$12,1/(1+$D$13)^BP40,0)</f>
        <v>0.0184653318323732</v>
      </c>
      <c r="BQ41" s="47" t="n">
        <f aca="false">IF(BQ$4&gt;=$D$12,1/(1+$D$13)^BQ40,0)</f>
        <v>0.0172573194695077</v>
      </c>
      <c r="BR41" s="47" t="n">
        <f aca="false">IF(BR$4&gt;=$D$12,1/(1+$D$13)^BR40,0)</f>
        <v>0.0161283359528109</v>
      </c>
      <c r="BS41" s="47" t="n">
        <f aca="false">IF(BS$4&gt;=$D$12,1/(1+$D$13)^BS40,0)</f>
        <v>0.0150732111708513</v>
      </c>
      <c r="BT41" s="47" t="n">
        <f aca="false">IF(BT$4&gt;=$D$12,1/(1+$D$13)^BT40,0)</f>
        <v>0.0140871132437863</v>
      </c>
      <c r="BU41" s="47" t="n">
        <f aca="false">IF(BU$4&gt;=$D$12,1/(1+$D$13)^BU40,0)</f>
        <v>0.0131655263960619</v>
      </c>
      <c r="BV41" s="47" t="n">
        <f aca="false">IF(BV$4&gt;=$D$12,1/(1+$D$13)^BV40,0)</f>
        <v>0.0123042302766934</v>
      </c>
      <c r="BW41" s="47" t="n">
        <f aca="false">IF(BW$4&gt;=$D$12,1/(1+$D$13)^BW40,0)</f>
        <v>0.0114992806324237</v>
      </c>
      <c r="BX41" s="47" t="n">
        <f aca="false">IF(BX$4&gt;=$D$12,1/(1+$D$13)^BX40,0)</f>
        <v>0.0107469912452558</v>
      </c>
    </row>
    <row r="42" customFormat="false" ht="15" hidden="false" customHeight="false" outlineLevel="0" collapsed="false">
      <c r="A42" s="1"/>
      <c r="B42" s="8" t="s">
        <v>313</v>
      </c>
      <c r="C42" s="8" t="s">
        <v>66</v>
      </c>
      <c r="D42" s="1"/>
      <c r="E42" s="1"/>
      <c r="F42" s="1"/>
      <c r="G42" s="43" t="n">
        <f aca="false">IF(G37=1,IF(G$4-$D$12=0,0.3,IF(G$4-$D$12=1,0.45,0.25/MAX($D$9-2,1))),0)</f>
        <v>0</v>
      </c>
      <c r="H42" s="43" t="n">
        <f aca="false">IF(H37=1,IF(H$4-$D$12=0,0.3,IF(H$4-$D$12=1,0.45,0.25/MAX($D$9-2,1))),0)</f>
        <v>0</v>
      </c>
      <c r="I42" s="43" t="n">
        <f aca="false">IF(I37=1,IF(I$4-$D$12=0,0.3,IF(I$4-$D$12=1,0.45,0.25/MAX($D$9-2,1))),0)</f>
        <v>0.3</v>
      </c>
      <c r="J42" s="43" t="n">
        <f aca="false">IF(J37=1,IF(J$4-$D$12=0,0.3,IF(J$4-$D$12=1,0.45,0.25/MAX($D$9-2,1))),0)</f>
        <v>0.45</v>
      </c>
      <c r="K42" s="43" t="n">
        <f aca="false">IF(K37=1,IF(K$4-$D$12=0,0.3,IF(K$4-$D$12=1,0.45,0.25/MAX($D$9-2,1))),0)</f>
        <v>0</v>
      </c>
      <c r="L42" s="43" t="n">
        <f aca="false">IF(L37=1,IF(L$4-$D$12=0,0.3,IF(L$4-$D$12=1,0.45,0.25/MAX($D$9-2,1))),0)</f>
        <v>0</v>
      </c>
      <c r="M42" s="43" t="n">
        <f aca="false">IF(M37=1,IF(M$4-$D$12=0,0.3,IF(M$4-$D$12=1,0.45,0.25/MAX($D$9-2,1))),0)</f>
        <v>0</v>
      </c>
      <c r="N42" s="43" t="n">
        <f aca="false">IF(N37=1,IF(N$4-$D$12=0,0.3,IF(N$4-$D$12=1,0.45,0.25/MAX($D$9-2,1))),0)</f>
        <v>0</v>
      </c>
      <c r="O42" s="43" t="n">
        <f aca="false">IF(O37=1,IF(O$4-$D$12=0,0.3,IF(O$4-$D$12=1,0.45,0.25/MAX($D$9-2,1))),0)</f>
        <v>0</v>
      </c>
      <c r="P42" s="43" t="n">
        <f aca="false">IF(P37=1,IF(P$4-$D$12=0,0.3,IF(P$4-$D$12=1,0.45,0.25/MAX($D$9-2,1))),0)</f>
        <v>0</v>
      </c>
      <c r="Q42" s="43" t="n">
        <f aca="false">IF(Q37=1,IF(Q$4-$D$12=0,0.3,IF(Q$4-$D$12=1,0.45,0.25/MAX($D$9-2,1))),0)</f>
        <v>0</v>
      </c>
      <c r="R42" s="43" t="n">
        <f aca="false">IF(R37=1,IF(R$4-$D$12=0,0.3,IF(R$4-$D$12=1,0.45,0.25/MAX($D$9-2,1))),0)</f>
        <v>0</v>
      </c>
      <c r="S42" s="43" t="n">
        <f aca="false">IF(S37=1,IF(S$4-$D$12=0,0.3,IF(S$4-$D$12=1,0.45,0.25/MAX($D$9-2,1))),0)</f>
        <v>0</v>
      </c>
      <c r="T42" s="43" t="n">
        <f aca="false">IF(T37=1,IF(T$4-$D$12=0,0.3,IF(T$4-$D$12=1,0.45,0.25/MAX($D$9-2,1))),0)</f>
        <v>0</v>
      </c>
      <c r="U42" s="43" t="n">
        <f aca="false">IF(U37=1,IF(U$4-$D$12=0,0.3,IF(U$4-$D$12=1,0.45,0.25/MAX($D$9-2,1))),0)</f>
        <v>0</v>
      </c>
      <c r="V42" s="43" t="n">
        <f aca="false">IF(V37=1,IF(V$4-$D$12=0,0.3,IF(V$4-$D$12=1,0.45,0.25/MAX($D$9-2,1))),0)</f>
        <v>0</v>
      </c>
      <c r="W42" s="43" t="n">
        <f aca="false">IF(W37=1,IF(W$4-$D$12=0,0.3,IF(W$4-$D$12=1,0.45,0.25/MAX($D$9-2,1))),0)</f>
        <v>0</v>
      </c>
      <c r="X42" s="43" t="n">
        <f aca="false">IF(X37=1,IF(X$4-$D$12=0,0.3,IF(X$4-$D$12=1,0.45,0.25/MAX($D$9-2,1))),0)</f>
        <v>0</v>
      </c>
      <c r="Y42" s="43" t="n">
        <f aca="false">IF(Y37=1,IF(Y$4-$D$12=0,0.3,IF(Y$4-$D$12=1,0.45,0.25/MAX($D$9-2,1))),0)</f>
        <v>0</v>
      </c>
      <c r="Z42" s="43" t="n">
        <f aca="false">IF(Z37=1,IF(Z$4-$D$12=0,0.3,IF(Z$4-$D$12=1,0.45,0.25/MAX($D$9-2,1))),0)</f>
        <v>0</v>
      </c>
      <c r="AA42" s="43" t="n">
        <f aca="false">IF(AA37=1,IF(AA$4-$D$12=0,0.3,IF(AA$4-$D$12=1,0.45,0.25/MAX($D$9-2,1))),0)</f>
        <v>0</v>
      </c>
      <c r="AB42" s="43" t="n">
        <f aca="false">IF(AB37=1,IF(AB$4-$D$12=0,0.3,IF(AB$4-$D$12=1,0.45,0.25/MAX($D$9-2,1))),0)</f>
        <v>0</v>
      </c>
      <c r="AC42" s="43" t="n">
        <f aca="false">IF(AC37=1,IF(AC$4-$D$12=0,0.3,IF(AC$4-$D$12=1,0.45,0.25/MAX($D$9-2,1))),0)</f>
        <v>0</v>
      </c>
      <c r="AD42" s="43" t="n">
        <f aca="false">IF(AD37=1,IF(AD$4-$D$12=0,0.3,IF(AD$4-$D$12=1,0.45,0.25/MAX($D$9-2,1))),0)</f>
        <v>0</v>
      </c>
      <c r="AE42" s="43" t="n">
        <f aca="false">IF(AE37=1,IF(AE$4-$D$12=0,0.3,IF(AE$4-$D$12=1,0.45,0.25/MAX($D$9-2,1))),0)</f>
        <v>0</v>
      </c>
      <c r="AF42" s="43" t="n">
        <f aca="false">IF(AF37=1,IF(AF$4-$D$12=0,0.3,IF(AF$4-$D$12=1,0.45,0.25/MAX($D$9-2,1))),0)</f>
        <v>0</v>
      </c>
      <c r="AG42" s="43" t="n">
        <f aca="false">IF(AG37=1,IF(AG$4-$D$12=0,0.3,IF(AG$4-$D$12=1,0.45,0.25/MAX($D$9-2,1))),0)</f>
        <v>0</v>
      </c>
      <c r="AH42" s="43" t="n">
        <f aca="false">IF(AH37=1,IF(AH$4-$D$12=0,0.3,IF(AH$4-$D$12=1,0.45,0.25/MAX($D$9-2,1))),0)</f>
        <v>0</v>
      </c>
      <c r="AI42" s="43" t="n">
        <f aca="false">IF(AI37=1,IF(AI$4-$D$12=0,0.3,IF(AI$4-$D$12=1,0.45,0.25/MAX($D$9-2,1))),0)</f>
        <v>0</v>
      </c>
      <c r="AJ42" s="43" t="n">
        <f aca="false">IF(AJ37=1,IF(AJ$4-$D$12=0,0.3,IF(AJ$4-$D$12=1,0.45,0.25/MAX($D$9-2,1))),0)</f>
        <v>0</v>
      </c>
      <c r="AK42" s="43" t="n">
        <f aca="false">IF(AK37=1,IF(AK$4-$D$12=0,0.3,IF(AK$4-$D$12=1,0.45,0.25/MAX($D$9-2,1))),0)</f>
        <v>0</v>
      </c>
      <c r="AL42" s="43" t="n">
        <f aca="false">IF(AL37=1,IF(AL$4-$D$12=0,0.3,IF(AL$4-$D$12=1,0.45,0.25/MAX($D$9-2,1))),0)</f>
        <v>0</v>
      </c>
      <c r="AM42" s="43" t="n">
        <f aca="false">IF(AM37=1,IF(AM$4-$D$12=0,0.3,IF(AM$4-$D$12=1,0.45,0.25/MAX($D$9-2,1))),0)</f>
        <v>0</v>
      </c>
      <c r="AN42" s="43" t="n">
        <f aca="false">IF(AN37=1,IF(AN$4-$D$12=0,0.3,IF(AN$4-$D$12=1,0.45,0.25/MAX($D$9-2,1))),0)</f>
        <v>0</v>
      </c>
      <c r="AO42" s="43" t="n">
        <f aca="false">IF(AO37=1,IF(AO$4-$D$12=0,0.3,IF(AO$4-$D$12=1,0.45,0.25/MAX($D$9-2,1))),0)</f>
        <v>0</v>
      </c>
      <c r="AP42" s="43" t="n">
        <f aca="false">IF(AP37=1,IF(AP$4-$D$12=0,0.3,IF(AP$4-$D$12=1,0.45,0.25/MAX($D$9-2,1))),0)</f>
        <v>0</v>
      </c>
      <c r="AQ42" s="43" t="n">
        <f aca="false">IF(AQ37=1,IF(AQ$4-$D$12=0,0.3,IF(AQ$4-$D$12=1,0.45,0.25/MAX($D$9-2,1))),0)</f>
        <v>0</v>
      </c>
      <c r="AR42" s="43" t="n">
        <f aca="false">IF(AR37=1,IF(AR$4-$D$12=0,0.3,IF(AR$4-$D$12=1,0.45,0.25/MAX($D$9-2,1))),0)</f>
        <v>0</v>
      </c>
      <c r="AS42" s="43" t="n">
        <f aca="false">IF(AS37=1,IF(AS$4-$D$12=0,0.3,IF(AS$4-$D$12=1,0.45,0.25/MAX($D$9-2,1))),0)</f>
        <v>0</v>
      </c>
      <c r="AT42" s="43" t="n">
        <f aca="false">IF(AT37=1,IF(AT$4-$D$12=0,0.3,IF(AT$4-$D$12=1,0.45,0.25/MAX($D$9-2,1))),0)</f>
        <v>0</v>
      </c>
      <c r="AU42" s="43" t="n">
        <f aca="false">IF(AU37=1,IF(AU$4-$D$12=0,0.3,IF(AU$4-$D$12=1,0.45,0.25/MAX($D$9-2,1))),0)</f>
        <v>0</v>
      </c>
      <c r="AV42" s="43" t="n">
        <f aca="false">IF(AV37=1,IF(AV$4-$D$12=0,0.3,IF(AV$4-$D$12=1,0.45,0.25/MAX($D$9-2,1))),0)</f>
        <v>0</v>
      </c>
      <c r="AW42" s="43" t="n">
        <f aca="false">IF(AW37=1,IF(AW$4-$D$12=0,0.3,IF(AW$4-$D$12=1,0.45,0.25/MAX($D$9-2,1))),0)</f>
        <v>0</v>
      </c>
      <c r="AX42" s="43" t="n">
        <f aca="false">IF(AX37=1,IF(AX$4-$D$12=0,0.3,IF(AX$4-$D$12=1,0.45,0.25/MAX($D$9-2,1))),0)</f>
        <v>0</v>
      </c>
      <c r="AY42" s="43" t="n">
        <f aca="false">IF(AY37=1,IF(AY$4-$D$12=0,0.3,IF(AY$4-$D$12=1,0.45,0.25/MAX($D$9-2,1))),0)</f>
        <v>0</v>
      </c>
      <c r="AZ42" s="43" t="n">
        <f aca="false">IF(AZ37=1,IF(AZ$4-$D$12=0,0.3,IF(AZ$4-$D$12=1,0.45,0.25/MAX($D$9-2,1))),0)</f>
        <v>0</v>
      </c>
      <c r="BA42" s="43" t="n">
        <f aca="false">IF(BA37=1,IF(BA$4-$D$12=0,0.3,IF(BA$4-$D$12=1,0.45,0.25/MAX($D$9-2,1))),0)</f>
        <v>0</v>
      </c>
      <c r="BB42" s="43" t="n">
        <f aca="false">IF(BB37=1,IF(BB$4-$D$12=0,0.3,IF(BB$4-$D$12=1,0.45,0.25/MAX($D$9-2,1))),0)</f>
        <v>0</v>
      </c>
      <c r="BC42" s="43" t="n">
        <f aca="false">IF(BC37=1,IF(BC$4-$D$12=0,0.3,IF(BC$4-$D$12=1,0.45,0.25/MAX($D$9-2,1))),0)</f>
        <v>0</v>
      </c>
      <c r="BD42" s="43" t="n">
        <f aca="false">IF(BD37=1,IF(BD$4-$D$12=0,0.3,IF(BD$4-$D$12=1,0.45,0.25/MAX($D$9-2,1))),0)</f>
        <v>0</v>
      </c>
      <c r="BE42" s="43" t="n">
        <f aca="false">IF(BE37=1,IF(BE$4-$D$12=0,0.3,IF(BE$4-$D$12=1,0.45,0.25/MAX($D$9-2,1))),0)</f>
        <v>0</v>
      </c>
      <c r="BF42" s="43" t="n">
        <f aca="false">IF(BF37=1,IF(BF$4-$D$12=0,0.3,IF(BF$4-$D$12=1,0.45,0.25/MAX($D$9-2,1))),0)</f>
        <v>0</v>
      </c>
      <c r="BG42" s="43" t="n">
        <f aca="false">IF(BG37=1,IF(BG$4-$D$12=0,0.3,IF(BG$4-$D$12=1,0.45,0.25/MAX($D$9-2,1))),0)</f>
        <v>0</v>
      </c>
      <c r="BH42" s="43" t="n">
        <f aca="false">IF(BH37=1,IF(BH$4-$D$12=0,0.3,IF(BH$4-$D$12=1,0.45,0.25/MAX($D$9-2,1))),0)</f>
        <v>0</v>
      </c>
      <c r="BI42" s="43" t="n">
        <f aca="false">IF(BI37=1,IF(BI$4-$D$12=0,0.3,IF(BI$4-$D$12=1,0.45,0.25/MAX($D$9-2,1))),0)</f>
        <v>0</v>
      </c>
      <c r="BJ42" s="43" t="n">
        <f aca="false">IF(BJ37=1,IF(BJ$4-$D$12=0,0.3,IF(BJ$4-$D$12=1,0.45,0.25/MAX($D$9-2,1))),0)</f>
        <v>0</v>
      </c>
      <c r="BK42" s="43" t="n">
        <f aca="false">IF(BK37=1,IF(BK$4-$D$12=0,0.3,IF(BK$4-$D$12=1,0.45,0.25/MAX($D$9-2,1))),0)</f>
        <v>0</v>
      </c>
      <c r="BL42" s="43" t="n">
        <f aca="false">IF(BL37=1,IF(BL$4-$D$12=0,0.3,IF(BL$4-$D$12=1,0.45,0.25/MAX($D$9-2,1))),0)</f>
        <v>0</v>
      </c>
      <c r="BM42" s="43" t="n">
        <f aca="false">IF(BM37=1,IF(BM$4-$D$12=0,0.3,IF(BM$4-$D$12=1,0.45,0.25/MAX($D$9-2,1))),0)</f>
        <v>0</v>
      </c>
      <c r="BN42" s="43" t="n">
        <f aca="false">IF(BN37=1,IF(BN$4-$D$12=0,0.3,IF(BN$4-$D$12=1,0.45,0.25/MAX($D$9-2,1))),0)</f>
        <v>0</v>
      </c>
      <c r="BO42" s="43" t="n">
        <f aca="false">IF(BO37=1,IF(BO$4-$D$12=0,0.3,IF(BO$4-$D$12=1,0.45,0.25/MAX($D$9-2,1))),0)</f>
        <v>0</v>
      </c>
      <c r="BP42" s="43" t="n">
        <f aca="false">IF(BP37=1,IF(BP$4-$D$12=0,0.3,IF(BP$4-$D$12=1,0.45,0.25/MAX($D$9-2,1))),0)</f>
        <v>0</v>
      </c>
      <c r="BQ42" s="43" t="n">
        <f aca="false">IF(BQ37=1,IF(BQ$4-$D$12=0,0.3,IF(BQ$4-$D$12=1,0.45,0.25/MAX($D$9-2,1))),0)</f>
        <v>0</v>
      </c>
      <c r="BR42" s="43" t="n">
        <f aca="false">IF(BR37=1,IF(BR$4-$D$12=0,0.3,IF(BR$4-$D$12=1,0.45,0.25/MAX($D$9-2,1))),0)</f>
        <v>0</v>
      </c>
      <c r="BS42" s="43" t="n">
        <f aca="false">IF(BS37=1,IF(BS$4-$D$12=0,0.3,IF(BS$4-$D$12=1,0.45,0.25/MAX($D$9-2,1))),0)</f>
        <v>0</v>
      </c>
      <c r="BT42" s="43" t="n">
        <f aca="false">IF(BT37=1,IF(BT$4-$D$12=0,0.3,IF(BT$4-$D$12=1,0.45,0.25/MAX($D$9-2,1))),0)</f>
        <v>0</v>
      </c>
      <c r="BU42" s="43" t="n">
        <f aca="false">IF(BU37=1,IF(BU$4-$D$12=0,0.3,IF(BU$4-$D$12=1,0.45,0.25/MAX($D$9-2,1))),0)</f>
        <v>0</v>
      </c>
      <c r="BV42" s="43" t="n">
        <f aca="false">IF(BV37=1,IF(BV$4-$D$12=0,0.3,IF(BV$4-$D$12=1,0.45,0.25/MAX($D$9-2,1))),0)</f>
        <v>0</v>
      </c>
      <c r="BW42" s="43" t="n">
        <f aca="false">IF(BW37=1,IF(BW$4-$D$12=0,0.3,IF(BW$4-$D$12=1,0.45,0.25/MAX($D$9-2,1))),0)</f>
        <v>0</v>
      </c>
      <c r="BX42" s="43" t="n">
        <f aca="false">IF(BX37=1,IF(BX$4-$D$12=0,0.3,IF(BX$4-$D$12=1,0.45,0.25/MAX($D$9-2,1))),0)</f>
        <v>0</v>
      </c>
    </row>
    <row r="43" customFormat="false" ht="15" hidden="false" customHeight="false" outlineLevel="0" collapsed="false">
      <c r="A43" s="1"/>
      <c r="B43" s="8" t="s">
        <v>314</v>
      </c>
      <c r="C43" s="8" t="s">
        <v>66</v>
      </c>
      <c r="D43" s="1"/>
      <c r="E43" s="1"/>
      <c r="F43" s="1"/>
      <c r="G43" s="43" t="n">
        <f aca="false">IF(SUM($G42:$BX42)&gt;0,G42/SUM($G42:$BX42),0)</f>
        <v>0</v>
      </c>
      <c r="H43" s="43" t="n">
        <f aca="false">IF(SUM($G42:$BX42)&gt;0,H42/SUM($G42:$BX42),0)</f>
        <v>0</v>
      </c>
      <c r="I43" s="43" t="n">
        <f aca="false">IF(SUM($G42:$BX42)&gt;0,I42/SUM($G42:$BX42),0)</f>
        <v>0.4</v>
      </c>
      <c r="J43" s="43" t="n">
        <f aca="false">IF(SUM($G42:$BX42)&gt;0,J42/SUM($G42:$BX42),0)</f>
        <v>0.6</v>
      </c>
      <c r="K43" s="43" t="n">
        <f aca="false">IF(SUM($G42:$BX42)&gt;0,K42/SUM($G42:$BX42),0)</f>
        <v>0</v>
      </c>
      <c r="L43" s="43" t="n">
        <f aca="false">IF(SUM($G42:$BX42)&gt;0,L42/SUM($G42:$BX42),0)</f>
        <v>0</v>
      </c>
      <c r="M43" s="43" t="n">
        <f aca="false">IF(SUM($G42:$BX42)&gt;0,M42/SUM($G42:$BX42),0)</f>
        <v>0</v>
      </c>
      <c r="N43" s="43" t="n">
        <f aca="false">IF(SUM($G42:$BX42)&gt;0,N42/SUM($G42:$BX42),0)</f>
        <v>0</v>
      </c>
      <c r="O43" s="43" t="n">
        <f aca="false">IF(SUM($G42:$BX42)&gt;0,O42/SUM($G42:$BX42),0)</f>
        <v>0</v>
      </c>
      <c r="P43" s="43" t="n">
        <f aca="false">IF(SUM($G42:$BX42)&gt;0,P42/SUM($G42:$BX42),0)</f>
        <v>0</v>
      </c>
      <c r="Q43" s="43" t="n">
        <f aca="false">IF(SUM($G42:$BX42)&gt;0,Q42/SUM($G42:$BX42),0)</f>
        <v>0</v>
      </c>
      <c r="R43" s="43" t="n">
        <f aca="false">IF(SUM($G42:$BX42)&gt;0,R42/SUM($G42:$BX42),0)</f>
        <v>0</v>
      </c>
      <c r="S43" s="43" t="n">
        <f aca="false">IF(SUM($G42:$BX42)&gt;0,S42/SUM($G42:$BX42),0)</f>
        <v>0</v>
      </c>
      <c r="T43" s="43" t="n">
        <f aca="false">IF(SUM($G42:$BX42)&gt;0,T42/SUM($G42:$BX42),0)</f>
        <v>0</v>
      </c>
      <c r="U43" s="43" t="n">
        <f aca="false">IF(SUM($G42:$BX42)&gt;0,U42/SUM($G42:$BX42),0)</f>
        <v>0</v>
      </c>
      <c r="V43" s="43" t="n">
        <f aca="false">IF(SUM($G42:$BX42)&gt;0,V42/SUM($G42:$BX42),0)</f>
        <v>0</v>
      </c>
      <c r="W43" s="43" t="n">
        <f aca="false">IF(SUM($G42:$BX42)&gt;0,W42/SUM($G42:$BX42),0)</f>
        <v>0</v>
      </c>
      <c r="X43" s="43" t="n">
        <f aca="false">IF(SUM($G42:$BX42)&gt;0,X42/SUM($G42:$BX42),0)</f>
        <v>0</v>
      </c>
      <c r="Y43" s="43" t="n">
        <f aca="false">IF(SUM($G42:$BX42)&gt;0,Y42/SUM($G42:$BX42),0)</f>
        <v>0</v>
      </c>
      <c r="Z43" s="43" t="n">
        <f aca="false">IF(SUM($G42:$BX42)&gt;0,Z42/SUM($G42:$BX42),0)</f>
        <v>0</v>
      </c>
      <c r="AA43" s="43" t="n">
        <f aca="false">IF(SUM($G42:$BX42)&gt;0,AA42/SUM($G42:$BX42),0)</f>
        <v>0</v>
      </c>
      <c r="AB43" s="43" t="n">
        <f aca="false">IF(SUM($G42:$BX42)&gt;0,AB42/SUM($G42:$BX42),0)</f>
        <v>0</v>
      </c>
      <c r="AC43" s="43" t="n">
        <f aca="false">IF(SUM($G42:$BX42)&gt;0,AC42/SUM($G42:$BX42),0)</f>
        <v>0</v>
      </c>
      <c r="AD43" s="43" t="n">
        <f aca="false">IF(SUM($G42:$BX42)&gt;0,AD42/SUM($G42:$BX42),0)</f>
        <v>0</v>
      </c>
      <c r="AE43" s="43" t="n">
        <f aca="false">IF(SUM($G42:$BX42)&gt;0,AE42/SUM($G42:$BX42),0)</f>
        <v>0</v>
      </c>
      <c r="AF43" s="43" t="n">
        <f aca="false">IF(SUM($G42:$BX42)&gt;0,AF42/SUM($G42:$BX42),0)</f>
        <v>0</v>
      </c>
      <c r="AG43" s="43" t="n">
        <f aca="false">IF(SUM($G42:$BX42)&gt;0,AG42/SUM($G42:$BX42),0)</f>
        <v>0</v>
      </c>
      <c r="AH43" s="43" t="n">
        <f aca="false">IF(SUM($G42:$BX42)&gt;0,AH42/SUM($G42:$BX42),0)</f>
        <v>0</v>
      </c>
      <c r="AI43" s="43" t="n">
        <f aca="false">IF(SUM($G42:$BX42)&gt;0,AI42/SUM($G42:$BX42),0)</f>
        <v>0</v>
      </c>
      <c r="AJ43" s="43" t="n">
        <f aca="false">IF(SUM($G42:$BX42)&gt;0,AJ42/SUM($G42:$BX42),0)</f>
        <v>0</v>
      </c>
      <c r="AK43" s="43" t="n">
        <f aca="false">IF(SUM($G42:$BX42)&gt;0,AK42/SUM($G42:$BX42),0)</f>
        <v>0</v>
      </c>
      <c r="AL43" s="43" t="n">
        <f aca="false">IF(SUM($G42:$BX42)&gt;0,AL42/SUM($G42:$BX42),0)</f>
        <v>0</v>
      </c>
      <c r="AM43" s="43" t="n">
        <f aca="false">IF(SUM($G42:$BX42)&gt;0,AM42/SUM($G42:$BX42),0)</f>
        <v>0</v>
      </c>
      <c r="AN43" s="43" t="n">
        <f aca="false">IF(SUM($G42:$BX42)&gt;0,AN42/SUM($G42:$BX42),0)</f>
        <v>0</v>
      </c>
      <c r="AO43" s="43" t="n">
        <f aca="false">IF(SUM($G42:$BX42)&gt;0,AO42/SUM($G42:$BX42),0)</f>
        <v>0</v>
      </c>
      <c r="AP43" s="43" t="n">
        <f aca="false">IF(SUM($G42:$BX42)&gt;0,AP42/SUM($G42:$BX42),0)</f>
        <v>0</v>
      </c>
      <c r="AQ43" s="43" t="n">
        <f aca="false">IF(SUM($G42:$BX42)&gt;0,AQ42/SUM($G42:$BX42),0)</f>
        <v>0</v>
      </c>
      <c r="AR43" s="43" t="n">
        <f aca="false">IF(SUM($G42:$BX42)&gt;0,AR42/SUM($G42:$BX42),0)</f>
        <v>0</v>
      </c>
      <c r="AS43" s="43" t="n">
        <f aca="false">IF(SUM($G42:$BX42)&gt;0,AS42/SUM($G42:$BX42),0)</f>
        <v>0</v>
      </c>
      <c r="AT43" s="43" t="n">
        <f aca="false">IF(SUM($G42:$BX42)&gt;0,AT42/SUM($G42:$BX42),0)</f>
        <v>0</v>
      </c>
      <c r="AU43" s="43" t="n">
        <f aca="false">IF(SUM($G42:$BX42)&gt;0,AU42/SUM($G42:$BX42),0)</f>
        <v>0</v>
      </c>
      <c r="AV43" s="43" t="n">
        <f aca="false">IF(SUM($G42:$BX42)&gt;0,AV42/SUM($G42:$BX42),0)</f>
        <v>0</v>
      </c>
      <c r="AW43" s="43" t="n">
        <f aca="false">IF(SUM($G42:$BX42)&gt;0,AW42/SUM($G42:$BX42),0)</f>
        <v>0</v>
      </c>
      <c r="AX43" s="43" t="n">
        <f aca="false">IF(SUM($G42:$BX42)&gt;0,AX42/SUM($G42:$BX42),0)</f>
        <v>0</v>
      </c>
      <c r="AY43" s="43" t="n">
        <f aca="false">IF(SUM($G42:$BX42)&gt;0,AY42/SUM($G42:$BX42),0)</f>
        <v>0</v>
      </c>
      <c r="AZ43" s="43" t="n">
        <f aca="false">IF(SUM($G42:$BX42)&gt;0,AZ42/SUM($G42:$BX42),0)</f>
        <v>0</v>
      </c>
      <c r="BA43" s="43" t="n">
        <f aca="false">IF(SUM($G42:$BX42)&gt;0,BA42/SUM($G42:$BX42),0)</f>
        <v>0</v>
      </c>
      <c r="BB43" s="43" t="n">
        <f aca="false">IF(SUM($G42:$BX42)&gt;0,BB42/SUM($G42:$BX42),0)</f>
        <v>0</v>
      </c>
      <c r="BC43" s="43" t="n">
        <f aca="false">IF(SUM($G42:$BX42)&gt;0,BC42/SUM($G42:$BX42),0)</f>
        <v>0</v>
      </c>
      <c r="BD43" s="43" t="n">
        <f aca="false">IF(SUM($G42:$BX42)&gt;0,BD42/SUM($G42:$BX42),0)</f>
        <v>0</v>
      </c>
      <c r="BE43" s="43" t="n">
        <f aca="false">IF(SUM($G42:$BX42)&gt;0,BE42/SUM($G42:$BX42),0)</f>
        <v>0</v>
      </c>
      <c r="BF43" s="43" t="n">
        <f aca="false">IF(SUM($G42:$BX42)&gt;0,BF42/SUM($G42:$BX42),0)</f>
        <v>0</v>
      </c>
      <c r="BG43" s="43" t="n">
        <f aca="false">IF(SUM($G42:$BX42)&gt;0,BG42/SUM($G42:$BX42),0)</f>
        <v>0</v>
      </c>
      <c r="BH43" s="43" t="n">
        <f aca="false">IF(SUM($G42:$BX42)&gt;0,BH42/SUM($G42:$BX42),0)</f>
        <v>0</v>
      </c>
      <c r="BI43" s="43" t="n">
        <f aca="false">IF(SUM($G42:$BX42)&gt;0,BI42/SUM($G42:$BX42),0)</f>
        <v>0</v>
      </c>
      <c r="BJ43" s="43" t="n">
        <f aca="false">IF(SUM($G42:$BX42)&gt;0,BJ42/SUM($G42:$BX42),0)</f>
        <v>0</v>
      </c>
      <c r="BK43" s="43" t="n">
        <f aca="false">IF(SUM($G42:$BX42)&gt;0,BK42/SUM($G42:$BX42),0)</f>
        <v>0</v>
      </c>
      <c r="BL43" s="43" t="n">
        <f aca="false">IF(SUM($G42:$BX42)&gt;0,BL42/SUM($G42:$BX42),0)</f>
        <v>0</v>
      </c>
      <c r="BM43" s="43" t="n">
        <f aca="false">IF(SUM($G42:$BX42)&gt;0,BM42/SUM($G42:$BX42),0)</f>
        <v>0</v>
      </c>
      <c r="BN43" s="43" t="n">
        <f aca="false">IF(SUM($G42:$BX42)&gt;0,BN42/SUM($G42:$BX42),0)</f>
        <v>0</v>
      </c>
      <c r="BO43" s="43" t="n">
        <f aca="false">IF(SUM($G42:$BX42)&gt;0,BO42/SUM($G42:$BX42),0)</f>
        <v>0</v>
      </c>
      <c r="BP43" s="43" t="n">
        <f aca="false">IF(SUM($G42:$BX42)&gt;0,BP42/SUM($G42:$BX42),0)</f>
        <v>0</v>
      </c>
      <c r="BQ43" s="43" t="n">
        <f aca="false">IF(SUM($G42:$BX42)&gt;0,BQ42/SUM($G42:$BX42),0)</f>
        <v>0</v>
      </c>
      <c r="BR43" s="43" t="n">
        <f aca="false">IF(SUM($G42:$BX42)&gt;0,BR42/SUM($G42:$BX42),0)</f>
        <v>0</v>
      </c>
      <c r="BS43" s="43" t="n">
        <f aca="false">IF(SUM($G42:$BX42)&gt;0,BS42/SUM($G42:$BX42),0)</f>
        <v>0</v>
      </c>
      <c r="BT43" s="43" t="n">
        <f aca="false">IF(SUM($G42:$BX42)&gt;0,BT42/SUM($G42:$BX42),0)</f>
        <v>0</v>
      </c>
      <c r="BU43" s="43" t="n">
        <f aca="false">IF(SUM($G42:$BX42)&gt;0,BU42/SUM($G42:$BX42),0)</f>
        <v>0</v>
      </c>
      <c r="BV43" s="43" t="n">
        <f aca="false">IF(SUM($G42:$BX42)&gt;0,BV42/SUM($G42:$BX42),0)</f>
        <v>0</v>
      </c>
      <c r="BW43" s="43" t="n">
        <f aca="false">IF(SUM($G42:$BX42)&gt;0,BW42/SUM($G42:$BX42),0)</f>
        <v>0</v>
      </c>
      <c r="BX43" s="43" t="n">
        <f aca="false">IF(SUM($G42:$BX42)&gt;0,BX42/SUM($G42:$BX42),0)</f>
        <v>0</v>
      </c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</row>
    <row r="45" customFormat="false" ht="15" hidden="false" customHeight="false" outlineLevel="0" collapsed="false">
      <c r="A45" s="1"/>
      <c r="B45" s="13" t="s">
        <v>315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</row>
    <row r="46" customFormat="false" ht="15" hidden="false" customHeight="false" outlineLevel="0" collapsed="false">
      <c r="A46" s="1"/>
      <c r="B46" s="8" t="s">
        <v>316</v>
      </c>
      <c r="C46" s="8" t="s">
        <v>126</v>
      </c>
      <c r="D46" s="44" t="n">
        <f aca="false">SUM(G46:BX46)</f>
        <v>273.6</v>
      </c>
      <c r="E46" s="1"/>
      <c r="F46" s="1"/>
      <c r="G46" s="48" t="n">
        <f aca="false">$D$24*G43</f>
        <v>0</v>
      </c>
      <c r="H46" s="48" t="n">
        <f aca="false">$D$24*H43</f>
        <v>0</v>
      </c>
      <c r="I46" s="48" t="n">
        <f aca="false">$D$24*I43</f>
        <v>109.44</v>
      </c>
      <c r="J46" s="48" t="n">
        <f aca="false">$D$24*J43</f>
        <v>164.16</v>
      </c>
      <c r="K46" s="48" t="n">
        <f aca="false">$D$24*K43</f>
        <v>0</v>
      </c>
      <c r="L46" s="48" t="n">
        <f aca="false">$D$24*L43</f>
        <v>0</v>
      </c>
      <c r="M46" s="48" t="n">
        <f aca="false">$D$24*M43</f>
        <v>0</v>
      </c>
      <c r="N46" s="48" t="n">
        <f aca="false">$D$24*N43</f>
        <v>0</v>
      </c>
      <c r="O46" s="48" t="n">
        <f aca="false">$D$24*O43</f>
        <v>0</v>
      </c>
      <c r="P46" s="48" t="n">
        <f aca="false">$D$24*P43</f>
        <v>0</v>
      </c>
      <c r="Q46" s="48" t="n">
        <f aca="false">$D$24*Q43</f>
        <v>0</v>
      </c>
      <c r="R46" s="48" t="n">
        <f aca="false">$D$24*R43</f>
        <v>0</v>
      </c>
      <c r="S46" s="48" t="n">
        <f aca="false">$D$24*S43</f>
        <v>0</v>
      </c>
      <c r="T46" s="48" t="n">
        <f aca="false">$D$24*T43</f>
        <v>0</v>
      </c>
      <c r="U46" s="48" t="n">
        <f aca="false">$D$24*U43</f>
        <v>0</v>
      </c>
      <c r="V46" s="48" t="n">
        <f aca="false">$D$24*V43</f>
        <v>0</v>
      </c>
      <c r="W46" s="48" t="n">
        <f aca="false">$D$24*W43</f>
        <v>0</v>
      </c>
      <c r="X46" s="48" t="n">
        <f aca="false">$D$24*X43</f>
        <v>0</v>
      </c>
      <c r="Y46" s="48" t="n">
        <f aca="false">$D$24*Y43</f>
        <v>0</v>
      </c>
      <c r="Z46" s="48" t="n">
        <f aca="false">$D$24*Z43</f>
        <v>0</v>
      </c>
      <c r="AA46" s="48" t="n">
        <f aca="false">$D$24*AA43</f>
        <v>0</v>
      </c>
      <c r="AB46" s="48" t="n">
        <f aca="false">$D$24*AB43</f>
        <v>0</v>
      </c>
      <c r="AC46" s="48" t="n">
        <f aca="false">$D$24*AC43</f>
        <v>0</v>
      </c>
      <c r="AD46" s="48" t="n">
        <f aca="false">$D$24*AD43</f>
        <v>0</v>
      </c>
      <c r="AE46" s="48" t="n">
        <f aca="false">$D$24*AE43</f>
        <v>0</v>
      </c>
      <c r="AF46" s="48" t="n">
        <f aca="false">$D$24*AF43</f>
        <v>0</v>
      </c>
      <c r="AG46" s="48" t="n">
        <f aca="false">$D$24*AG43</f>
        <v>0</v>
      </c>
      <c r="AH46" s="48" t="n">
        <f aca="false">$D$24*AH43</f>
        <v>0</v>
      </c>
      <c r="AI46" s="48" t="n">
        <f aca="false">$D$24*AI43</f>
        <v>0</v>
      </c>
      <c r="AJ46" s="48" t="n">
        <f aca="false">$D$24*AJ43</f>
        <v>0</v>
      </c>
      <c r="AK46" s="48" t="n">
        <f aca="false">$D$24*AK43</f>
        <v>0</v>
      </c>
      <c r="AL46" s="48" t="n">
        <f aca="false">$D$24*AL43</f>
        <v>0</v>
      </c>
      <c r="AM46" s="48" t="n">
        <f aca="false">$D$24*AM43</f>
        <v>0</v>
      </c>
      <c r="AN46" s="48" t="n">
        <f aca="false">$D$24*AN43</f>
        <v>0</v>
      </c>
      <c r="AO46" s="48" t="n">
        <f aca="false">$D$24*AO43</f>
        <v>0</v>
      </c>
      <c r="AP46" s="48" t="n">
        <f aca="false">$D$24*AP43</f>
        <v>0</v>
      </c>
      <c r="AQ46" s="48" t="n">
        <f aca="false">$D$24*AQ43</f>
        <v>0</v>
      </c>
      <c r="AR46" s="48" t="n">
        <f aca="false">$D$24*AR43</f>
        <v>0</v>
      </c>
      <c r="AS46" s="48" t="n">
        <f aca="false">$D$24*AS43</f>
        <v>0</v>
      </c>
      <c r="AT46" s="48" t="n">
        <f aca="false">$D$24*AT43</f>
        <v>0</v>
      </c>
      <c r="AU46" s="48" t="n">
        <f aca="false">$D$24*AU43</f>
        <v>0</v>
      </c>
      <c r="AV46" s="48" t="n">
        <f aca="false">$D$24*AV43</f>
        <v>0</v>
      </c>
      <c r="AW46" s="48" t="n">
        <f aca="false">$D$24*AW43</f>
        <v>0</v>
      </c>
      <c r="AX46" s="48" t="n">
        <f aca="false">$D$24*AX43</f>
        <v>0</v>
      </c>
      <c r="AY46" s="48" t="n">
        <f aca="false">$D$24*AY43</f>
        <v>0</v>
      </c>
      <c r="AZ46" s="48" t="n">
        <f aca="false">$D$24*AZ43</f>
        <v>0</v>
      </c>
      <c r="BA46" s="48" t="n">
        <f aca="false">$D$24*BA43</f>
        <v>0</v>
      </c>
      <c r="BB46" s="48" t="n">
        <f aca="false">$D$24*BB43</f>
        <v>0</v>
      </c>
      <c r="BC46" s="48" t="n">
        <f aca="false">$D$24*BC43</f>
        <v>0</v>
      </c>
      <c r="BD46" s="48" t="n">
        <f aca="false">$D$24*BD43</f>
        <v>0</v>
      </c>
      <c r="BE46" s="48" t="n">
        <f aca="false">$D$24*BE43</f>
        <v>0</v>
      </c>
      <c r="BF46" s="48" t="n">
        <f aca="false">$D$24*BF43</f>
        <v>0</v>
      </c>
      <c r="BG46" s="48" t="n">
        <f aca="false">$D$24*BG43</f>
        <v>0</v>
      </c>
      <c r="BH46" s="48" t="n">
        <f aca="false">$D$24*BH43</f>
        <v>0</v>
      </c>
      <c r="BI46" s="48" t="n">
        <f aca="false">$D$24*BI43</f>
        <v>0</v>
      </c>
      <c r="BJ46" s="48" t="n">
        <f aca="false">$D$24*BJ43</f>
        <v>0</v>
      </c>
      <c r="BK46" s="48" t="n">
        <f aca="false">$D$24*BK43</f>
        <v>0</v>
      </c>
      <c r="BL46" s="48" t="n">
        <f aca="false">$D$24*BL43</f>
        <v>0</v>
      </c>
      <c r="BM46" s="48" t="n">
        <f aca="false">$D$24*BM43</f>
        <v>0</v>
      </c>
      <c r="BN46" s="48" t="n">
        <f aca="false">$D$24*BN43</f>
        <v>0</v>
      </c>
      <c r="BO46" s="48" t="n">
        <f aca="false">$D$24*BO43</f>
        <v>0</v>
      </c>
      <c r="BP46" s="48" t="n">
        <f aca="false">$D$24*BP43</f>
        <v>0</v>
      </c>
      <c r="BQ46" s="48" t="n">
        <f aca="false">$D$24*BQ43</f>
        <v>0</v>
      </c>
      <c r="BR46" s="48" t="n">
        <f aca="false">$D$24*BR43</f>
        <v>0</v>
      </c>
      <c r="BS46" s="48" t="n">
        <f aca="false">$D$24*BS43</f>
        <v>0</v>
      </c>
      <c r="BT46" s="48" t="n">
        <f aca="false">$D$24*BT43</f>
        <v>0</v>
      </c>
      <c r="BU46" s="48" t="n">
        <f aca="false">$D$24*BU43</f>
        <v>0</v>
      </c>
      <c r="BV46" s="48" t="n">
        <f aca="false">$D$24*BV43</f>
        <v>0</v>
      </c>
      <c r="BW46" s="48" t="n">
        <f aca="false">$D$24*BW43</f>
        <v>0</v>
      </c>
      <c r="BX46" s="48" t="n">
        <f aca="false">$D$24*BX43</f>
        <v>0</v>
      </c>
    </row>
    <row r="47" customFormat="false" ht="15" hidden="false" customHeight="false" outlineLevel="0" collapsed="false">
      <c r="A47" s="1"/>
      <c r="B47" s="8" t="s">
        <v>416</v>
      </c>
      <c r="C47" s="8" t="s">
        <v>126</v>
      </c>
      <c r="D47" s="44" t="n">
        <f aca="false">SUM(G47:BX47)</f>
        <v>25.2</v>
      </c>
      <c r="E47" s="1"/>
      <c r="F47" s="1"/>
      <c r="G47" s="48" t="n">
        <f aca="false">$D$28*$D$7/1000*G43</f>
        <v>0</v>
      </c>
      <c r="H47" s="48" t="n">
        <f aca="false">$D$28*$D$7/1000*H43</f>
        <v>0</v>
      </c>
      <c r="I47" s="48" t="n">
        <f aca="false">$D$28*$D$7/1000*I43</f>
        <v>10.08</v>
      </c>
      <c r="J47" s="48" t="n">
        <f aca="false">$D$28*$D$7/1000*J43</f>
        <v>15.12</v>
      </c>
      <c r="K47" s="48" t="n">
        <f aca="false">$D$28*$D$7/1000*K43</f>
        <v>0</v>
      </c>
      <c r="L47" s="48" t="n">
        <f aca="false">$D$28*$D$7/1000*L43</f>
        <v>0</v>
      </c>
      <c r="M47" s="48" t="n">
        <f aca="false">$D$28*$D$7/1000*M43</f>
        <v>0</v>
      </c>
      <c r="N47" s="48" t="n">
        <f aca="false">$D$28*$D$7/1000*N43</f>
        <v>0</v>
      </c>
      <c r="O47" s="48" t="n">
        <f aca="false">$D$28*$D$7/1000*O43</f>
        <v>0</v>
      </c>
      <c r="P47" s="48" t="n">
        <f aca="false">$D$28*$D$7/1000*P43</f>
        <v>0</v>
      </c>
      <c r="Q47" s="48" t="n">
        <f aca="false">$D$28*$D$7/1000*Q43</f>
        <v>0</v>
      </c>
      <c r="R47" s="48" t="n">
        <f aca="false">$D$28*$D$7/1000*R43</f>
        <v>0</v>
      </c>
      <c r="S47" s="48" t="n">
        <f aca="false">$D$28*$D$7/1000*S43</f>
        <v>0</v>
      </c>
      <c r="T47" s="48" t="n">
        <f aca="false">$D$28*$D$7/1000*T43</f>
        <v>0</v>
      </c>
      <c r="U47" s="48" t="n">
        <f aca="false">$D$28*$D$7/1000*U43</f>
        <v>0</v>
      </c>
      <c r="V47" s="48" t="n">
        <f aca="false">$D$28*$D$7/1000*V43</f>
        <v>0</v>
      </c>
      <c r="W47" s="48" t="n">
        <f aca="false">$D$28*$D$7/1000*W43</f>
        <v>0</v>
      </c>
      <c r="X47" s="48" t="n">
        <f aca="false">$D$28*$D$7/1000*X43</f>
        <v>0</v>
      </c>
      <c r="Y47" s="48" t="n">
        <f aca="false">$D$28*$D$7/1000*Y43</f>
        <v>0</v>
      </c>
      <c r="Z47" s="48" t="n">
        <f aca="false">$D$28*$D$7/1000*Z43</f>
        <v>0</v>
      </c>
      <c r="AA47" s="48" t="n">
        <f aca="false">$D$28*$D$7/1000*AA43</f>
        <v>0</v>
      </c>
      <c r="AB47" s="48" t="n">
        <f aca="false">$D$28*$D$7/1000*AB43</f>
        <v>0</v>
      </c>
      <c r="AC47" s="48" t="n">
        <f aca="false">$D$28*$D$7/1000*AC43</f>
        <v>0</v>
      </c>
      <c r="AD47" s="48" t="n">
        <f aca="false">$D$28*$D$7/1000*AD43</f>
        <v>0</v>
      </c>
      <c r="AE47" s="48" t="n">
        <f aca="false">$D$28*$D$7/1000*AE43</f>
        <v>0</v>
      </c>
      <c r="AF47" s="48" t="n">
        <f aca="false">$D$28*$D$7/1000*AF43</f>
        <v>0</v>
      </c>
      <c r="AG47" s="48" t="n">
        <f aca="false">$D$28*$D$7/1000*AG43</f>
        <v>0</v>
      </c>
      <c r="AH47" s="48" t="n">
        <f aca="false">$D$28*$D$7/1000*AH43</f>
        <v>0</v>
      </c>
      <c r="AI47" s="48" t="n">
        <f aca="false">$D$28*$D$7/1000*AI43</f>
        <v>0</v>
      </c>
      <c r="AJ47" s="48" t="n">
        <f aca="false">$D$28*$D$7/1000*AJ43</f>
        <v>0</v>
      </c>
      <c r="AK47" s="48" t="n">
        <f aca="false">$D$28*$D$7/1000*AK43</f>
        <v>0</v>
      </c>
      <c r="AL47" s="48" t="n">
        <f aca="false">$D$28*$D$7/1000*AL43</f>
        <v>0</v>
      </c>
      <c r="AM47" s="48" t="n">
        <f aca="false">$D$28*$D$7/1000*AM43</f>
        <v>0</v>
      </c>
      <c r="AN47" s="48" t="n">
        <f aca="false">$D$28*$D$7/1000*AN43</f>
        <v>0</v>
      </c>
      <c r="AO47" s="48" t="n">
        <f aca="false">$D$28*$D$7/1000*AO43</f>
        <v>0</v>
      </c>
      <c r="AP47" s="48" t="n">
        <f aca="false">$D$28*$D$7/1000*AP43</f>
        <v>0</v>
      </c>
      <c r="AQ47" s="48" t="n">
        <f aca="false">$D$28*$D$7/1000*AQ43</f>
        <v>0</v>
      </c>
      <c r="AR47" s="48" t="n">
        <f aca="false">$D$28*$D$7/1000*AR43</f>
        <v>0</v>
      </c>
      <c r="AS47" s="48" t="n">
        <f aca="false">$D$28*$D$7/1000*AS43</f>
        <v>0</v>
      </c>
      <c r="AT47" s="48" t="n">
        <f aca="false">$D$28*$D$7/1000*AT43</f>
        <v>0</v>
      </c>
      <c r="AU47" s="48" t="n">
        <f aca="false">$D$28*$D$7/1000*AU43</f>
        <v>0</v>
      </c>
      <c r="AV47" s="48" t="n">
        <f aca="false">$D$28*$D$7/1000*AV43</f>
        <v>0</v>
      </c>
      <c r="AW47" s="48" t="n">
        <f aca="false">$D$28*$D$7/1000*AW43</f>
        <v>0</v>
      </c>
      <c r="AX47" s="48" t="n">
        <f aca="false">$D$28*$D$7/1000*AX43</f>
        <v>0</v>
      </c>
      <c r="AY47" s="48" t="n">
        <f aca="false">$D$28*$D$7/1000*AY43</f>
        <v>0</v>
      </c>
      <c r="AZ47" s="48" t="n">
        <f aca="false">$D$28*$D$7/1000*AZ43</f>
        <v>0</v>
      </c>
      <c r="BA47" s="48" t="n">
        <f aca="false">$D$28*$D$7/1000*BA43</f>
        <v>0</v>
      </c>
      <c r="BB47" s="48" t="n">
        <f aca="false">$D$28*$D$7/1000*BB43</f>
        <v>0</v>
      </c>
      <c r="BC47" s="48" t="n">
        <f aca="false">$D$28*$D$7/1000*BC43</f>
        <v>0</v>
      </c>
      <c r="BD47" s="48" t="n">
        <f aca="false">$D$28*$D$7/1000*BD43</f>
        <v>0</v>
      </c>
      <c r="BE47" s="48" t="n">
        <f aca="false">$D$28*$D$7/1000*BE43</f>
        <v>0</v>
      </c>
      <c r="BF47" s="48" t="n">
        <f aca="false">$D$28*$D$7/1000*BF43</f>
        <v>0</v>
      </c>
      <c r="BG47" s="48" t="n">
        <f aca="false">$D$28*$D$7/1000*BG43</f>
        <v>0</v>
      </c>
      <c r="BH47" s="48" t="n">
        <f aca="false">$D$28*$D$7/1000*BH43</f>
        <v>0</v>
      </c>
      <c r="BI47" s="48" t="n">
        <f aca="false">$D$28*$D$7/1000*BI43</f>
        <v>0</v>
      </c>
      <c r="BJ47" s="48" t="n">
        <f aca="false">$D$28*$D$7/1000*BJ43</f>
        <v>0</v>
      </c>
      <c r="BK47" s="48" t="n">
        <f aca="false">$D$28*$D$7/1000*BK43</f>
        <v>0</v>
      </c>
      <c r="BL47" s="48" t="n">
        <f aca="false">$D$28*$D$7/1000*BL43</f>
        <v>0</v>
      </c>
      <c r="BM47" s="48" t="n">
        <f aca="false">$D$28*$D$7/1000*BM43</f>
        <v>0</v>
      </c>
      <c r="BN47" s="48" t="n">
        <f aca="false">$D$28*$D$7/1000*BN43</f>
        <v>0</v>
      </c>
      <c r="BO47" s="48" t="n">
        <f aca="false">$D$28*$D$7/1000*BO43</f>
        <v>0</v>
      </c>
      <c r="BP47" s="48" t="n">
        <f aca="false">$D$28*$D$7/1000*BP43</f>
        <v>0</v>
      </c>
      <c r="BQ47" s="48" t="n">
        <f aca="false">$D$28*$D$7/1000*BQ43</f>
        <v>0</v>
      </c>
      <c r="BR47" s="48" t="n">
        <f aca="false">$D$28*$D$7/1000*BR43</f>
        <v>0</v>
      </c>
      <c r="BS47" s="48" t="n">
        <f aca="false">$D$28*$D$7/1000*BS43</f>
        <v>0</v>
      </c>
      <c r="BT47" s="48" t="n">
        <f aca="false">$D$28*$D$7/1000*BT43</f>
        <v>0</v>
      </c>
      <c r="BU47" s="48" t="n">
        <f aca="false">$D$28*$D$7/1000*BU43</f>
        <v>0</v>
      </c>
      <c r="BV47" s="48" t="n">
        <f aca="false">$D$28*$D$7/1000*BV43</f>
        <v>0</v>
      </c>
      <c r="BW47" s="48" t="n">
        <f aca="false">$D$28*$D$7/1000*BW43</f>
        <v>0</v>
      </c>
      <c r="BX47" s="48" t="n">
        <f aca="false">$D$28*$D$7/1000*BX43</f>
        <v>0</v>
      </c>
    </row>
    <row r="48" customFormat="false" ht="15" hidden="false" customHeight="false" outlineLevel="0" collapsed="false">
      <c r="A48" s="1"/>
      <c r="B48" s="4" t="s">
        <v>318</v>
      </c>
      <c r="C48" s="8" t="s">
        <v>126</v>
      </c>
      <c r="D48" s="44" t="n">
        <f aca="false">SUM(G48:BX48)</f>
        <v>298.8</v>
      </c>
      <c r="E48" s="1"/>
      <c r="F48" s="1"/>
      <c r="G48" s="44" t="n">
        <f aca="false">G46+G47</f>
        <v>0</v>
      </c>
      <c r="H48" s="44" t="n">
        <f aca="false">H46+H47</f>
        <v>0</v>
      </c>
      <c r="I48" s="44" t="n">
        <f aca="false">I46+I47</f>
        <v>119.52</v>
      </c>
      <c r="J48" s="44" t="n">
        <f aca="false">J46+J47</f>
        <v>179.28</v>
      </c>
      <c r="K48" s="44" t="n">
        <f aca="false">K46+K47</f>
        <v>0</v>
      </c>
      <c r="L48" s="44" t="n">
        <f aca="false">L46+L47</f>
        <v>0</v>
      </c>
      <c r="M48" s="44" t="n">
        <f aca="false">M46+M47</f>
        <v>0</v>
      </c>
      <c r="N48" s="44" t="n">
        <f aca="false">N46+N47</f>
        <v>0</v>
      </c>
      <c r="O48" s="44" t="n">
        <f aca="false">O46+O47</f>
        <v>0</v>
      </c>
      <c r="P48" s="44" t="n">
        <f aca="false">P46+P47</f>
        <v>0</v>
      </c>
      <c r="Q48" s="44" t="n">
        <f aca="false">Q46+Q47</f>
        <v>0</v>
      </c>
      <c r="R48" s="44" t="n">
        <f aca="false">R46+R47</f>
        <v>0</v>
      </c>
      <c r="S48" s="44" t="n">
        <f aca="false">S46+S47</f>
        <v>0</v>
      </c>
      <c r="T48" s="44" t="n">
        <f aca="false">T46+T47</f>
        <v>0</v>
      </c>
      <c r="U48" s="44" t="n">
        <f aca="false">U46+U47</f>
        <v>0</v>
      </c>
      <c r="V48" s="44" t="n">
        <f aca="false">V46+V47</f>
        <v>0</v>
      </c>
      <c r="W48" s="44" t="n">
        <f aca="false">W46+W47</f>
        <v>0</v>
      </c>
      <c r="X48" s="44" t="n">
        <f aca="false">X46+X47</f>
        <v>0</v>
      </c>
      <c r="Y48" s="44" t="n">
        <f aca="false">Y46+Y47</f>
        <v>0</v>
      </c>
      <c r="Z48" s="44" t="n">
        <f aca="false">Z46+Z47</f>
        <v>0</v>
      </c>
      <c r="AA48" s="44" t="n">
        <f aca="false">AA46+AA47</f>
        <v>0</v>
      </c>
      <c r="AB48" s="44" t="n">
        <f aca="false">AB46+AB47</f>
        <v>0</v>
      </c>
      <c r="AC48" s="44" t="n">
        <f aca="false">AC46+AC47</f>
        <v>0</v>
      </c>
      <c r="AD48" s="44" t="n">
        <f aca="false">AD46+AD47</f>
        <v>0</v>
      </c>
      <c r="AE48" s="44" t="n">
        <f aca="false">AE46+AE47</f>
        <v>0</v>
      </c>
      <c r="AF48" s="44" t="n">
        <f aca="false">AF46+AF47</f>
        <v>0</v>
      </c>
      <c r="AG48" s="44" t="n">
        <f aca="false">AG46+AG47</f>
        <v>0</v>
      </c>
      <c r="AH48" s="44" t="n">
        <f aca="false">AH46+AH47</f>
        <v>0</v>
      </c>
      <c r="AI48" s="44" t="n">
        <f aca="false">AI46+AI47</f>
        <v>0</v>
      </c>
      <c r="AJ48" s="44" t="n">
        <f aca="false">AJ46+AJ47</f>
        <v>0</v>
      </c>
      <c r="AK48" s="44" t="n">
        <f aca="false">AK46+AK47</f>
        <v>0</v>
      </c>
      <c r="AL48" s="44" t="n">
        <f aca="false">AL46+AL47</f>
        <v>0</v>
      </c>
      <c r="AM48" s="44" t="n">
        <f aca="false">AM46+AM47</f>
        <v>0</v>
      </c>
      <c r="AN48" s="44" t="n">
        <f aca="false">AN46+AN47</f>
        <v>0</v>
      </c>
      <c r="AO48" s="44" t="n">
        <f aca="false">AO46+AO47</f>
        <v>0</v>
      </c>
      <c r="AP48" s="44" t="n">
        <f aca="false">AP46+AP47</f>
        <v>0</v>
      </c>
      <c r="AQ48" s="44" t="n">
        <f aca="false">AQ46+AQ47</f>
        <v>0</v>
      </c>
      <c r="AR48" s="44" t="n">
        <f aca="false">AR46+AR47</f>
        <v>0</v>
      </c>
      <c r="AS48" s="44" t="n">
        <f aca="false">AS46+AS47</f>
        <v>0</v>
      </c>
      <c r="AT48" s="44" t="n">
        <f aca="false">AT46+AT47</f>
        <v>0</v>
      </c>
      <c r="AU48" s="44" t="n">
        <f aca="false">AU46+AU47</f>
        <v>0</v>
      </c>
      <c r="AV48" s="44" t="n">
        <f aca="false">AV46+AV47</f>
        <v>0</v>
      </c>
      <c r="AW48" s="44" t="n">
        <f aca="false">AW46+AW47</f>
        <v>0</v>
      </c>
      <c r="AX48" s="44" t="n">
        <f aca="false">AX46+AX47</f>
        <v>0</v>
      </c>
      <c r="AY48" s="44" t="n">
        <f aca="false">AY46+AY47</f>
        <v>0</v>
      </c>
      <c r="AZ48" s="44" t="n">
        <f aca="false">AZ46+AZ47</f>
        <v>0</v>
      </c>
      <c r="BA48" s="44" t="n">
        <f aca="false">BA46+BA47</f>
        <v>0</v>
      </c>
      <c r="BB48" s="44" t="n">
        <f aca="false">BB46+BB47</f>
        <v>0</v>
      </c>
      <c r="BC48" s="44" t="n">
        <f aca="false">BC46+BC47</f>
        <v>0</v>
      </c>
      <c r="BD48" s="44" t="n">
        <f aca="false">BD46+BD47</f>
        <v>0</v>
      </c>
      <c r="BE48" s="44" t="n">
        <f aca="false">BE46+BE47</f>
        <v>0</v>
      </c>
      <c r="BF48" s="44" t="n">
        <f aca="false">BF46+BF47</f>
        <v>0</v>
      </c>
      <c r="BG48" s="44" t="n">
        <f aca="false">BG46+BG47</f>
        <v>0</v>
      </c>
      <c r="BH48" s="44" t="n">
        <f aca="false">BH46+BH47</f>
        <v>0</v>
      </c>
      <c r="BI48" s="44" t="n">
        <f aca="false">BI46+BI47</f>
        <v>0</v>
      </c>
      <c r="BJ48" s="44" t="n">
        <f aca="false">BJ46+BJ47</f>
        <v>0</v>
      </c>
      <c r="BK48" s="44" t="n">
        <f aca="false">BK46+BK47</f>
        <v>0</v>
      </c>
      <c r="BL48" s="44" t="n">
        <f aca="false">BL46+BL47</f>
        <v>0</v>
      </c>
      <c r="BM48" s="44" t="n">
        <f aca="false">BM46+BM47</f>
        <v>0</v>
      </c>
      <c r="BN48" s="44" t="n">
        <f aca="false">BN46+BN47</f>
        <v>0</v>
      </c>
      <c r="BO48" s="44" t="n">
        <f aca="false">BO46+BO47</f>
        <v>0</v>
      </c>
      <c r="BP48" s="44" t="n">
        <f aca="false">BP46+BP47</f>
        <v>0</v>
      </c>
      <c r="BQ48" s="44" t="n">
        <f aca="false">BQ46+BQ47</f>
        <v>0</v>
      </c>
      <c r="BR48" s="44" t="n">
        <f aca="false">BR46+BR47</f>
        <v>0</v>
      </c>
      <c r="BS48" s="44" t="n">
        <f aca="false">BS46+BS47</f>
        <v>0</v>
      </c>
      <c r="BT48" s="44" t="n">
        <f aca="false">BT46+BT47</f>
        <v>0</v>
      </c>
      <c r="BU48" s="44" t="n">
        <f aca="false">BU46+BU47</f>
        <v>0</v>
      </c>
      <c r="BV48" s="44" t="n">
        <f aca="false">BV46+BV47</f>
        <v>0</v>
      </c>
      <c r="BW48" s="44" t="n">
        <f aca="false">BW46+BW47</f>
        <v>0</v>
      </c>
      <c r="BX48" s="44" t="n">
        <f aca="false">BX46+BX47</f>
        <v>0</v>
      </c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</row>
    <row r="50" customFormat="false" ht="15" hidden="false" customHeight="false" outlineLevel="0" collapsed="false">
      <c r="A50" s="1"/>
      <c r="B50" s="13" t="s">
        <v>319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</row>
    <row r="51" customFormat="false" ht="15" hidden="false" customHeight="false" outlineLevel="0" collapsed="false">
      <c r="A51" s="1"/>
      <c r="B51" s="8" t="s">
        <v>320</v>
      </c>
      <c r="C51" s="8" t="s">
        <v>76</v>
      </c>
      <c r="D51" s="1"/>
      <c r="E51" s="1"/>
      <c r="F51" s="1"/>
      <c r="G51" s="49" t="n">
        <f aca="false">Input!J36</f>
        <v>496</v>
      </c>
      <c r="H51" s="49" t="n">
        <f aca="false">Input!K36</f>
        <v>445</v>
      </c>
      <c r="I51" s="49" t="n">
        <f aca="false">Input!L36</f>
        <v>420</v>
      </c>
      <c r="J51" s="49" t="n">
        <f aca="false">Input!M36</f>
        <v>410</v>
      </c>
      <c r="K51" s="49" t="n">
        <f aca="false">Input!N36</f>
        <v>408</v>
      </c>
      <c r="L51" s="49" t="n">
        <f aca="false">Input!O36</f>
        <v>406</v>
      </c>
      <c r="M51" s="49" t="n">
        <f aca="false">Input!P36</f>
        <v>404</v>
      </c>
      <c r="N51" s="49" t="n">
        <f aca="false">Input!Q36</f>
        <v>402</v>
      </c>
      <c r="O51" s="49" t="n">
        <f aca="false">Input!R36</f>
        <v>400</v>
      </c>
      <c r="P51" s="49" t="n">
        <f aca="false">Input!S36</f>
        <v>398</v>
      </c>
      <c r="Q51" s="49" t="n">
        <f aca="false">Input!T36</f>
        <v>396</v>
      </c>
      <c r="R51" s="49" t="n">
        <f aca="false">Input!U36</f>
        <v>394</v>
      </c>
      <c r="S51" s="49" t="n">
        <f aca="false">Input!V36</f>
        <v>392</v>
      </c>
      <c r="T51" s="49" t="n">
        <f aca="false">Input!W36</f>
        <v>390</v>
      </c>
      <c r="U51" s="49" t="n">
        <f aca="false">Input!X36</f>
        <v>389</v>
      </c>
      <c r="V51" s="49" t="n">
        <f aca="false">Input!Y36</f>
        <v>388</v>
      </c>
      <c r="W51" s="49" t="n">
        <f aca="false">Input!Z36</f>
        <v>387</v>
      </c>
      <c r="X51" s="49" t="n">
        <f aca="false">Input!AA36</f>
        <v>386</v>
      </c>
      <c r="Y51" s="49" t="n">
        <f aca="false">Input!AB36</f>
        <v>385</v>
      </c>
      <c r="Z51" s="49" t="n">
        <f aca="false">Input!AC36</f>
        <v>384</v>
      </c>
      <c r="AA51" s="49" t="n">
        <f aca="false">Input!AD36</f>
        <v>383</v>
      </c>
      <c r="AB51" s="49" t="n">
        <f aca="false">Input!AE36</f>
        <v>382</v>
      </c>
      <c r="AC51" s="49" t="n">
        <f aca="false">Input!AF36</f>
        <v>381</v>
      </c>
      <c r="AD51" s="49" t="n">
        <f aca="false">Input!AG36</f>
        <v>380</v>
      </c>
      <c r="AE51" s="49" t="n">
        <f aca="false">Input!AH36</f>
        <v>380</v>
      </c>
      <c r="AF51" s="49" t="n">
        <f aca="false">Input!AI36</f>
        <v>380</v>
      </c>
      <c r="AG51" s="49" t="n">
        <f aca="false">Input!AJ36</f>
        <v>380</v>
      </c>
      <c r="AH51" s="49" t="n">
        <f aca="false">Input!AK36</f>
        <v>380</v>
      </c>
      <c r="AI51" s="49" t="n">
        <f aca="false">Input!AL36</f>
        <v>380</v>
      </c>
      <c r="AJ51" s="49" t="n">
        <f aca="false">Input!AM36</f>
        <v>380</v>
      </c>
      <c r="AK51" s="49" t="n">
        <f aca="false">Input!AN36</f>
        <v>380</v>
      </c>
      <c r="AL51" s="49" t="n">
        <f aca="false">Input!AO36</f>
        <v>380</v>
      </c>
      <c r="AM51" s="49" t="n">
        <f aca="false">Input!AP36</f>
        <v>380</v>
      </c>
      <c r="AN51" s="49" t="n">
        <f aca="false">Input!AQ36</f>
        <v>380</v>
      </c>
      <c r="AO51" s="49" t="n">
        <f aca="false">Input!AR36</f>
        <v>380</v>
      </c>
      <c r="AP51" s="49" t="n">
        <f aca="false">Input!AS36</f>
        <v>380</v>
      </c>
      <c r="AQ51" s="49" t="n">
        <f aca="false">Input!AT36</f>
        <v>380</v>
      </c>
      <c r="AR51" s="49" t="n">
        <f aca="false">Input!AU36</f>
        <v>380</v>
      </c>
      <c r="AS51" s="49" t="n">
        <f aca="false">Input!AV36</f>
        <v>380</v>
      </c>
      <c r="AT51" s="49" t="n">
        <f aca="false">Input!AW36</f>
        <v>380</v>
      </c>
      <c r="AU51" s="49" t="n">
        <f aca="false">Input!AX36</f>
        <v>380</v>
      </c>
      <c r="AV51" s="49" t="n">
        <f aca="false">Input!AY36</f>
        <v>380</v>
      </c>
      <c r="AW51" s="49" t="n">
        <f aca="false">Input!AZ36</f>
        <v>380</v>
      </c>
      <c r="AX51" s="49" t="n">
        <f aca="false">Input!BA36</f>
        <v>380</v>
      </c>
      <c r="AY51" s="49" t="n">
        <f aca="false">Input!BB36</f>
        <v>380</v>
      </c>
      <c r="AZ51" s="49" t="n">
        <f aca="false">Input!BC36</f>
        <v>380</v>
      </c>
      <c r="BA51" s="49" t="n">
        <f aca="false">Input!BD36</f>
        <v>380</v>
      </c>
      <c r="BB51" s="49" t="n">
        <f aca="false">Input!BE36</f>
        <v>380</v>
      </c>
      <c r="BC51" s="49" t="n">
        <f aca="false">Input!BF36</f>
        <v>380</v>
      </c>
      <c r="BD51" s="49" t="n">
        <f aca="false">Input!BG36</f>
        <v>380</v>
      </c>
      <c r="BE51" s="49" t="n">
        <f aca="false">Input!BH36</f>
        <v>380</v>
      </c>
      <c r="BF51" s="49" t="n">
        <f aca="false">Input!BI36</f>
        <v>380</v>
      </c>
      <c r="BG51" s="49" t="n">
        <f aca="false">Input!BJ36</f>
        <v>380</v>
      </c>
      <c r="BH51" s="49" t="n">
        <f aca="false">Input!BK36</f>
        <v>380</v>
      </c>
      <c r="BI51" s="49" t="n">
        <f aca="false">Input!BL36</f>
        <v>380</v>
      </c>
      <c r="BJ51" s="49" t="n">
        <f aca="false">Input!BM36</f>
        <v>380</v>
      </c>
      <c r="BK51" s="49" t="n">
        <f aca="false">Input!BN36</f>
        <v>380</v>
      </c>
      <c r="BL51" s="49" t="n">
        <f aca="false">Input!BO36</f>
        <v>380</v>
      </c>
      <c r="BM51" s="49" t="n">
        <f aca="false">Input!BP36</f>
        <v>380</v>
      </c>
      <c r="BN51" s="49" t="n">
        <f aca="false">Input!BQ36</f>
        <v>380</v>
      </c>
      <c r="BO51" s="49" t="n">
        <f aca="false">Input!BR36</f>
        <v>380</v>
      </c>
      <c r="BP51" s="49" t="n">
        <f aca="false">Input!BS36</f>
        <v>380</v>
      </c>
      <c r="BQ51" s="49" t="n">
        <f aca="false">Input!BT36</f>
        <v>380</v>
      </c>
      <c r="BR51" s="49" t="n">
        <f aca="false">Input!BU36</f>
        <v>380</v>
      </c>
      <c r="BS51" s="49" t="n">
        <f aca="false">Input!BV36</f>
        <v>380</v>
      </c>
      <c r="BT51" s="49" t="n">
        <f aca="false">Input!BW36</f>
        <v>380</v>
      </c>
      <c r="BU51" s="49" t="n">
        <f aca="false">Input!BX36</f>
        <v>380</v>
      </c>
      <c r="BV51" s="49" t="n">
        <f aca="false">Input!BY36</f>
        <v>380</v>
      </c>
      <c r="BW51" s="49" t="n">
        <f aca="false">Input!BZ36</f>
        <v>380</v>
      </c>
      <c r="BX51" s="49" t="n">
        <f aca="false">Input!CA36</f>
        <v>380</v>
      </c>
    </row>
    <row r="52" customFormat="false" ht="15" hidden="false" customHeight="false" outlineLevel="0" collapsed="false">
      <c r="A52" s="1"/>
      <c r="B52" s="8" t="s">
        <v>417</v>
      </c>
      <c r="C52" s="8" t="s">
        <v>107</v>
      </c>
      <c r="D52" s="1"/>
      <c r="E52" s="1"/>
      <c r="F52" s="1"/>
      <c r="G52" s="49" t="n">
        <f aca="false">Input!J42</f>
        <v>214</v>
      </c>
      <c r="H52" s="49" t="n">
        <f aca="false">Input!K42</f>
        <v>165</v>
      </c>
      <c r="I52" s="49" t="n">
        <f aca="false">Input!L42</f>
        <v>145</v>
      </c>
      <c r="J52" s="49" t="n">
        <f aca="false">Input!M42</f>
        <v>135</v>
      </c>
      <c r="K52" s="49" t="n">
        <f aca="false">Input!N42</f>
        <v>135</v>
      </c>
      <c r="L52" s="49" t="n">
        <f aca="false">Input!O42</f>
        <v>135</v>
      </c>
      <c r="M52" s="49" t="n">
        <f aca="false">Input!P42</f>
        <v>135</v>
      </c>
      <c r="N52" s="49" t="n">
        <f aca="false">Input!Q42</f>
        <v>135</v>
      </c>
      <c r="O52" s="49" t="n">
        <f aca="false">Input!R42</f>
        <v>135</v>
      </c>
      <c r="P52" s="49" t="n">
        <f aca="false">Input!S42</f>
        <v>135</v>
      </c>
      <c r="Q52" s="49" t="n">
        <f aca="false">Input!T42</f>
        <v>135</v>
      </c>
      <c r="R52" s="49" t="n">
        <f aca="false">Input!U42</f>
        <v>135</v>
      </c>
      <c r="S52" s="49" t="n">
        <f aca="false">Input!V42</f>
        <v>135</v>
      </c>
      <c r="T52" s="49" t="n">
        <f aca="false">Input!W42</f>
        <v>135</v>
      </c>
      <c r="U52" s="49" t="n">
        <f aca="false">Input!X42</f>
        <v>135</v>
      </c>
      <c r="V52" s="49" t="n">
        <f aca="false">Input!Y42</f>
        <v>135</v>
      </c>
      <c r="W52" s="49" t="n">
        <f aca="false">Input!Z42</f>
        <v>135</v>
      </c>
      <c r="X52" s="49" t="n">
        <f aca="false">Input!AA42</f>
        <v>135</v>
      </c>
      <c r="Y52" s="49" t="n">
        <f aca="false">Input!AB42</f>
        <v>135</v>
      </c>
      <c r="Z52" s="49" t="n">
        <f aca="false">Input!AC42</f>
        <v>135</v>
      </c>
      <c r="AA52" s="49" t="n">
        <f aca="false">Input!AD42</f>
        <v>135</v>
      </c>
      <c r="AB52" s="49" t="n">
        <f aca="false">Input!AE42</f>
        <v>135</v>
      </c>
      <c r="AC52" s="49" t="n">
        <f aca="false">Input!AF42</f>
        <v>135</v>
      </c>
      <c r="AD52" s="49" t="n">
        <f aca="false">Input!AG42</f>
        <v>135</v>
      </c>
      <c r="AE52" s="49" t="n">
        <f aca="false">Input!AH42</f>
        <v>135</v>
      </c>
      <c r="AF52" s="49" t="n">
        <f aca="false">Input!AI42</f>
        <v>135</v>
      </c>
      <c r="AG52" s="49" t="n">
        <f aca="false">Input!AJ42</f>
        <v>135</v>
      </c>
      <c r="AH52" s="49" t="n">
        <f aca="false">Input!AK42</f>
        <v>135</v>
      </c>
      <c r="AI52" s="49" t="n">
        <f aca="false">Input!AL42</f>
        <v>135</v>
      </c>
      <c r="AJ52" s="49" t="n">
        <f aca="false">Input!AM42</f>
        <v>135</v>
      </c>
      <c r="AK52" s="49" t="n">
        <f aca="false">Input!AN42</f>
        <v>135</v>
      </c>
      <c r="AL52" s="49" t="n">
        <f aca="false">Input!AO42</f>
        <v>135</v>
      </c>
      <c r="AM52" s="49" t="n">
        <f aca="false">Input!AP42</f>
        <v>135</v>
      </c>
      <c r="AN52" s="49" t="n">
        <f aca="false">Input!AQ42</f>
        <v>135</v>
      </c>
      <c r="AO52" s="49" t="n">
        <f aca="false">Input!AR42</f>
        <v>135</v>
      </c>
      <c r="AP52" s="49" t="n">
        <f aca="false">Input!AS42</f>
        <v>135</v>
      </c>
      <c r="AQ52" s="49" t="n">
        <f aca="false">Input!AT42</f>
        <v>135</v>
      </c>
      <c r="AR52" s="49" t="n">
        <f aca="false">Input!AU42</f>
        <v>135</v>
      </c>
      <c r="AS52" s="49" t="n">
        <f aca="false">Input!AV42</f>
        <v>135</v>
      </c>
      <c r="AT52" s="49" t="n">
        <f aca="false">Input!AW42</f>
        <v>135</v>
      </c>
      <c r="AU52" s="49" t="n">
        <f aca="false">Input!AX42</f>
        <v>135</v>
      </c>
      <c r="AV52" s="49" t="n">
        <f aca="false">Input!AY42</f>
        <v>135</v>
      </c>
      <c r="AW52" s="49" t="n">
        <f aca="false">Input!AZ42</f>
        <v>135</v>
      </c>
      <c r="AX52" s="49" t="n">
        <f aca="false">Input!BA42</f>
        <v>135</v>
      </c>
      <c r="AY52" s="49" t="n">
        <f aca="false">Input!BB42</f>
        <v>135</v>
      </c>
      <c r="AZ52" s="49" t="n">
        <f aca="false">Input!BC42</f>
        <v>135</v>
      </c>
      <c r="BA52" s="49" t="n">
        <f aca="false">Input!BD42</f>
        <v>135</v>
      </c>
      <c r="BB52" s="49" t="n">
        <f aca="false">Input!BE42</f>
        <v>135</v>
      </c>
      <c r="BC52" s="49" t="n">
        <f aca="false">Input!BF42</f>
        <v>135</v>
      </c>
      <c r="BD52" s="49" t="n">
        <f aca="false">Input!BG42</f>
        <v>135</v>
      </c>
      <c r="BE52" s="49" t="n">
        <f aca="false">Input!BH42</f>
        <v>135</v>
      </c>
      <c r="BF52" s="49" t="n">
        <f aca="false">Input!BI42</f>
        <v>135</v>
      </c>
      <c r="BG52" s="49" t="n">
        <f aca="false">Input!BJ42</f>
        <v>135</v>
      </c>
      <c r="BH52" s="49" t="n">
        <f aca="false">Input!BK42</f>
        <v>135</v>
      </c>
      <c r="BI52" s="49" t="n">
        <f aca="false">Input!BL42</f>
        <v>135</v>
      </c>
      <c r="BJ52" s="49" t="n">
        <f aca="false">Input!BM42</f>
        <v>135</v>
      </c>
      <c r="BK52" s="49" t="n">
        <f aca="false">Input!BN42</f>
        <v>135</v>
      </c>
      <c r="BL52" s="49" t="n">
        <f aca="false">Input!BO42</f>
        <v>135</v>
      </c>
      <c r="BM52" s="49" t="n">
        <f aca="false">Input!BP42</f>
        <v>135</v>
      </c>
      <c r="BN52" s="49" t="n">
        <f aca="false">Input!BQ42</f>
        <v>135</v>
      </c>
      <c r="BO52" s="49" t="n">
        <f aca="false">Input!BR42</f>
        <v>135</v>
      </c>
      <c r="BP52" s="49" t="n">
        <f aca="false">Input!BS42</f>
        <v>135</v>
      </c>
      <c r="BQ52" s="49" t="n">
        <f aca="false">Input!BT42</f>
        <v>135</v>
      </c>
      <c r="BR52" s="49" t="n">
        <f aca="false">Input!BU42</f>
        <v>135</v>
      </c>
      <c r="BS52" s="49" t="n">
        <f aca="false">Input!BV42</f>
        <v>135</v>
      </c>
      <c r="BT52" s="49" t="n">
        <f aca="false">Input!BW42</f>
        <v>135</v>
      </c>
      <c r="BU52" s="49" t="n">
        <f aca="false">Input!BX42</f>
        <v>135</v>
      </c>
      <c r="BV52" s="49" t="n">
        <f aca="false">Input!BY42</f>
        <v>135</v>
      </c>
      <c r="BW52" s="49" t="n">
        <f aca="false">Input!BZ42</f>
        <v>135</v>
      </c>
      <c r="BX52" s="49" t="n">
        <f aca="false">Input!CA42</f>
        <v>135</v>
      </c>
    </row>
    <row r="53" customFormat="false" ht="15" hidden="false" customHeight="false" outlineLevel="0" collapsed="false">
      <c r="A53" s="1"/>
      <c r="B53" s="8" t="s">
        <v>418</v>
      </c>
      <c r="C53" s="8" t="s">
        <v>419</v>
      </c>
      <c r="D53" s="1"/>
      <c r="E53" s="1"/>
      <c r="F53" s="1"/>
      <c r="G53" s="49" t="n">
        <f aca="false">Input!J48*$D$16</f>
        <v>392.697</v>
      </c>
      <c r="H53" s="49" t="n">
        <f aca="false">Input!K48*$D$16</f>
        <v>429.057833333333</v>
      </c>
      <c r="I53" s="49" t="n">
        <f aca="false">Input!L48*$D$16</f>
        <v>465.418666666667</v>
      </c>
      <c r="J53" s="49" t="n">
        <f aca="false">Input!M48*$D$16</f>
        <v>501.7795</v>
      </c>
      <c r="K53" s="49" t="n">
        <f aca="false">Input!N48*$D$16</f>
        <v>523.596</v>
      </c>
      <c r="L53" s="49" t="n">
        <f aca="false">Input!O48*$D$16</f>
        <v>545.4125</v>
      </c>
      <c r="M53" s="49" t="n">
        <f aca="false">Input!P48*$D$16</f>
        <v>567.229</v>
      </c>
      <c r="N53" s="49" t="n">
        <f aca="false">Input!Q48*$D$16</f>
        <v>589.0455</v>
      </c>
      <c r="O53" s="49" t="n">
        <f aca="false">Input!R48*$D$16</f>
        <v>610.862</v>
      </c>
      <c r="P53" s="49" t="n">
        <f aca="false">Input!S48*$D$16</f>
        <v>619.5886</v>
      </c>
      <c r="Q53" s="49" t="n">
        <f aca="false">Input!T48*$D$16</f>
        <v>628.3152</v>
      </c>
      <c r="R53" s="49" t="n">
        <f aca="false">Input!U48*$D$16</f>
        <v>637.0418</v>
      </c>
      <c r="S53" s="49" t="n">
        <f aca="false">Input!V48*$D$16</f>
        <v>645.7684</v>
      </c>
      <c r="T53" s="49" t="n">
        <f aca="false">Input!W48*$D$16</f>
        <v>654.495</v>
      </c>
      <c r="U53" s="49" t="n">
        <f aca="false">Input!X48*$D$16</f>
        <v>654.495</v>
      </c>
      <c r="V53" s="49" t="n">
        <f aca="false">Input!Y48*$D$16</f>
        <v>654.495</v>
      </c>
      <c r="W53" s="49" t="n">
        <f aca="false">Input!Z48*$D$16</f>
        <v>654.495</v>
      </c>
      <c r="X53" s="49" t="n">
        <f aca="false">Input!AA48*$D$16</f>
        <v>654.495</v>
      </c>
      <c r="Y53" s="49" t="n">
        <f aca="false">Input!AB48*$D$16</f>
        <v>654.495</v>
      </c>
      <c r="Z53" s="49" t="n">
        <f aca="false">Input!AC48*$D$16</f>
        <v>654.495</v>
      </c>
      <c r="AA53" s="49" t="n">
        <f aca="false">Input!AD48*$D$16</f>
        <v>654.495</v>
      </c>
      <c r="AB53" s="49" t="n">
        <f aca="false">Input!AE48*$D$16</f>
        <v>654.495</v>
      </c>
      <c r="AC53" s="49" t="n">
        <f aca="false">Input!AF48*$D$16</f>
        <v>654.495</v>
      </c>
      <c r="AD53" s="49" t="n">
        <f aca="false">Input!AG48*$D$16</f>
        <v>654.495</v>
      </c>
      <c r="AE53" s="49" t="n">
        <f aca="false">Input!AH48*$D$16</f>
        <v>654.495</v>
      </c>
      <c r="AF53" s="49" t="n">
        <f aca="false">Input!AI48*$D$16</f>
        <v>654.495</v>
      </c>
      <c r="AG53" s="49" t="n">
        <f aca="false">Input!AJ48*$D$16</f>
        <v>654.495</v>
      </c>
      <c r="AH53" s="49" t="n">
        <f aca="false">Input!AK48*$D$16</f>
        <v>654.495</v>
      </c>
      <c r="AI53" s="49" t="n">
        <f aca="false">Input!AL48*$D$16</f>
        <v>654.495</v>
      </c>
      <c r="AJ53" s="49" t="n">
        <f aca="false">Input!AM48*$D$16</f>
        <v>654.495</v>
      </c>
      <c r="AK53" s="49" t="n">
        <f aca="false">Input!AN48*$D$16</f>
        <v>654.495</v>
      </c>
      <c r="AL53" s="49" t="n">
        <f aca="false">Input!AO48*$D$16</f>
        <v>654.495</v>
      </c>
      <c r="AM53" s="49" t="n">
        <f aca="false">Input!AP48*$D$16</f>
        <v>654.495</v>
      </c>
      <c r="AN53" s="49" t="n">
        <f aca="false">Input!AQ48*$D$16</f>
        <v>654.495</v>
      </c>
      <c r="AO53" s="49" t="n">
        <f aca="false">Input!AR48*$D$16</f>
        <v>654.495</v>
      </c>
      <c r="AP53" s="49" t="n">
        <f aca="false">Input!AS48*$D$16</f>
        <v>654.495</v>
      </c>
      <c r="AQ53" s="49" t="n">
        <f aca="false">Input!AT48*$D$16</f>
        <v>654.495</v>
      </c>
      <c r="AR53" s="49" t="n">
        <f aca="false">Input!AU48*$D$16</f>
        <v>654.495</v>
      </c>
      <c r="AS53" s="49" t="n">
        <f aca="false">Input!AV48*$D$16</f>
        <v>654.495</v>
      </c>
      <c r="AT53" s="49" t="n">
        <f aca="false">Input!AW48*$D$16</f>
        <v>654.495</v>
      </c>
      <c r="AU53" s="49" t="n">
        <f aca="false">Input!AX48*$D$16</f>
        <v>654.495</v>
      </c>
      <c r="AV53" s="49" t="n">
        <f aca="false">Input!AY48*$D$16</f>
        <v>654.495</v>
      </c>
      <c r="AW53" s="49" t="n">
        <f aca="false">Input!AZ48*$D$16</f>
        <v>654.495</v>
      </c>
      <c r="AX53" s="49" t="n">
        <f aca="false">Input!BA48*$D$16</f>
        <v>654.495</v>
      </c>
      <c r="AY53" s="49" t="n">
        <f aca="false">Input!BB48*$D$16</f>
        <v>654.495</v>
      </c>
      <c r="AZ53" s="49" t="n">
        <f aca="false">Input!BC48*$D$16</f>
        <v>654.495</v>
      </c>
      <c r="BA53" s="49" t="n">
        <f aca="false">Input!BD48*$D$16</f>
        <v>654.495</v>
      </c>
      <c r="BB53" s="49" t="n">
        <f aca="false">Input!BE48*$D$16</f>
        <v>654.495</v>
      </c>
      <c r="BC53" s="49" t="n">
        <f aca="false">Input!BF48*$D$16</f>
        <v>654.495</v>
      </c>
      <c r="BD53" s="49" t="n">
        <f aca="false">Input!BG48*$D$16</f>
        <v>654.495</v>
      </c>
      <c r="BE53" s="49" t="n">
        <f aca="false">Input!BH48*$D$16</f>
        <v>654.495</v>
      </c>
      <c r="BF53" s="49" t="n">
        <f aca="false">Input!BI48*$D$16</f>
        <v>654.495</v>
      </c>
      <c r="BG53" s="49" t="n">
        <f aca="false">Input!BJ48*$D$16</f>
        <v>654.495</v>
      </c>
      <c r="BH53" s="49" t="n">
        <f aca="false">Input!BK48*$D$16</f>
        <v>654.495</v>
      </c>
      <c r="BI53" s="49" t="n">
        <f aca="false">Input!BL48*$D$16</f>
        <v>654.495</v>
      </c>
      <c r="BJ53" s="49" t="n">
        <f aca="false">Input!BM48*$D$16</f>
        <v>654.495</v>
      </c>
      <c r="BK53" s="49" t="n">
        <f aca="false">Input!BN48*$D$16</f>
        <v>654.495</v>
      </c>
      <c r="BL53" s="49" t="n">
        <f aca="false">Input!BO48*$D$16</f>
        <v>654.495</v>
      </c>
      <c r="BM53" s="49" t="n">
        <f aca="false">Input!BP48*$D$16</f>
        <v>654.495</v>
      </c>
      <c r="BN53" s="49" t="n">
        <f aca="false">Input!BQ48*$D$16</f>
        <v>654.495</v>
      </c>
      <c r="BO53" s="49" t="n">
        <f aca="false">Input!BR48*$D$16</f>
        <v>654.495</v>
      </c>
      <c r="BP53" s="49" t="n">
        <f aca="false">Input!BS48*$D$16</f>
        <v>654.495</v>
      </c>
      <c r="BQ53" s="49" t="n">
        <f aca="false">Input!BT48*$D$16</f>
        <v>654.495</v>
      </c>
      <c r="BR53" s="49" t="n">
        <f aca="false">Input!BU48*$D$16</f>
        <v>654.495</v>
      </c>
      <c r="BS53" s="49" t="n">
        <f aca="false">Input!BV48*$D$16</f>
        <v>654.495</v>
      </c>
      <c r="BT53" s="49" t="n">
        <f aca="false">Input!BW48*$D$16</f>
        <v>654.495</v>
      </c>
      <c r="BU53" s="49" t="n">
        <f aca="false">Input!BX48*$D$16</f>
        <v>654.495</v>
      </c>
      <c r="BV53" s="49" t="n">
        <f aca="false">Input!BY48*$D$16</f>
        <v>654.495</v>
      </c>
      <c r="BW53" s="49" t="n">
        <f aca="false">Input!BZ48*$D$16</f>
        <v>654.495</v>
      </c>
      <c r="BX53" s="49" t="n">
        <f aca="false">Input!CA48*$D$16</f>
        <v>654.495</v>
      </c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</row>
    <row r="55" customFormat="false" ht="15" hidden="false" customHeight="false" outlineLevel="0" collapsed="false">
      <c r="A55" s="1"/>
      <c r="B55" s="13" t="s">
        <v>321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</row>
    <row r="56" customFormat="false" ht="15" hidden="false" customHeight="false" outlineLevel="0" collapsed="false">
      <c r="A56" s="1"/>
      <c r="B56" s="8" t="s">
        <v>322</v>
      </c>
      <c r="C56" s="8" t="s">
        <v>66</v>
      </c>
      <c r="D56" s="1"/>
      <c r="E56" s="1"/>
      <c r="F56" s="1"/>
      <c r="G56" s="43" t="n">
        <f aca="false">IF(G38=1,IFERROR(INDEX(Twin!$G$87:$BN$87,1,G39),0),0)</f>
        <v>0</v>
      </c>
      <c r="H56" s="43" t="n">
        <f aca="false">IF(H38=1,IFERROR(INDEX(Twin!$G$87:$BN$87,1,H39),0),0)</f>
        <v>0</v>
      </c>
      <c r="I56" s="43" t="n">
        <f aca="false">IF(I38=1,IFERROR(INDEX(Twin!$G$87:$BN$87,1,I39),0),0)</f>
        <v>0</v>
      </c>
      <c r="J56" s="43" t="n">
        <f aca="false">IF(J38=1,IFERROR(INDEX(Twin!$G$87:$BN$87,1,J39),0),0)</f>
        <v>0</v>
      </c>
      <c r="K56" s="43" t="n">
        <f aca="false">IF(K38=1,IFERROR(INDEX(Twin!$G$87:$BN$87,1,K39),0),0)</f>
        <v>0.168863584474886</v>
      </c>
      <c r="L56" s="43" t="n">
        <f aca="false">IF(L38=1,IFERROR(INDEX(Twin!$G$87:$BN$87,1,L39),0),0)</f>
        <v>0.153680936073059</v>
      </c>
      <c r="M56" s="43" t="n">
        <f aca="false">IF(M38=1,IFERROR(INDEX(Twin!$G$87:$BN$87,1,M39),0),0)</f>
        <v>0.13586301369863</v>
      </c>
      <c r="N56" s="43" t="n">
        <f aca="false">IF(N38=1,IFERROR(INDEX(Twin!$G$87:$BN$87,1,N39),0),0)</f>
        <v>0.122827625570776</v>
      </c>
      <c r="O56" s="43" t="n">
        <f aca="false">IF(O38=1,IFERROR(INDEX(Twin!$G$87:$BN$87,1,O39),0),0)</f>
        <v>0.112243150684932</v>
      </c>
      <c r="P56" s="43" t="n">
        <f aca="false">IF(P38=1,IFERROR(INDEX(Twin!$G$87:$BN$87,1,P39),0),0)</f>
        <v>0.105280821917808</v>
      </c>
      <c r="Q56" s="43" t="n">
        <f aca="false">IF(Q38=1,IFERROR(INDEX(Twin!$G$87:$BN$87,1,Q39),0),0)</f>
        <v>0.100617579908676</v>
      </c>
      <c r="R56" s="43" t="n">
        <f aca="false">IF(R38=1,IFERROR(INDEX(Twin!$G$87:$BN$87,1,R39),0),0)</f>
        <v>0.0968869863013699</v>
      </c>
      <c r="S56" s="43" t="n">
        <f aca="false">IF(S38=1,IFERROR(INDEX(Twin!$G$87:$BN$87,1,S39),0),0)</f>
        <v>0.0920068493150685</v>
      </c>
      <c r="T56" s="43" t="n">
        <f aca="false">IF(T38=1,IFERROR(INDEX(Twin!$G$87:$BN$87,1,T39),0),0)</f>
        <v>0.0868013698630137</v>
      </c>
      <c r="U56" s="43" t="n">
        <f aca="false">IF(U38=1,IFERROR(INDEX(Twin!$G$87:$BN$87,1,U39),0),0)</f>
        <v>0.0861506849315068</v>
      </c>
      <c r="V56" s="43" t="n">
        <f aca="false">IF(V38=1,IFERROR(INDEX(Twin!$G$87:$BN$87,1,V39),0),0)</f>
        <v>0.0853807077625571</v>
      </c>
      <c r="W56" s="43" t="n">
        <f aca="false">IF(W38=1,IFERROR(INDEX(Twin!$G$87:$BN$87,1,W39),0),0)</f>
        <v>0.0850553652968037</v>
      </c>
      <c r="X56" s="43" t="n">
        <f aca="false">IF(X38=1,IFERROR(INDEX(Twin!$G$87:$BN$87,1,X39),0),0)</f>
        <v>0.0844046803652968</v>
      </c>
      <c r="Y56" s="43" t="n">
        <f aca="false">IF(Y38=1,IFERROR(INDEX(Twin!$G$87:$BN$87,1,Y39),0),0)</f>
        <v>0.0840793378995434</v>
      </c>
      <c r="Z56" s="43" t="n">
        <f aca="false">IF(Z38=1,IFERROR(INDEX(Twin!$G$87:$BN$87,1,Z39),0),0)</f>
        <v>0.0832117579908676</v>
      </c>
      <c r="AA56" s="43" t="n">
        <f aca="false">IF(AA38=1,IFERROR(INDEX(Twin!$G$87:$BN$87,1,AA39),0),0)</f>
        <v>0.0822357305936073</v>
      </c>
      <c r="AB56" s="43" t="n">
        <f aca="false">IF(AB38=1,IFERROR(INDEX(Twin!$G$87:$BN$87,1,AB39),0),0)</f>
        <v>0.0820188356164384</v>
      </c>
      <c r="AC56" s="43" t="n">
        <f aca="false">IF(AC38=1,IFERROR(INDEX(Twin!$G$87:$BN$87,1,AC39),0),0)</f>
        <v>0.0807174657534247</v>
      </c>
      <c r="AD56" s="43" t="n">
        <f aca="false">IF(AD38=1,IFERROR(INDEX(Twin!$G$87:$BN$87,1,AD39),0),0)</f>
        <v>0.0805005707762557</v>
      </c>
      <c r="AE56" s="43" t="n">
        <f aca="false">IF(AE38=1,IFERROR(INDEX(Twin!$G$87:$BN$87,1,AE39),0),0)</f>
        <v>0.0805005707762557</v>
      </c>
      <c r="AF56" s="43" t="n">
        <f aca="false">IF(AF38=1,IFERROR(INDEX(Twin!$G$87:$BN$87,1,AF39),0),0)</f>
        <v>0.0806090182648402</v>
      </c>
      <c r="AG56" s="43" t="n">
        <f aca="false">IF(AG38=1,IFERROR(INDEX(Twin!$G$87:$BN$87,1,AG39),0),0)</f>
        <v>0.0809343607305936</v>
      </c>
      <c r="AH56" s="43" t="n">
        <f aca="false">IF(AH38=1,IFERROR(INDEX(Twin!$G$87:$BN$87,1,AH39),0),0)</f>
        <v>0.081476598173516</v>
      </c>
      <c r="AI56" s="43" t="n">
        <f aca="false">IF(AI38=1,IFERROR(INDEX(Twin!$G$87:$BN$87,1,AI39),0),0)</f>
        <v>0.0815850456621004</v>
      </c>
      <c r="AJ56" s="43" t="n">
        <f aca="false">IF(AJ38=1,IFERROR(INDEX(Twin!$G$87:$BN$87,1,AJ39),0),0)</f>
        <v>0</v>
      </c>
      <c r="AK56" s="43" t="n">
        <f aca="false">IF(AK38=1,IFERROR(INDEX(Twin!$G$87:$BN$87,1,AK39),0),0)</f>
        <v>0</v>
      </c>
      <c r="AL56" s="43" t="n">
        <f aca="false">IF(AL38=1,IFERROR(INDEX(Twin!$G$87:$BN$87,1,AL39),0),0)</f>
        <v>0</v>
      </c>
      <c r="AM56" s="43" t="n">
        <f aca="false">IF(AM38=1,IFERROR(INDEX(Twin!$G$87:$BN$87,1,AM39),0),0)</f>
        <v>0</v>
      </c>
      <c r="AN56" s="43" t="n">
        <f aca="false">IF(AN38=1,IFERROR(INDEX(Twin!$G$87:$BN$87,1,AN39),0),0)</f>
        <v>0</v>
      </c>
      <c r="AO56" s="43" t="n">
        <f aca="false">IF(AO38=1,IFERROR(INDEX(Twin!$G$87:$BN$87,1,AO39),0),0)</f>
        <v>0</v>
      </c>
      <c r="AP56" s="43" t="n">
        <f aca="false">IF(AP38=1,IFERROR(INDEX(Twin!$G$87:$BN$87,1,AP39),0),0)</f>
        <v>0</v>
      </c>
      <c r="AQ56" s="43" t="n">
        <f aca="false">IF(AQ38=1,IFERROR(INDEX(Twin!$G$87:$BN$87,1,AQ39),0),0)</f>
        <v>0</v>
      </c>
      <c r="AR56" s="43" t="n">
        <f aca="false">IF(AR38=1,IFERROR(INDEX(Twin!$G$87:$BN$87,1,AR39),0),0)</f>
        <v>0</v>
      </c>
      <c r="AS56" s="43" t="n">
        <f aca="false">IF(AS38=1,IFERROR(INDEX(Twin!$G$87:$BN$87,1,AS39),0),0)</f>
        <v>0</v>
      </c>
      <c r="AT56" s="43" t="n">
        <f aca="false">IF(AT38=1,IFERROR(INDEX(Twin!$G$87:$BN$87,1,AT39),0),0)</f>
        <v>0</v>
      </c>
      <c r="AU56" s="43" t="n">
        <f aca="false">IF(AU38=1,IFERROR(INDEX(Twin!$G$87:$BN$87,1,AU39),0),0)</f>
        <v>0</v>
      </c>
      <c r="AV56" s="43" t="n">
        <f aca="false">IF(AV38=1,IFERROR(INDEX(Twin!$G$87:$BN$87,1,AV39),0),0)</f>
        <v>0</v>
      </c>
      <c r="AW56" s="43" t="n">
        <f aca="false">IF(AW38=1,IFERROR(INDEX(Twin!$G$87:$BN$87,1,AW39),0),0)</f>
        <v>0</v>
      </c>
      <c r="AX56" s="43" t="n">
        <f aca="false">IF(AX38=1,IFERROR(INDEX(Twin!$G$87:$BN$87,1,AX39),0),0)</f>
        <v>0</v>
      </c>
      <c r="AY56" s="43" t="n">
        <f aca="false">IF(AY38=1,IFERROR(INDEX(Twin!$G$87:$BN$87,1,AY39),0),0)</f>
        <v>0</v>
      </c>
      <c r="AZ56" s="43" t="n">
        <f aca="false">IF(AZ38=1,IFERROR(INDEX(Twin!$G$87:$BN$87,1,AZ39),0),0)</f>
        <v>0</v>
      </c>
      <c r="BA56" s="43" t="n">
        <f aca="false">IF(BA38=1,IFERROR(INDEX(Twin!$G$87:$BN$87,1,BA39),0),0)</f>
        <v>0</v>
      </c>
      <c r="BB56" s="43" t="n">
        <f aca="false">IF(BB38=1,IFERROR(INDEX(Twin!$G$87:$BN$87,1,BB39),0),0)</f>
        <v>0</v>
      </c>
      <c r="BC56" s="43" t="n">
        <f aca="false">IF(BC38=1,IFERROR(INDEX(Twin!$G$87:$BN$87,1,BC39),0),0)</f>
        <v>0</v>
      </c>
      <c r="BD56" s="43" t="n">
        <f aca="false">IF(BD38=1,IFERROR(INDEX(Twin!$G$87:$BN$87,1,BD39),0),0)</f>
        <v>0</v>
      </c>
      <c r="BE56" s="43" t="n">
        <f aca="false">IF(BE38=1,IFERROR(INDEX(Twin!$G$87:$BN$87,1,BE39),0),0)</f>
        <v>0</v>
      </c>
      <c r="BF56" s="43" t="n">
        <f aca="false">IF(BF38=1,IFERROR(INDEX(Twin!$G$87:$BN$87,1,BF39),0),0)</f>
        <v>0</v>
      </c>
      <c r="BG56" s="43" t="n">
        <f aca="false">IF(BG38=1,IFERROR(INDEX(Twin!$G$87:$BN$87,1,BG39),0),0)</f>
        <v>0</v>
      </c>
      <c r="BH56" s="43" t="n">
        <f aca="false">IF(BH38=1,IFERROR(INDEX(Twin!$G$87:$BN$87,1,BH39),0),0)</f>
        <v>0</v>
      </c>
      <c r="BI56" s="43" t="n">
        <f aca="false">IF(BI38=1,IFERROR(INDEX(Twin!$G$87:$BN$87,1,BI39),0),0)</f>
        <v>0</v>
      </c>
      <c r="BJ56" s="43" t="n">
        <f aca="false">IF(BJ38=1,IFERROR(INDEX(Twin!$G$87:$BN$87,1,BJ39),0),0)</f>
        <v>0</v>
      </c>
      <c r="BK56" s="43" t="n">
        <f aca="false">IF(BK38=1,IFERROR(INDEX(Twin!$G$87:$BN$87,1,BK39),0),0)</f>
        <v>0</v>
      </c>
      <c r="BL56" s="43" t="n">
        <f aca="false">IF(BL38=1,IFERROR(INDEX(Twin!$G$87:$BN$87,1,BL39),0),0)</f>
        <v>0</v>
      </c>
      <c r="BM56" s="43" t="n">
        <f aca="false">IF(BM38=1,IFERROR(INDEX(Twin!$G$87:$BN$87,1,BM39),0),0)</f>
        <v>0</v>
      </c>
      <c r="BN56" s="43" t="n">
        <f aca="false">IF(BN38=1,IFERROR(INDEX(Twin!$G$87:$BN$87,1,BN39),0),0)</f>
        <v>0</v>
      </c>
      <c r="BO56" s="43" t="n">
        <f aca="false">IF(BO38=1,IFERROR(INDEX(Twin!$G$87:$BN$87,1,BO39),0),0)</f>
        <v>0</v>
      </c>
      <c r="BP56" s="43" t="n">
        <f aca="false">IF(BP38=1,IFERROR(INDEX(Twin!$G$87:$BN$87,1,BP39),0),0)</f>
        <v>0</v>
      </c>
      <c r="BQ56" s="43" t="n">
        <f aca="false">IF(BQ38=1,IFERROR(INDEX(Twin!$G$87:$BN$87,1,BQ39),0),0)</f>
        <v>0</v>
      </c>
      <c r="BR56" s="43" t="n">
        <f aca="false">IF(BR38=1,IFERROR(INDEX(Twin!$G$87:$BN$87,1,BR39),0),0)</f>
        <v>0</v>
      </c>
      <c r="BS56" s="43" t="n">
        <f aca="false">IF(BS38=1,IFERROR(INDEX(Twin!$G$87:$BN$87,1,BS39),0),0)</f>
        <v>0</v>
      </c>
      <c r="BT56" s="43" t="n">
        <f aca="false">IF(BT38=1,IFERROR(INDEX(Twin!$G$87:$BN$87,1,BT39),0),0)</f>
        <v>0</v>
      </c>
      <c r="BU56" s="43" t="n">
        <f aca="false">IF(BU38=1,IFERROR(INDEX(Twin!$G$87:$BN$87,1,BU39),0),0)</f>
        <v>0</v>
      </c>
      <c r="BV56" s="43" t="n">
        <f aca="false">IF(BV38=1,IFERROR(INDEX(Twin!$G$87:$BN$87,1,BV39),0),0)</f>
        <v>0</v>
      </c>
      <c r="BW56" s="43" t="n">
        <f aca="false">IF(BW38=1,IFERROR(INDEX(Twin!$G$87:$BN$87,1,BW39),0),0)</f>
        <v>0</v>
      </c>
      <c r="BX56" s="43" t="n">
        <f aca="false">IF(BX38=1,IFERROR(INDEX(Twin!$G$87:$BN$87,1,BX39),0),0)</f>
        <v>0</v>
      </c>
    </row>
    <row r="57" customFormat="false" ht="15" hidden="false" customHeight="false" outlineLevel="0" collapsed="false">
      <c r="A57" s="1"/>
      <c r="B57" s="8" t="s">
        <v>406</v>
      </c>
      <c r="C57" s="8" t="s">
        <v>324</v>
      </c>
      <c r="D57" s="44" t="n">
        <f aca="false">SUM(G57:BX57)</f>
        <v>1522515.6</v>
      </c>
      <c r="E57" s="1"/>
      <c r="F57" s="1"/>
      <c r="G57" s="48" t="n">
        <f aca="false">G56*$D$7*8760</f>
        <v>0</v>
      </c>
      <c r="H57" s="48" t="n">
        <f aca="false">H56*$D$7*8760</f>
        <v>0</v>
      </c>
      <c r="I57" s="48" t="n">
        <f aca="false">I56*$D$7*8760</f>
        <v>0</v>
      </c>
      <c r="J57" s="48" t="n">
        <f aca="false">J56*$D$7*8760</f>
        <v>0</v>
      </c>
      <c r="K57" s="48" t="n">
        <f aca="false">K56*$D$7*8760</f>
        <v>106505.64</v>
      </c>
      <c r="L57" s="48" t="n">
        <f aca="false">L56*$D$7*8760</f>
        <v>96929.64</v>
      </c>
      <c r="M57" s="48" t="n">
        <f aca="false">M56*$D$7*8760</f>
        <v>85691.52</v>
      </c>
      <c r="N57" s="48" t="n">
        <f aca="false">N56*$D$7*8760</f>
        <v>77469.84</v>
      </c>
      <c r="O57" s="48" t="n">
        <f aca="false">O56*$D$7*8760</f>
        <v>70794</v>
      </c>
      <c r="P57" s="48" t="n">
        <f aca="false">P56*$D$7*8760</f>
        <v>66402.72</v>
      </c>
      <c r="Q57" s="48" t="n">
        <f aca="false">Q56*$D$7*8760</f>
        <v>63461.52</v>
      </c>
      <c r="R57" s="48" t="n">
        <f aca="false">R56*$D$7*8760</f>
        <v>61108.56</v>
      </c>
      <c r="S57" s="48" t="n">
        <f aca="false">S56*$D$7*8760</f>
        <v>58030.56</v>
      </c>
      <c r="T57" s="48" t="n">
        <f aca="false">T56*$D$7*8760</f>
        <v>54747.36</v>
      </c>
      <c r="U57" s="48" t="n">
        <f aca="false">U56*$D$7*8760</f>
        <v>54336.96</v>
      </c>
      <c r="V57" s="48" t="n">
        <f aca="false">V56*$D$7*8760</f>
        <v>53851.32</v>
      </c>
      <c r="W57" s="48" t="n">
        <f aca="false">W56*$D$7*8760</f>
        <v>53646.12</v>
      </c>
      <c r="X57" s="48" t="n">
        <f aca="false">X56*$D$7*8760</f>
        <v>53235.72</v>
      </c>
      <c r="Y57" s="48" t="n">
        <f aca="false">Y56*$D$7*8760</f>
        <v>53030.52</v>
      </c>
      <c r="Z57" s="48" t="n">
        <f aca="false">Z56*$D$7*8760</f>
        <v>52483.32</v>
      </c>
      <c r="AA57" s="48" t="n">
        <f aca="false">AA56*$D$7*8760</f>
        <v>51867.72</v>
      </c>
      <c r="AB57" s="48" t="n">
        <f aca="false">AB56*$D$7*8760</f>
        <v>51730.92</v>
      </c>
      <c r="AC57" s="48" t="n">
        <f aca="false">AC56*$D$7*8760</f>
        <v>50910.12</v>
      </c>
      <c r="AD57" s="48" t="n">
        <f aca="false">AD56*$D$7*8760</f>
        <v>50773.32</v>
      </c>
      <c r="AE57" s="48" t="n">
        <f aca="false">AE56*$D$7*8760</f>
        <v>50773.32</v>
      </c>
      <c r="AF57" s="48" t="n">
        <f aca="false">AF56*$D$7*8760</f>
        <v>50841.72</v>
      </c>
      <c r="AG57" s="48" t="n">
        <f aca="false">AG56*$D$7*8760</f>
        <v>51046.92</v>
      </c>
      <c r="AH57" s="48" t="n">
        <f aca="false">AH56*$D$7*8760</f>
        <v>51388.92</v>
      </c>
      <c r="AI57" s="48" t="n">
        <f aca="false">AI56*$D$7*8760</f>
        <v>51457.32</v>
      </c>
      <c r="AJ57" s="48" t="n">
        <f aca="false">AJ56*$D$7*8760</f>
        <v>0</v>
      </c>
      <c r="AK57" s="48" t="n">
        <f aca="false">AK56*$D$7*8760</f>
        <v>0</v>
      </c>
      <c r="AL57" s="48" t="n">
        <f aca="false">AL56*$D$7*8760</f>
        <v>0</v>
      </c>
      <c r="AM57" s="48" t="n">
        <f aca="false">AM56*$D$7*8760</f>
        <v>0</v>
      </c>
      <c r="AN57" s="48" t="n">
        <f aca="false">AN56*$D$7*8760</f>
        <v>0</v>
      </c>
      <c r="AO57" s="48" t="n">
        <f aca="false">AO56*$D$7*8760</f>
        <v>0</v>
      </c>
      <c r="AP57" s="48" t="n">
        <f aca="false">AP56*$D$7*8760</f>
        <v>0</v>
      </c>
      <c r="AQ57" s="48" t="n">
        <f aca="false">AQ56*$D$7*8760</f>
        <v>0</v>
      </c>
      <c r="AR57" s="48" t="n">
        <f aca="false">AR56*$D$7*8760</f>
        <v>0</v>
      </c>
      <c r="AS57" s="48" t="n">
        <f aca="false">AS56*$D$7*8760</f>
        <v>0</v>
      </c>
      <c r="AT57" s="48" t="n">
        <f aca="false">AT56*$D$7*8760</f>
        <v>0</v>
      </c>
      <c r="AU57" s="48" t="n">
        <f aca="false">AU56*$D$7*8760</f>
        <v>0</v>
      </c>
      <c r="AV57" s="48" t="n">
        <f aca="false">AV56*$D$7*8760</f>
        <v>0</v>
      </c>
      <c r="AW57" s="48" t="n">
        <f aca="false">AW56*$D$7*8760</f>
        <v>0</v>
      </c>
      <c r="AX57" s="48" t="n">
        <f aca="false">AX56*$D$7*8760</f>
        <v>0</v>
      </c>
      <c r="AY57" s="48" t="n">
        <f aca="false">AY56*$D$7*8760</f>
        <v>0</v>
      </c>
      <c r="AZ57" s="48" t="n">
        <f aca="false">AZ56*$D$7*8760</f>
        <v>0</v>
      </c>
      <c r="BA57" s="48" t="n">
        <f aca="false">BA56*$D$7*8760</f>
        <v>0</v>
      </c>
      <c r="BB57" s="48" t="n">
        <f aca="false">BB56*$D$7*8760</f>
        <v>0</v>
      </c>
      <c r="BC57" s="48" t="n">
        <f aca="false">BC56*$D$7*8760</f>
        <v>0</v>
      </c>
      <c r="BD57" s="48" t="n">
        <f aca="false">BD56*$D$7*8760</f>
        <v>0</v>
      </c>
      <c r="BE57" s="48" t="n">
        <f aca="false">BE56*$D$7*8760</f>
        <v>0</v>
      </c>
      <c r="BF57" s="48" t="n">
        <f aca="false">BF56*$D$7*8760</f>
        <v>0</v>
      </c>
      <c r="BG57" s="48" t="n">
        <f aca="false">BG56*$D$7*8760</f>
        <v>0</v>
      </c>
      <c r="BH57" s="48" t="n">
        <f aca="false">BH56*$D$7*8760</f>
        <v>0</v>
      </c>
      <c r="BI57" s="48" t="n">
        <f aca="false">BI56*$D$7*8760</f>
        <v>0</v>
      </c>
      <c r="BJ57" s="48" t="n">
        <f aca="false">BJ56*$D$7*8760</f>
        <v>0</v>
      </c>
      <c r="BK57" s="48" t="n">
        <f aca="false">BK56*$D$7*8760</f>
        <v>0</v>
      </c>
      <c r="BL57" s="48" t="n">
        <f aca="false">BL56*$D$7*8760</f>
        <v>0</v>
      </c>
      <c r="BM57" s="48" t="n">
        <f aca="false">BM56*$D$7*8760</f>
        <v>0</v>
      </c>
      <c r="BN57" s="48" t="n">
        <f aca="false">BN56*$D$7*8760</f>
        <v>0</v>
      </c>
      <c r="BO57" s="48" t="n">
        <f aca="false">BO56*$D$7*8760</f>
        <v>0</v>
      </c>
      <c r="BP57" s="48" t="n">
        <f aca="false">BP56*$D$7*8760</f>
        <v>0</v>
      </c>
      <c r="BQ57" s="48" t="n">
        <f aca="false">BQ56*$D$7*8760</f>
        <v>0</v>
      </c>
      <c r="BR57" s="48" t="n">
        <f aca="false">BR56*$D$7*8760</f>
        <v>0</v>
      </c>
      <c r="BS57" s="48" t="n">
        <f aca="false">BS56*$D$7*8760</f>
        <v>0</v>
      </c>
      <c r="BT57" s="48" t="n">
        <f aca="false">BT56*$D$7*8760</f>
        <v>0</v>
      </c>
      <c r="BU57" s="48" t="n">
        <f aca="false">BU56*$D$7*8760</f>
        <v>0</v>
      </c>
      <c r="BV57" s="48" t="n">
        <f aca="false">BV56*$D$7*8760</f>
        <v>0</v>
      </c>
      <c r="BW57" s="48" t="n">
        <f aca="false">BW56*$D$7*8760</f>
        <v>0</v>
      </c>
      <c r="BX57" s="48" t="n">
        <f aca="false">BX56*$D$7*8760</f>
        <v>0</v>
      </c>
    </row>
    <row r="58" customFormat="false" ht="15" hidden="false" customHeight="false" outlineLevel="0" collapsed="false">
      <c r="A58" s="1"/>
      <c r="B58" s="8" t="s">
        <v>325</v>
      </c>
      <c r="C58" s="8" t="s">
        <v>76</v>
      </c>
      <c r="D58" s="1"/>
      <c r="E58" s="1"/>
      <c r="F58" s="1"/>
      <c r="G58" s="49" t="n">
        <f aca="false">IF(G38=1,G51*IFERROR(INDEX(Twin!$G$91:$BN$91,1,G39),0),0)</f>
        <v>0</v>
      </c>
      <c r="H58" s="49" t="n">
        <f aca="false">IF(H38=1,H51*IFERROR(INDEX(Twin!$G$91:$BN$91,1,H39),0),0)</f>
        <v>0</v>
      </c>
      <c r="I58" s="49" t="n">
        <f aca="false">IF(I38=1,I51*IFERROR(INDEX(Twin!$G$91:$BN$91,1,I39),0),0)</f>
        <v>0</v>
      </c>
      <c r="J58" s="49" t="n">
        <f aca="false">IF(J38=1,J51*IFERROR(INDEX(Twin!$G$91:$BN$91,1,J39),0),0)</f>
        <v>0</v>
      </c>
      <c r="K58" s="49" t="n">
        <f aca="false">IF(K38=1,K51*IFERROR(INDEX(Twin!$G$91:$BN$91,1,K39),0),0)</f>
        <v>699.98074879951</v>
      </c>
      <c r="L58" s="49" t="n">
        <f aca="false">IF(L38=1,L51*IFERROR(INDEX(Twin!$G$91:$BN$91,1,L39),0),0)</f>
        <v>712.682747489944</v>
      </c>
      <c r="M58" s="49" t="n">
        <f aca="false">IF(M38=1,M51*IFERROR(INDEX(Twin!$G$91:$BN$91,1,M39),0),0)</f>
        <v>730.540391105785</v>
      </c>
      <c r="N58" s="49" t="n">
        <f aca="false">IF(N38=1,N51*IFERROR(INDEX(Twin!$G$91:$BN$91,1,N39),0),0)</f>
        <v>744.867540363125</v>
      </c>
      <c r="O58" s="49" t="n">
        <f aca="false">IF(O38=1,O51*IFERROR(INDEX(Twin!$G$91:$BN$91,1,O39),0),0)</f>
        <v>757.973072598236</v>
      </c>
      <c r="P58" s="49" t="n">
        <f aca="false">IF(P38=1,P51*IFERROR(INDEX(Twin!$G$91:$BN$91,1,P39),0),0)</f>
        <v>766.276461048195</v>
      </c>
      <c r="Q58" s="49" t="n">
        <f aca="false">IF(Q38=1,Q51*IFERROR(INDEX(Twin!$G$91:$BN$91,1,Q39),0),0)</f>
        <v>770.907156772898</v>
      </c>
      <c r="R58" s="49" t="n">
        <f aca="false">IF(R38=1,R51*IFERROR(INDEX(Twin!$G$91:$BN$91,1,R39),0),0)</f>
        <v>774.25424835739</v>
      </c>
      <c r="S58" s="49" t="n">
        <f aca="false">IF(S38=1,S51*IFERROR(INDEX(Twin!$G$91:$BN$91,1,S39),0),0)</f>
        <v>780.207424130126</v>
      </c>
      <c r="T58" s="49" t="n">
        <f aca="false">IF(T38=1,T51*IFERROR(INDEX(Twin!$G$91:$BN$91,1,T39),0),0)</f>
        <v>787.666884514492</v>
      </c>
      <c r="U58" s="49" t="n">
        <f aca="false">IF(U38=1,U51*IFERROR(INDEX(Twin!$G$91:$BN$91,1,U39),0),0)</f>
        <v>787.294184128264</v>
      </c>
      <c r="V58" s="49" t="n">
        <f aca="false">IF(V38=1,V51*IFERROR(INDEX(Twin!$G$91:$BN$91,1,V39),0),0)</f>
        <v>787.139507865545</v>
      </c>
      <c r="W58" s="49" t="n">
        <f aca="false">IF(W38=1,W51*IFERROR(INDEX(Twin!$G$91:$BN$91,1,W39),0),0)</f>
        <v>785.93043739295</v>
      </c>
      <c r="X58" s="49" t="n">
        <f aca="false">IF(X38=1,X51*IFERROR(INDEX(Twin!$G$91:$BN$91,1,X39),0),0)</f>
        <v>785.401774105803</v>
      </c>
      <c r="Y58" s="49" t="n">
        <f aca="false">IF(Y38=1,Y51*IFERROR(INDEX(Twin!$G$91:$BN$91,1,Y39),0),0)</f>
        <v>784.230257760159</v>
      </c>
      <c r="Z58" s="49" t="n">
        <f aca="false">IF(Z38=1,Z51*IFERROR(INDEX(Twin!$G$91:$BN$91,1,Z39),0),0)</f>
        <v>784.212513892624</v>
      </c>
      <c r="AA58" s="49" t="n">
        <f aca="false">IF(AA38=1,AA51*IFERROR(INDEX(Twin!$G$91:$BN$91,1,AA39),0),0)</f>
        <v>784.456970610071</v>
      </c>
      <c r="AB58" s="49" t="n">
        <f aca="false">IF(AB38=1,AB51*IFERROR(INDEX(Twin!$G$91:$BN$91,1,AB39),0),0)</f>
        <v>783.054950749175</v>
      </c>
      <c r="AC58" s="49" t="n">
        <f aca="false">IF(AC38=1,AC51*IFERROR(INDEX(Twin!$G$91:$BN$91,1,AC39),0),0)</f>
        <v>784.043708686554</v>
      </c>
      <c r="AD58" s="49" t="n">
        <f aca="false">IF(AD38=1,AD51*IFERROR(INDEX(Twin!$G$91:$BN$91,1,AD39),0),0)</f>
        <v>782.574366170393</v>
      </c>
      <c r="AE58" s="49" t="n">
        <f aca="false">IF(AE38=1,AE51*IFERROR(INDEX(Twin!$G$91:$BN$91,1,AE39),0),0)</f>
        <v>782.71771109091</v>
      </c>
      <c r="AF58" s="49" t="n">
        <f aca="false">IF(AF38=1,AF51*IFERROR(INDEX(Twin!$G$91:$BN$91,1,AF39),0),0)</f>
        <v>782.605616830562</v>
      </c>
      <c r="AG58" s="49" t="n">
        <f aca="false">IF(AG38=1,AG51*IFERROR(INDEX(Twin!$G$91:$BN$91,1,AG39),0),0)</f>
        <v>782.069589214145</v>
      </c>
      <c r="AH58" s="49" t="n">
        <f aca="false">IF(AH38=1,AH51*IFERROR(INDEX(Twin!$G$91:$BN$91,1,AH39),0),0)</f>
        <v>780.964911566658</v>
      </c>
      <c r="AI58" s="49" t="n">
        <f aca="false">IF(AI38=1,AI51*IFERROR(INDEX(Twin!$G$91:$BN$91,1,AI39),0),0)</f>
        <v>780.833594401525</v>
      </c>
      <c r="AJ58" s="49" t="n">
        <f aca="false">IF(AJ38=1,AJ51*IFERROR(INDEX(Twin!$G$91:$BN$91,1,AJ39),0),0)</f>
        <v>0</v>
      </c>
      <c r="AK58" s="49" t="n">
        <f aca="false">IF(AK38=1,AK51*IFERROR(INDEX(Twin!$G$91:$BN$91,1,AK39),0),0)</f>
        <v>0</v>
      </c>
      <c r="AL58" s="49" t="n">
        <f aca="false">IF(AL38=1,AL51*IFERROR(INDEX(Twin!$G$91:$BN$91,1,AL39),0),0)</f>
        <v>0</v>
      </c>
      <c r="AM58" s="49" t="n">
        <f aca="false">IF(AM38=1,AM51*IFERROR(INDEX(Twin!$G$91:$BN$91,1,AM39),0),0)</f>
        <v>0</v>
      </c>
      <c r="AN58" s="49" t="n">
        <f aca="false">IF(AN38=1,AN51*IFERROR(INDEX(Twin!$G$91:$BN$91,1,AN39),0),0)</f>
        <v>0</v>
      </c>
      <c r="AO58" s="49" t="n">
        <f aca="false">IF(AO38=1,AO51*IFERROR(INDEX(Twin!$G$91:$BN$91,1,AO39),0),0)</f>
        <v>0</v>
      </c>
      <c r="AP58" s="49" t="n">
        <f aca="false">IF(AP38=1,AP51*IFERROR(INDEX(Twin!$G$91:$BN$91,1,AP39),0),0)</f>
        <v>0</v>
      </c>
      <c r="AQ58" s="49" t="n">
        <f aca="false">IF(AQ38=1,AQ51*IFERROR(INDEX(Twin!$G$91:$BN$91,1,AQ39),0),0)</f>
        <v>0</v>
      </c>
      <c r="AR58" s="49" t="n">
        <f aca="false">IF(AR38=1,AR51*IFERROR(INDEX(Twin!$G$91:$BN$91,1,AR39),0),0)</f>
        <v>0</v>
      </c>
      <c r="AS58" s="49" t="n">
        <f aca="false">IF(AS38=1,AS51*IFERROR(INDEX(Twin!$G$91:$BN$91,1,AS39),0),0)</f>
        <v>0</v>
      </c>
      <c r="AT58" s="49" t="n">
        <f aca="false">IF(AT38=1,AT51*IFERROR(INDEX(Twin!$G$91:$BN$91,1,AT39),0),0)</f>
        <v>0</v>
      </c>
      <c r="AU58" s="49" t="n">
        <f aca="false">IF(AU38=1,AU51*IFERROR(INDEX(Twin!$G$91:$BN$91,1,AU39),0),0)</f>
        <v>0</v>
      </c>
      <c r="AV58" s="49" t="n">
        <f aca="false">IF(AV38=1,AV51*IFERROR(INDEX(Twin!$G$91:$BN$91,1,AV39),0),0)</f>
        <v>0</v>
      </c>
      <c r="AW58" s="49" t="n">
        <f aca="false">IF(AW38=1,AW51*IFERROR(INDEX(Twin!$G$91:$BN$91,1,AW39),0),0)</f>
        <v>0</v>
      </c>
      <c r="AX58" s="49" t="n">
        <f aca="false">IF(AX38=1,AX51*IFERROR(INDEX(Twin!$G$91:$BN$91,1,AX39),0),0)</f>
        <v>0</v>
      </c>
      <c r="AY58" s="49" t="n">
        <f aca="false">IF(AY38=1,AY51*IFERROR(INDEX(Twin!$G$91:$BN$91,1,AY39),0),0)</f>
        <v>0</v>
      </c>
      <c r="AZ58" s="49" t="n">
        <f aca="false">IF(AZ38=1,AZ51*IFERROR(INDEX(Twin!$G$91:$BN$91,1,AZ39),0),0)</f>
        <v>0</v>
      </c>
      <c r="BA58" s="49" t="n">
        <f aca="false">IF(BA38=1,BA51*IFERROR(INDEX(Twin!$G$91:$BN$91,1,BA39),0),0)</f>
        <v>0</v>
      </c>
      <c r="BB58" s="49" t="n">
        <f aca="false">IF(BB38=1,BB51*IFERROR(INDEX(Twin!$G$91:$BN$91,1,BB39),0),0)</f>
        <v>0</v>
      </c>
      <c r="BC58" s="49" t="n">
        <f aca="false">IF(BC38=1,BC51*IFERROR(INDEX(Twin!$G$91:$BN$91,1,BC39),0),0)</f>
        <v>0</v>
      </c>
      <c r="BD58" s="49" t="n">
        <f aca="false">IF(BD38=1,BD51*IFERROR(INDEX(Twin!$G$91:$BN$91,1,BD39),0),0)</f>
        <v>0</v>
      </c>
      <c r="BE58" s="49" t="n">
        <f aca="false">IF(BE38=1,BE51*IFERROR(INDEX(Twin!$G$91:$BN$91,1,BE39),0),0)</f>
        <v>0</v>
      </c>
      <c r="BF58" s="49" t="n">
        <f aca="false">IF(BF38=1,BF51*IFERROR(INDEX(Twin!$G$91:$BN$91,1,BF39),0),0)</f>
        <v>0</v>
      </c>
      <c r="BG58" s="49" t="n">
        <f aca="false">IF(BG38=1,BG51*IFERROR(INDEX(Twin!$G$91:$BN$91,1,BG39),0),0)</f>
        <v>0</v>
      </c>
      <c r="BH58" s="49" t="n">
        <f aca="false">IF(BH38=1,BH51*IFERROR(INDEX(Twin!$G$91:$BN$91,1,BH39),0),0)</f>
        <v>0</v>
      </c>
      <c r="BI58" s="49" t="n">
        <f aca="false">IF(BI38=1,BI51*IFERROR(INDEX(Twin!$G$91:$BN$91,1,BI39),0),0)</f>
        <v>0</v>
      </c>
      <c r="BJ58" s="49" t="n">
        <f aca="false">IF(BJ38=1,BJ51*IFERROR(INDEX(Twin!$G$91:$BN$91,1,BJ39),0),0)</f>
        <v>0</v>
      </c>
      <c r="BK58" s="49" t="n">
        <f aca="false">IF(BK38=1,BK51*IFERROR(INDEX(Twin!$G$91:$BN$91,1,BK39),0),0)</f>
        <v>0</v>
      </c>
      <c r="BL58" s="49" t="n">
        <f aca="false">IF(BL38=1,BL51*IFERROR(INDEX(Twin!$G$91:$BN$91,1,BL39),0),0)</f>
        <v>0</v>
      </c>
      <c r="BM58" s="49" t="n">
        <f aca="false">IF(BM38=1,BM51*IFERROR(INDEX(Twin!$G$91:$BN$91,1,BM39),0),0)</f>
        <v>0</v>
      </c>
      <c r="BN58" s="49" t="n">
        <f aca="false">IF(BN38=1,BN51*IFERROR(INDEX(Twin!$G$91:$BN$91,1,BN39),0),0)</f>
        <v>0</v>
      </c>
      <c r="BO58" s="49" t="n">
        <f aca="false">IF(BO38=1,BO51*IFERROR(INDEX(Twin!$G$91:$BN$91,1,BO39),0),0)</f>
        <v>0</v>
      </c>
      <c r="BP58" s="49" t="n">
        <f aca="false">IF(BP38=1,BP51*IFERROR(INDEX(Twin!$G$91:$BN$91,1,BP39),0),0)</f>
        <v>0</v>
      </c>
      <c r="BQ58" s="49" t="n">
        <f aca="false">IF(BQ38=1,BQ51*IFERROR(INDEX(Twin!$G$91:$BN$91,1,BQ39),0),0)</f>
        <v>0</v>
      </c>
      <c r="BR58" s="49" t="n">
        <f aca="false">IF(BR38=1,BR51*IFERROR(INDEX(Twin!$G$91:$BN$91,1,BR39),0),0)</f>
        <v>0</v>
      </c>
      <c r="BS58" s="49" t="n">
        <f aca="false">IF(BS38=1,BS51*IFERROR(INDEX(Twin!$G$91:$BN$91,1,BS39),0),0)</f>
        <v>0</v>
      </c>
      <c r="BT58" s="49" t="n">
        <f aca="false">IF(BT38=1,BT51*IFERROR(INDEX(Twin!$G$91:$BN$91,1,BT39),0),0)</f>
        <v>0</v>
      </c>
      <c r="BU58" s="49" t="n">
        <f aca="false">IF(BU38=1,BU51*IFERROR(INDEX(Twin!$G$91:$BN$91,1,BU39),0),0)</f>
        <v>0</v>
      </c>
      <c r="BV58" s="49" t="n">
        <f aca="false">IF(BV38=1,BV51*IFERROR(INDEX(Twin!$G$91:$BN$91,1,BV39),0),0)</f>
        <v>0</v>
      </c>
      <c r="BW58" s="49" t="n">
        <f aca="false">IF(BW38=1,BW51*IFERROR(INDEX(Twin!$G$91:$BN$91,1,BW39),0),0)</f>
        <v>0</v>
      </c>
      <c r="BX58" s="49" t="n">
        <f aca="false">IF(BX38=1,BX51*IFERROR(INDEX(Twin!$G$91:$BN$91,1,BX39),0),0)</f>
        <v>0</v>
      </c>
    </row>
    <row r="59" customFormat="false" ht="15" hidden="false" customHeight="false" outlineLevel="0" collapsed="false">
      <c r="A59" s="1"/>
      <c r="B59" s="8" t="s">
        <v>326</v>
      </c>
      <c r="C59" s="8" t="s">
        <v>126</v>
      </c>
      <c r="D59" s="44" t="n">
        <f aca="false">SUM(G59:BX59)</f>
        <v>1165.61393637004</v>
      </c>
      <c r="E59" s="1"/>
      <c r="F59" s="1"/>
      <c r="G59" s="48" t="n">
        <f aca="false">G57*G58/1000000</f>
        <v>0</v>
      </c>
      <c r="H59" s="48" t="n">
        <f aca="false">H57*H58/1000000</f>
        <v>0</v>
      </c>
      <c r="I59" s="48" t="n">
        <f aca="false">I57*I58/1000000</f>
        <v>0</v>
      </c>
      <c r="J59" s="48" t="n">
        <f aca="false">J57*J58/1000000</f>
        <v>0</v>
      </c>
      <c r="K59" s="48" t="n">
        <f aca="false">K57*K58/1000000</f>
        <v>74.551897638571</v>
      </c>
      <c r="L59" s="48" t="n">
        <f aca="false">L57*L58/1000000</f>
        <v>69.0800821484112</v>
      </c>
      <c r="M59" s="48" t="n">
        <f aca="false">M57*M58/1000000</f>
        <v>62.6011165352492</v>
      </c>
      <c r="N59" s="48" t="n">
        <f aca="false">N57*N58/1000000</f>
        <v>57.7047691731249</v>
      </c>
      <c r="O59" s="48" t="n">
        <f aca="false">O57*O58/1000000</f>
        <v>53.6599457015195</v>
      </c>
      <c r="P59" s="48" t="n">
        <f aca="false">P57*P58/1000000</f>
        <v>50.8828412855742</v>
      </c>
      <c r="Q59" s="48" t="n">
        <f aca="false">Q57*Q58/1000000</f>
        <v>48.9229399476864</v>
      </c>
      <c r="R59" s="48" t="n">
        <f aca="false">R57*R58/1000000</f>
        <v>47.3135621910025</v>
      </c>
      <c r="S59" s="48" t="n">
        <f aca="false">S57*S58/1000000</f>
        <v>45.2758737384287</v>
      </c>
      <c r="T59" s="48" t="n">
        <f aca="false">T57*T58/1000000</f>
        <v>43.1226824865933</v>
      </c>
      <c r="U59" s="48" t="n">
        <f aca="false">U57*U58/1000000</f>
        <v>42.7791725912101</v>
      </c>
      <c r="V59" s="48" t="n">
        <f aca="false">V57*V58/1000000</f>
        <v>42.38850152271</v>
      </c>
      <c r="W59" s="48" t="n">
        <f aca="false">W57*W58/1000000</f>
        <v>42.1621185560347</v>
      </c>
      <c r="X59" s="48" t="n">
        <f aca="false">X57*X58/1000000</f>
        <v>41.8114289337998</v>
      </c>
      <c r="Y59" s="48" t="n">
        <f aca="false">Y57*Y58/1000000</f>
        <v>41.5881383687552</v>
      </c>
      <c r="Z59" s="48" t="n">
        <f aca="false">Z57*Z58/1000000</f>
        <v>41.158076314631</v>
      </c>
      <c r="AA59" s="48" t="n">
        <f aca="false">AA57*AA58/1000000</f>
        <v>40.6879945036514</v>
      </c>
      <c r="AB59" s="48" t="n">
        <f aca="false">AB57*AB58/1000000</f>
        <v>40.5081530128095</v>
      </c>
      <c r="AC59" s="48" t="n">
        <f aca="false">AC57*AC58/1000000</f>
        <v>39.9157592944775</v>
      </c>
      <c r="AD59" s="48" t="n">
        <f aca="false">AD57*AD58/1000000</f>
        <v>39.7338987173665</v>
      </c>
      <c r="AE59" s="48" t="n">
        <f aca="false">AE57*AE58/1000000</f>
        <v>39.7411768148863</v>
      </c>
      <c r="AF59" s="48" t="n">
        <f aca="false">AF57*AF58/1000000</f>
        <v>39.7890156413267</v>
      </c>
      <c r="AG59" s="48" t="n">
        <f aca="false">AG57*AG58/1000000</f>
        <v>39.9222437550473</v>
      </c>
      <c r="AH59" s="48" t="n">
        <f aca="false">AH57*AH58/1000000</f>
        <v>40.1329433633061</v>
      </c>
      <c r="AI59" s="48" t="n">
        <f aca="false">AI57*AI58/1000000</f>
        <v>40.1796041338695</v>
      </c>
      <c r="AJ59" s="48" t="n">
        <f aca="false">AJ57*AJ58/1000000</f>
        <v>0</v>
      </c>
      <c r="AK59" s="48" t="n">
        <f aca="false">AK57*AK58/1000000</f>
        <v>0</v>
      </c>
      <c r="AL59" s="48" t="n">
        <f aca="false">AL57*AL58/1000000</f>
        <v>0</v>
      </c>
      <c r="AM59" s="48" t="n">
        <f aca="false">AM57*AM58/1000000</f>
        <v>0</v>
      </c>
      <c r="AN59" s="48" t="n">
        <f aca="false">AN57*AN58/1000000</f>
        <v>0</v>
      </c>
      <c r="AO59" s="48" t="n">
        <f aca="false">AO57*AO58/1000000</f>
        <v>0</v>
      </c>
      <c r="AP59" s="48" t="n">
        <f aca="false">AP57*AP58/1000000</f>
        <v>0</v>
      </c>
      <c r="AQ59" s="48" t="n">
        <f aca="false">AQ57*AQ58/1000000</f>
        <v>0</v>
      </c>
      <c r="AR59" s="48" t="n">
        <f aca="false">AR57*AR58/1000000</f>
        <v>0</v>
      </c>
      <c r="AS59" s="48" t="n">
        <f aca="false">AS57*AS58/1000000</f>
        <v>0</v>
      </c>
      <c r="AT59" s="48" t="n">
        <f aca="false">AT57*AT58/1000000</f>
        <v>0</v>
      </c>
      <c r="AU59" s="48" t="n">
        <f aca="false">AU57*AU58/1000000</f>
        <v>0</v>
      </c>
      <c r="AV59" s="48" t="n">
        <f aca="false">AV57*AV58/1000000</f>
        <v>0</v>
      </c>
      <c r="AW59" s="48" t="n">
        <f aca="false">AW57*AW58/1000000</f>
        <v>0</v>
      </c>
      <c r="AX59" s="48" t="n">
        <f aca="false">AX57*AX58/1000000</f>
        <v>0</v>
      </c>
      <c r="AY59" s="48" t="n">
        <f aca="false">AY57*AY58/1000000</f>
        <v>0</v>
      </c>
      <c r="AZ59" s="48" t="n">
        <f aca="false">AZ57*AZ58/1000000</f>
        <v>0</v>
      </c>
      <c r="BA59" s="48" t="n">
        <f aca="false">BA57*BA58/1000000</f>
        <v>0</v>
      </c>
      <c r="BB59" s="48" t="n">
        <f aca="false">BB57*BB58/1000000</f>
        <v>0</v>
      </c>
      <c r="BC59" s="48" t="n">
        <f aca="false">BC57*BC58/1000000</f>
        <v>0</v>
      </c>
      <c r="BD59" s="48" t="n">
        <f aca="false">BD57*BD58/1000000</f>
        <v>0</v>
      </c>
      <c r="BE59" s="48" t="n">
        <f aca="false">BE57*BE58/1000000</f>
        <v>0</v>
      </c>
      <c r="BF59" s="48" t="n">
        <f aca="false">BF57*BF58/1000000</f>
        <v>0</v>
      </c>
      <c r="BG59" s="48" t="n">
        <f aca="false">BG57*BG58/1000000</f>
        <v>0</v>
      </c>
      <c r="BH59" s="48" t="n">
        <f aca="false">BH57*BH58/1000000</f>
        <v>0</v>
      </c>
      <c r="BI59" s="48" t="n">
        <f aca="false">BI57*BI58/1000000</f>
        <v>0</v>
      </c>
      <c r="BJ59" s="48" t="n">
        <f aca="false">BJ57*BJ58/1000000</f>
        <v>0</v>
      </c>
      <c r="BK59" s="48" t="n">
        <f aca="false">BK57*BK58/1000000</f>
        <v>0</v>
      </c>
      <c r="BL59" s="48" t="n">
        <f aca="false">BL57*BL58/1000000</f>
        <v>0</v>
      </c>
      <c r="BM59" s="48" t="n">
        <f aca="false">BM57*BM58/1000000</f>
        <v>0</v>
      </c>
      <c r="BN59" s="48" t="n">
        <f aca="false">BN57*BN58/1000000</f>
        <v>0</v>
      </c>
      <c r="BO59" s="48" t="n">
        <f aca="false">BO57*BO58/1000000</f>
        <v>0</v>
      </c>
      <c r="BP59" s="48" t="n">
        <f aca="false">BP57*BP58/1000000</f>
        <v>0</v>
      </c>
      <c r="BQ59" s="48" t="n">
        <f aca="false">BQ57*BQ58/1000000</f>
        <v>0</v>
      </c>
      <c r="BR59" s="48" t="n">
        <f aca="false">BR57*BR58/1000000</f>
        <v>0</v>
      </c>
      <c r="BS59" s="48" t="n">
        <f aca="false">BS57*BS58/1000000</f>
        <v>0</v>
      </c>
      <c r="BT59" s="48" t="n">
        <f aca="false">BT57*BT58/1000000</f>
        <v>0</v>
      </c>
      <c r="BU59" s="48" t="n">
        <f aca="false">BU57*BU58/1000000</f>
        <v>0</v>
      </c>
      <c r="BV59" s="48" t="n">
        <f aca="false">BV57*BV58/1000000</f>
        <v>0</v>
      </c>
      <c r="BW59" s="48" t="n">
        <f aca="false">BW57*BW58/1000000</f>
        <v>0</v>
      </c>
      <c r="BX59" s="48" t="n">
        <f aca="false">BX57*BX58/1000000</f>
        <v>0</v>
      </c>
    </row>
    <row r="60" customFormat="false" ht="15" hidden="false" customHeight="false" outlineLevel="0" collapsed="false">
      <c r="A60" s="1"/>
      <c r="B60" s="8" t="s">
        <v>408</v>
      </c>
      <c r="C60" s="8" t="s">
        <v>126</v>
      </c>
      <c r="D60" s="44" t="n">
        <f aca="false">SUM(G60:BX60)</f>
        <v>0</v>
      </c>
      <c r="E60" s="1"/>
      <c r="F60" s="1"/>
      <c r="G60" s="48" t="n">
        <f aca="false">0</f>
        <v>0</v>
      </c>
      <c r="H60" s="48" t="n">
        <f aca="false">0</f>
        <v>0</v>
      </c>
      <c r="I60" s="48" t="n">
        <f aca="false">0</f>
        <v>0</v>
      </c>
      <c r="J60" s="48" t="n">
        <f aca="false">0</f>
        <v>0</v>
      </c>
      <c r="K60" s="48" t="n">
        <f aca="false">0</f>
        <v>0</v>
      </c>
      <c r="L60" s="48" t="n">
        <f aca="false">0</f>
        <v>0</v>
      </c>
      <c r="M60" s="48" t="n">
        <f aca="false">0</f>
        <v>0</v>
      </c>
      <c r="N60" s="48" t="n">
        <f aca="false">0</f>
        <v>0</v>
      </c>
      <c r="O60" s="48" t="n">
        <f aca="false">0</f>
        <v>0</v>
      </c>
      <c r="P60" s="48" t="n">
        <f aca="false">0</f>
        <v>0</v>
      </c>
      <c r="Q60" s="48" t="n">
        <f aca="false">0</f>
        <v>0</v>
      </c>
      <c r="R60" s="48" t="n">
        <f aca="false">0</f>
        <v>0</v>
      </c>
      <c r="S60" s="48" t="n">
        <f aca="false">0</f>
        <v>0</v>
      </c>
      <c r="T60" s="48" t="n">
        <f aca="false">0</f>
        <v>0</v>
      </c>
      <c r="U60" s="48" t="n">
        <f aca="false">0</f>
        <v>0</v>
      </c>
      <c r="V60" s="48" t="n">
        <f aca="false">0</f>
        <v>0</v>
      </c>
      <c r="W60" s="48" t="n">
        <f aca="false">0</f>
        <v>0</v>
      </c>
      <c r="X60" s="48" t="n">
        <f aca="false">0</f>
        <v>0</v>
      </c>
      <c r="Y60" s="48" t="n">
        <f aca="false">0</f>
        <v>0</v>
      </c>
      <c r="Z60" s="48" t="n">
        <f aca="false">0</f>
        <v>0</v>
      </c>
      <c r="AA60" s="48" t="n">
        <f aca="false">0</f>
        <v>0</v>
      </c>
      <c r="AB60" s="48" t="n">
        <f aca="false">0</f>
        <v>0</v>
      </c>
      <c r="AC60" s="48" t="n">
        <f aca="false">0</f>
        <v>0</v>
      </c>
      <c r="AD60" s="48" t="n">
        <f aca="false">0</f>
        <v>0</v>
      </c>
      <c r="AE60" s="48" t="n">
        <f aca="false">0</f>
        <v>0</v>
      </c>
      <c r="AF60" s="48" t="n">
        <f aca="false">0</f>
        <v>0</v>
      </c>
      <c r="AG60" s="48" t="n">
        <f aca="false">0</f>
        <v>0</v>
      </c>
      <c r="AH60" s="48" t="n">
        <f aca="false">0</f>
        <v>0</v>
      </c>
      <c r="AI60" s="48" t="n">
        <f aca="false">0</f>
        <v>0</v>
      </c>
      <c r="AJ60" s="48" t="n">
        <f aca="false">0</f>
        <v>0</v>
      </c>
      <c r="AK60" s="48" t="n">
        <f aca="false">0</f>
        <v>0</v>
      </c>
      <c r="AL60" s="48" t="n">
        <f aca="false">0</f>
        <v>0</v>
      </c>
      <c r="AM60" s="48" t="n">
        <f aca="false">0</f>
        <v>0</v>
      </c>
      <c r="AN60" s="48" t="n">
        <f aca="false">0</f>
        <v>0</v>
      </c>
      <c r="AO60" s="48" t="n">
        <f aca="false">0</f>
        <v>0</v>
      </c>
      <c r="AP60" s="48" t="n">
        <f aca="false">0</f>
        <v>0</v>
      </c>
      <c r="AQ60" s="48" t="n">
        <f aca="false">0</f>
        <v>0</v>
      </c>
      <c r="AR60" s="48" t="n">
        <f aca="false">0</f>
        <v>0</v>
      </c>
      <c r="AS60" s="48" t="n">
        <f aca="false">0</f>
        <v>0</v>
      </c>
      <c r="AT60" s="48" t="n">
        <f aca="false">0</f>
        <v>0</v>
      </c>
      <c r="AU60" s="48" t="n">
        <f aca="false">0</f>
        <v>0</v>
      </c>
      <c r="AV60" s="48" t="n">
        <f aca="false">0</f>
        <v>0</v>
      </c>
      <c r="AW60" s="48" t="n">
        <f aca="false">0</f>
        <v>0</v>
      </c>
      <c r="AX60" s="48" t="n">
        <f aca="false">0</f>
        <v>0</v>
      </c>
      <c r="AY60" s="48" t="n">
        <f aca="false">0</f>
        <v>0</v>
      </c>
      <c r="AZ60" s="48" t="n">
        <f aca="false">0</f>
        <v>0</v>
      </c>
      <c r="BA60" s="48" t="n">
        <f aca="false">0</f>
        <v>0</v>
      </c>
      <c r="BB60" s="48" t="n">
        <f aca="false">0</f>
        <v>0</v>
      </c>
      <c r="BC60" s="48" t="n">
        <f aca="false">0</f>
        <v>0</v>
      </c>
      <c r="BD60" s="48" t="n">
        <f aca="false">0</f>
        <v>0</v>
      </c>
      <c r="BE60" s="48" t="n">
        <f aca="false">0</f>
        <v>0</v>
      </c>
      <c r="BF60" s="48" t="n">
        <f aca="false">0</f>
        <v>0</v>
      </c>
      <c r="BG60" s="48" t="n">
        <f aca="false">0</f>
        <v>0</v>
      </c>
      <c r="BH60" s="48" t="n">
        <f aca="false">0</f>
        <v>0</v>
      </c>
      <c r="BI60" s="48" t="n">
        <f aca="false">0</f>
        <v>0</v>
      </c>
      <c r="BJ60" s="48" t="n">
        <f aca="false">0</f>
        <v>0</v>
      </c>
      <c r="BK60" s="48" t="n">
        <f aca="false">0</f>
        <v>0</v>
      </c>
      <c r="BL60" s="48" t="n">
        <f aca="false">0</f>
        <v>0</v>
      </c>
      <c r="BM60" s="48" t="n">
        <f aca="false">0</f>
        <v>0</v>
      </c>
      <c r="BN60" s="48" t="n">
        <f aca="false">0</f>
        <v>0</v>
      </c>
      <c r="BO60" s="48" t="n">
        <f aca="false">0</f>
        <v>0</v>
      </c>
      <c r="BP60" s="48" t="n">
        <f aca="false">0</f>
        <v>0</v>
      </c>
      <c r="BQ60" s="48" t="n">
        <f aca="false">0</f>
        <v>0</v>
      </c>
      <c r="BR60" s="48" t="n">
        <f aca="false">0</f>
        <v>0</v>
      </c>
      <c r="BS60" s="48" t="n">
        <f aca="false">0</f>
        <v>0</v>
      </c>
      <c r="BT60" s="48" t="n">
        <f aca="false">0</f>
        <v>0</v>
      </c>
      <c r="BU60" s="48" t="n">
        <f aca="false">0</f>
        <v>0</v>
      </c>
      <c r="BV60" s="48" t="n">
        <f aca="false">0</f>
        <v>0</v>
      </c>
      <c r="BW60" s="48" t="n">
        <f aca="false">0</f>
        <v>0</v>
      </c>
      <c r="BX60" s="48" t="n">
        <f aca="false">0</f>
        <v>0</v>
      </c>
    </row>
    <row r="61" customFormat="false" ht="15" hidden="false" customHeight="false" outlineLevel="0" collapsed="false">
      <c r="A61" s="1"/>
      <c r="B61" s="8" t="s">
        <v>329</v>
      </c>
      <c r="C61" s="8" t="s">
        <v>126</v>
      </c>
      <c r="D61" s="44" t="n">
        <f aca="false">SUM(G61:BX61)</f>
        <v>0</v>
      </c>
      <c r="E61" s="1"/>
      <c r="F61" s="1"/>
      <c r="G61" s="48" t="n">
        <f aca="false">IF(AND(G38=1,G39&lt;=$D$34),$D$33*$D$30*$D$7*1000/1000000,0)</f>
        <v>0</v>
      </c>
      <c r="H61" s="48" t="n">
        <f aca="false">IF(AND(H38=1,H39&lt;=$D$34),$D$33*$D$30*$D$7*1000/1000000,0)</f>
        <v>0</v>
      </c>
      <c r="I61" s="48" t="n">
        <f aca="false">IF(AND(I38=1,I39&lt;=$D$34),$D$33*$D$30*$D$7*1000/1000000,0)</f>
        <v>0</v>
      </c>
      <c r="J61" s="48" t="n">
        <f aca="false">IF(AND(J38=1,J39&lt;=$D$34),$D$33*$D$30*$D$7*1000/1000000,0)</f>
        <v>0</v>
      </c>
      <c r="K61" s="48" t="n">
        <f aca="false">IF(AND(K38=1,K39&lt;=$D$34),$D$33*$D$30*$D$7*1000/1000000,0)</f>
        <v>0</v>
      </c>
      <c r="L61" s="48" t="n">
        <f aca="false">IF(AND(L38=1,L39&lt;=$D$34),$D$33*$D$30*$D$7*1000/1000000,0)</f>
        <v>0</v>
      </c>
      <c r="M61" s="48" t="n">
        <f aca="false">IF(AND(M38=1,M39&lt;=$D$34),$D$33*$D$30*$D$7*1000/1000000,0)</f>
        <v>0</v>
      </c>
      <c r="N61" s="48" t="n">
        <f aca="false">IF(AND(N38=1,N39&lt;=$D$34),$D$33*$D$30*$D$7*1000/1000000,0)</f>
        <v>0</v>
      </c>
      <c r="O61" s="48" t="n">
        <f aca="false">IF(AND(O38=1,O39&lt;=$D$34),$D$33*$D$30*$D$7*1000/1000000,0)</f>
        <v>0</v>
      </c>
      <c r="P61" s="48" t="n">
        <f aca="false">IF(AND(P38=1,P39&lt;=$D$34),$D$33*$D$30*$D$7*1000/1000000,0)</f>
        <v>0</v>
      </c>
      <c r="Q61" s="48" t="n">
        <f aca="false">IF(AND(Q38=1,Q39&lt;=$D$34),$D$33*$D$30*$D$7*1000/1000000,0)</f>
        <v>0</v>
      </c>
      <c r="R61" s="48" t="n">
        <f aca="false">IF(AND(R38=1,R39&lt;=$D$34),$D$33*$D$30*$D$7*1000/1000000,0)</f>
        <v>0</v>
      </c>
      <c r="S61" s="48" t="n">
        <f aca="false">IF(AND(S38=1,S39&lt;=$D$34),$D$33*$D$30*$D$7*1000/1000000,0)</f>
        <v>0</v>
      </c>
      <c r="T61" s="48" t="n">
        <f aca="false">IF(AND(T38=1,T39&lt;=$D$34),$D$33*$D$30*$D$7*1000/1000000,0)</f>
        <v>0</v>
      </c>
      <c r="U61" s="48" t="n">
        <f aca="false">IF(AND(U38=1,U39&lt;=$D$34),$D$33*$D$30*$D$7*1000/1000000,0)</f>
        <v>0</v>
      </c>
      <c r="V61" s="48" t="n">
        <f aca="false">IF(AND(V38=1,V39&lt;=$D$34),$D$33*$D$30*$D$7*1000/1000000,0)</f>
        <v>0</v>
      </c>
      <c r="W61" s="48" t="n">
        <f aca="false">IF(AND(W38=1,W39&lt;=$D$34),$D$33*$D$30*$D$7*1000/1000000,0)</f>
        <v>0</v>
      </c>
      <c r="X61" s="48" t="n">
        <f aca="false">IF(AND(X38=1,X39&lt;=$D$34),$D$33*$D$30*$D$7*1000/1000000,0)</f>
        <v>0</v>
      </c>
      <c r="Y61" s="48" t="n">
        <f aca="false">IF(AND(Y38=1,Y39&lt;=$D$34),$D$33*$D$30*$D$7*1000/1000000,0)</f>
        <v>0</v>
      </c>
      <c r="Z61" s="48" t="n">
        <f aca="false">IF(AND(Z38=1,Z39&lt;=$D$34),$D$33*$D$30*$D$7*1000/1000000,0)</f>
        <v>0</v>
      </c>
      <c r="AA61" s="48" t="n">
        <f aca="false">IF(AND(AA38=1,AA39&lt;=$D$34),$D$33*$D$30*$D$7*1000/1000000,0)</f>
        <v>0</v>
      </c>
      <c r="AB61" s="48" t="n">
        <f aca="false">IF(AND(AB38=1,AB39&lt;=$D$34),$D$33*$D$30*$D$7*1000/1000000,0)</f>
        <v>0</v>
      </c>
      <c r="AC61" s="48" t="n">
        <f aca="false">IF(AND(AC38=1,AC39&lt;=$D$34),$D$33*$D$30*$D$7*1000/1000000,0)</f>
        <v>0</v>
      </c>
      <c r="AD61" s="48" t="n">
        <f aca="false">IF(AND(AD38=1,AD39&lt;=$D$34),$D$33*$D$30*$D$7*1000/1000000,0)</f>
        <v>0</v>
      </c>
      <c r="AE61" s="48" t="n">
        <f aca="false">IF(AND(AE38=1,AE39&lt;=$D$34),$D$33*$D$30*$D$7*1000/1000000,0)</f>
        <v>0</v>
      </c>
      <c r="AF61" s="48" t="n">
        <f aca="false">IF(AND(AF38=1,AF39&lt;=$D$34),$D$33*$D$30*$D$7*1000/1000000,0)</f>
        <v>0</v>
      </c>
      <c r="AG61" s="48" t="n">
        <f aca="false">IF(AND(AG38=1,AG39&lt;=$D$34),$D$33*$D$30*$D$7*1000/1000000,0)</f>
        <v>0</v>
      </c>
      <c r="AH61" s="48" t="n">
        <f aca="false">IF(AND(AH38=1,AH39&lt;=$D$34),$D$33*$D$30*$D$7*1000/1000000,0)</f>
        <v>0</v>
      </c>
      <c r="AI61" s="48" t="n">
        <f aca="false">IF(AND(AI38=1,AI39&lt;=$D$34),$D$33*$D$30*$D$7*1000/1000000,0)</f>
        <v>0</v>
      </c>
      <c r="AJ61" s="48" t="n">
        <f aca="false">IF(AND(AJ38=1,AJ39&lt;=$D$34),$D$33*$D$30*$D$7*1000/1000000,0)</f>
        <v>0</v>
      </c>
      <c r="AK61" s="48" t="n">
        <f aca="false">IF(AND(AK38=1,AK39&lt;=$D$34),$D$33*$D$30*$D$7*1000/1000000,0)</f>
        <v>0</v>
      </c>
      <c r="AL61" s="48" t="n">
        <f aca="false">IF(AND(AL38=1,AL39&lt;=$D$34),$D$33*$D$30*$D$7*1000/1000000,0)</f>
        <v>0</v>
      </c>
      <c r="AM61" s="48" t="n">
        <f aca="false">IF(AND(AM38=1,AM39&lt;=$D$34),$D$33*$D$30*$D$7*1000/1000000,0)</f>
        <v>0</v>
      </c>
      <c r="AN61" s="48" t="n">
        <f aca="false">IF(AND(AN38=1,AN39&lt;=$D$34),$D$33*$D$30*$D$7*1000/1000000,0)</f>
        <v>0</v>
      </c>
      <c r="AO61" s="48" t="n">
        <f aca="false">IF(AND(AO38=1,AO39&lt;=$D$34),$D$33*$D$30*$D$7*1000/1000000,0)</f>
        <v>0</v>
      </c>
      <c r="AP61" s="48" t="n">
        <f aca="false">IF(AND(AP38=1,AP39&lt;=$D$34),$D$33*$D$30*$D$7*1000/1000000,0)</f>
        <v>0</v>
      </c>
      <c r="AQ61" s="48" t="n">
        <f aca="false">IF(AND(AQ38=1,AQ39&lt;=$D$34),$D$33*$D$30*$D$7*1000/1000000,0)</f>
        <v>0</v>
      </c>
      <c r="AR61" s="48" t="n">
        <f aca="false">IF(AND(AR38=1,AR39&lt;=$D$34),$D$33*$D$30*$D$7*1000/1000000,0)</f>
        <v>0</v>
      </c>
      <c r="AS61" s="48" t="n">
        <f aca="false">IF(AND(AS38=1,AS39&lt;=$D$34),$D$33*$D$30*$D$7*1000/1000000,0)</f>
        <v>0</v>
      </c>
      <c r="AT61" s="48" t="n">
        <f aca="false">IF(AND(AT38=1,AT39&lt;=$D$34),$D$33*$D$30*$D$7*1000/1000000,0)</f>
        <v>0</v>
      </c>
      <c r="AU61" s="48" t="n">
        <f aca="false">IF(AND(AU38=1,AU39&lt;=$D$34),$D$33*$D$30*$D$7*1000/1000000,0)</f>
        <v>0</v>
      </c>
      <c r="AV61" s="48" t="n">
        <f aca="false">IF(AND(AV38=1,AV39&lt;=$D$34),$D$33*$D$30*$D$7*1000/1000000,0)</f>
        <v>0</v>
      </c>
      <c r="AW61" s="48" t="n">
        <f aca="false">IF(AND(AW38=1,AW39&lt;=$D$34),$D$33*$D$30*$D$7*1000/1000000,0)</f>
        <v>0</v>
      </c>
      <c r="AX61" s="48" t="n">
        <f aca="false">IF(AND(AX38=1,AX39&lt;=$D$34),$D$33*$D$30*$D$7*1000/1000000,0)</f>
        <v>0</v>
      </c>
      <c r="AY61" s="48" t="n">
        <f aca="false">IF(AND(AY38=1,AY39&lt;=$D$34),$D$33*$D$30*$D$7*1000/1000000,0)</f>
        <v>0</v>
      </c>
      <c r="AZ61" s="48" t="n">
        <f aca="false">IF(AND(AZ38=1,AZ39&lt;=$D$34),$D$33*$D$30*$D$7*1000/1000000,0)</f>
        <v>0</v>
      </c>
      <c r="BA61" s="48" t="n">
        <f aca="false">IF(AND(BA38=1,BA39&lt;=$D$34),$D$33*$D$30*$D$7*1000/1000000,0)</f>
        <v>0</v>
      </c>
      <c r="BB61" s="48" t="n">
        <f aca="false">IF(AND(BB38=1,BB39&lt;=$D$34),$D$33*$D$30*$D$7*1000/1000000,0)</f>
        <v>0</v>
      </c>
      <c r="BC61" s="48" t="n">
        <f aca="false">IF(AND(BC38=1,BC39&lt;=$D$34),$D$33*$D$30*$D$7*1000/1000000,0)</f>
        <v>0</v>
      </c>
      <c r="BD61" s="48" t="n">
        <f aca="false">IF(AND(BD38=1,BD39&lt;=$D$34),$D$33*$D$30*$D$7*1000/1000000,0)</f>
        <v>0</v>
      </c>
      <c r="BE61" s="48" t="n">
        <f aca="false">IF(AND(BE38=1,BE39&lt;=$D$34),$D$33*$D$30*$D$7*1000/1000000,0)</f>
        <v>0</v>
      </c>
      <c r="BF61" s="48" t="n">
        <f aca="false">IF(AND(BF38=1,BF39&lt;=$D$34),$D$33*$D$30*$D$7*1000/1000000,0)</f>
        <v>0</v>
      </c>
      <c r="BG61" s="48" t="n">
        <f aca="false">IF(AND(BG38=1,BG39&lt;=$D$34),$D$33*$D$30*$D$7*1000/1000000,0)</f>
        <v>0</v>
      </c>
      <c r="BH61" s="48" t="n">
        <f aca="false">IF(AND(BH38=1,BH39&lt;=$D$34),$D$33*$D$30*$D$7*1000/1000000,0)</f>
        <v>0</v>
      </c>
      <c r="BI61" s="48" t="n">
        <f aca="false">IF(AND(BI38=1,BI39&lt;=$D$34),$D$33*$D$30*$D$7*1000/1000000,0)</f>
        <v>0</v>
      </c>
      <c r="BJ61" s="48" t="n">
        <f aca="false">IF(AND(BJ38=1,BJ39&lt;=$D$34),$D$33*$D$30*$D$7*1000/1000000,0)</f>
        <v>0</v>
      </c>
      <c r="BK61" s="48" t="n">
        <f aca="false">IF(AND(BK38=1,BK39&lt;=$D$34),$D$33*$D$30*$D$7*1000/1000000,0)</f>
        <v>0</v>
      </c>
      <c r="BL61" s="48" t="n">
        <f aca="false">IF(AND(BL38=1,BL39&lt;=$D$34),$D$33*$D$30*$D$7*1000/1000000,0)</f>
        <v>0</v>
      </c>
      <c r="BM61" s="48" t="n">
        <f aca="false">IF(AND(BM38=1,BM39&lt;=$D$34),$D$33*$D$30*$D$7*1000/1000000,0)</f>
        <v>0</v>
      </c>
      <c r="BN61" s="48" t="n">
        <f aca="false">IF(AND(BN38=1,BN39&lt;=$D$34),$D$33*$D$30*$D$7*1000/1000000,0)</f>
        <v>0</v>
      </c>
      <c r="BO61" s="48" t="n">
        <f aca="false">IF(AND(BO38=1,BO39&lt;=$D$34),$D$33*$D$30*$D$7*1000/1000000,0)</f>
        <v>0</v>
      </c>
      <c r="BP61" s="48" t="n">
        <f aca="false">IF(AND(BP38=1,BP39&lt;=$D$34),$D$33*$D$30*$D$7*1000/1000000,0)</f>
        <v>0</v>
      </c>
      <c r="BQ61" s="48" t="n">
        <f aca="false">IF(AND(BQ38=1,BQ39&lt;=$D$34),$D$33*$D$30*$D$7*1000/1000000,0)</f>
        <v>0</v>
      </c>
      <c r="BR61" s="48" t="n">
        <f aca="false">IF(AND(BR38=1,BR39&lt;=$D$34),$D$33*$D$30*$D$7*1000/1000000,0)</f>
        <v>0</v>
      </c>
      <c r="BS61" s="48" t="n">
        <f aca="false">IF(AND(BS38=1,BS39&lt;=$D$34),$D$33*$D$30*$D$7*1000/1000000,0)</f>
        <v>0</v>
      </c>
      <c r="BT61" s="48" t="n">
        <f aca="false">IF(AND(BT38=1,BT39&lt;=$D$34),$D$33*$D$30*$D$7*1000/1000000,0)</f>
        <v>0</v>
      </c>
      <c r="BU61" s="48" t="n">
        <f aca="false">IF(AND(BU38=1,BU39&lt;=$D$34),$D$33*$D$30*$D$7*1000/1000000,0)</f>
        <v>0</v>
      </c>
      <c r="BV61" s="48" t="n">
        <f aca="false">IF(AND(BV38=1,BV39&lt;=$D$34),$D$33*$D$30*$D$7*1000/1000000,0)</f>
        <v>0</v>
      </c>
      <c r="BW61" s="48" t="n">
        <f aca="false">IF(AND(BW38=1,BW39&lt;=$D$34),$D$33*$D$30*$D$7*1000/1000000,0)</f>
        <v>0</v>
      </c>
      <c r="BX61" s="48" t="n">
        <f aca="false">IF(AND(BX38=1,BX39&lt;=$D$34),$D$33*$D$30*$D$7*1000/1000000,0)</f>
        <v>0</v>
      </c>
    </row>
    <row r="62" customFormat="false" ht="15" hidden="false" customHeight="false" outlineLevel="0" collapsed="false">
      <c r="A62" s="1"/>
      <c r="B62" s="8" t="s">
        <v>330</v>
      </c>
      <c r="C62" s="8" t="s">
        <v>126</v>
      </c>
      <c r="D62" s="44" t="n">
        <f aca="false">SUM(G62:BX62)</f>
        <v>72</v>
      </c>
      <c r="E62" s="1"/>
      <c r="F62" s="1"/>
      <c r="G62" s="48" t="n">
        <f aca="false">IF(G38=1,$D$31*$D$7*1000/1000000,0)</f>
        <v>0</v>
      </c>
      <c r="H62" s="48" t="n">
        <f aca="false">IF(H38=1,$D$31*$D$7*1000/1000000,0)</f>
        <v>0</v>
      </c>
      <c r="I62" s="48" t="n">
        <f aca="false">IF(I38=1,$D$31*$D$7*1000/1000000,0)</f>
        <v>0</v>
      </c>
      <c r="J62" s="48" t="n">
        <f aca="false">IF(J38=1,$D$31*$D$7*1000/1000000,0)</f>
        <v>0</v>
      </c>
      <c r="K62" s="48" t="n">
        <f aca="false">IF(K38=1,$D$31*$D$7*1000/1000000,0)</f>
        <v>2.88</v>
      </c>
      <c r="L62" s="48" t="n">
        <f aca="false">IF(L38=1,$D$31*$D$7*1000/1000000,0)</f>
        <v>2.88</v>
      </c>
      <c r="M62" s="48" t="n">
        <f aca="false">IF(M38=1,$D$31*$D$7*1000/1000000,0)</f>
        <v>2.88</v>
      </c>
      <c r="N62" s="48" t="n">
        <f aca="false">IF(N38=1,$D$31*$D$7*1000/1000000,0)</f>
        <v>2.88</v>
      </c>
      <c r="O62" s="48" t="n">
        <f aca="false">IF(O38=1,$D$31*$D$7*1000/1000000,0)</f>
        <v>2.88</v>
      </c>
      <c r="P62" s="48" t="n">
        <f aca="false">IF(P38=1,$D$31*$D$7*1000/1000000,0)</f>
        <v>2.88</v>
      </c>
      <c r="Q62" s="48" t="n">
        <f aca="false">IF(Q38=1,$D$31*$D$7*1000/1000000,0)</f>
        <v>2.88</v>
      </c>
      <c r="R62" s="48" t="n">
        <f aca="false">IF(R38=1,$D$31*$D$7*1000/1000000,0)</f>
        <v>2.88</v>
      </c>
      <c r="S62" s="48" t="n">
        <f aca="false">IF(S38=1,$D$31*$D$7*1000/1000000,0)</f>
        <v>2.88</v>
      </c>
      <c r="T62" s="48" t="n">
        <f aca="false">IF(T38=1,$D$31*$D$7*1000/1000000,0)</f>
        <v>2.88</v>
      </c>
      <c r="U62" s="48" t="n">
        <f aca="false">IF(U38=1,$D$31*$D$7*1000/1000000,0)</f>
        <v>2.88</v>
      </c>
      <c r="V62" s="48" t="n">
        <f aca="false">IF(V38=1,$D$31*$D$7*1000/1000000,0)</f>
        <v>2.88</v>
      </c>
      <c r="W62" s="48" t="n">
        <f aca="false">IF(W38=1,$D$31*$D$7*1000/1000000,0)</f>
        <v>2.88</v>
      </c>
      <c r="X62" s="48" t="n">
        <f aca="false">IF(X38=1,$D$31*$D$7*1000/1000000,0)</f>
        <v>2.88</v>
      </c>
      <c r="Y62" s="48" t="n">
        <f aca="false">IF(Y38=1,$D$31*$D$7*1000/1000000,0)</f>
        <v>2.88</v>
      </c>
      <c r="Z62" s="48" t="n">
        <f aca="false">IF(Z38=1,$D$31*$D$7*1000/1000000,0)</f>
        <v>2.88</v>
      </c>
      <c r="AA62" s="48" t="n">
        <f aca="false">IF(AA38=1,$D$31*$D$7*1000/1000000,0)</f>
        <v>2.88</v>
      </c>
      <c r="AB62" s="48" t="n">
        <f aca="false">IF(AB38=1,$D$31*$D$7*1000/1000000,0)</f>
        <v>2.88</v>
      </c>
      <c r="AC62" s="48" t="n">
        <f aca="false">IF(AC38=1,$D$31*$D$7*1000/1000000,0)</f>
        <v>2.88</v>
      </c>
      <c r="AD62" s="48" t="n">
        <f aca="false">IF(AD38=1,$D$31*$D$7*1000/1000000,0)</f>
        <v>2.88</v>
      </c>
      <c r="AE62" s="48" t="n">
        <f aca="false">IF(AE38=1,$D$31*$D$7*1000/1000000,0)</f>
        <v>2.88</v>
      </c>
      <c r="AF62" s="48" t="n">
        <f aca="false">IF(AF38=1,$D$31*$D$7*1000/1000000,0)</f>
        <v>2.88</v>
      </c>
      <c r="AG62" s="48" t="n">
        <f aca="false">IF(AG38=1,$D$31*$D$7*1000/1000000,0)</f>
        <v>2.88</v>
      </c>
      <c r="AH62" s="48" t="n">
        <f aca="false">IF(AH38=1,$D$31*$D$7*1000/1000000,0)</f>
        <v>2.88</v>
      </c>
      <c r="AI62" s="48" t="n">
        <f aca="false">IF(AI38=1,$D$31*$D$7*1000/1000000,0)</f>
        <v>2.88</v>
      </c>
      <c r="AJ62" s="48" t="n">
        <f aca="false">IF(AJ38=1,$D$31*$D$7*1000/1000000,0)</f>
        <v>0</v>
      </c>
      <c r="AK62" s="48" t="n">
        <f aca="false">IF(AK38=1,$D$31*$D$7*1000/1000000,0)</f>
        <v>0</v>
      </c>
      <c r="AL62" s="48" t="n">
        <f aca="false">IF(AL38=1,$D$31*$D$7*1000/1000000,0)</f>
        <v>0</v>
      </c>
      <c r="AM62" s="48" t="n">
        <f aca="false">IF(AM38=1,$D$31*$D$7*1000/1000000,0)</f>
        <v>0</v>
      </c>
      <c r="AN62" s="48" t="n">
        <f aca="false">IF(AN38=1,$D$31*$D$7*1000/1000000,0)</f>
        <v>0</v>
      </c>
      <c r="AO62" s="48" t="n">
        <f aca="false">IF(AO38=1,$D$31*$D$7*1000/1000000,0)</f>
        <v>0</v>
      </c>
      <c r="AP62" s="48" t="n">
        <f aca="false">IF(AP38=1,$D$31*$D$7*1000/1000000,0)</f>
        <v>0</v>
      </c>
      <c r="AQ62" s="48" t="n">
        <f aca="false">IF(AQ38=1,$D$31*$D$7*1000/1000000,0)</f>
        <v>0</v>
      </c>
      <c r="AR62" s="48" t="n">
        <f aca="false">IF(AR38=1,$D$31*$D$7*1000/1000000,0)</f>
        <v>0</v>
      </c>
      <c r="AS62" s="48" t="n">
        <f aca="false">IF(AS38=1,$D$31*$D$7*1000/1000000,0)</f>
        <v>0</v>
      </c>
      <c r="AT62" s="48" t="n">
        <f aca="false">IF(AT38=1,$D$31*$D$7*1000/1000000,0)</f>
        <v>0</v>
      </c>
      <c r="AU62" s="48" t="n">
        <f aca="false">IF(AU38=1,$D$31*$D$7*1000/1000000,0)</f>
        <v>0</v>
      </c>
      <c r="AV62" s="48" t="n">
        <f aca="false">IF(AV38=1,$D$31*$D$7*1000/1000000,0)</f>
        <v>0</v>
      </c>
      <c r="AW62" s="48" t="n">
        <f aca="false">IF(AW38=1,$D$31*$D$7*1000/1000000,0)</f>
        <v>0</v>
      </c>
      <c r="AX62" s="48" t="n">
        <f aca="false">IF(AX38=1,$D$31*$D$7*1000/1000000,0)</f>
        <v>0</v>
      </c>
      <c r="AY62" s="48" t="n">
        <f aca="false">IF(AY38=1,$D$31*$D$7*1000/1000000,0)</f>
        <v>0</v>
      </c>
      <c r="AZ62" s="48" t="n">
        <f aca="false">IF(AZ38=1,$D$31*$D$7*1000/1000000,0)</f>
        <v>0</v>
      </c>
      <c r="BA62" s="48" t="n">
        <f aca="false">IF(BA38=1,$D$31*$D$7*1000/1000000,0)</f>
        <v>0</v>
      </c>
      <c r="BB62" s="48" t="n">
        <f aca="false">IF(BB38=1,$D$31*$D$7*1000/1000000,0)</f>
        <v>0</v>
      </c>
      <c r="BC62" s="48" t="n">
        <f aca="false">IF(BC38=1,$D$31*$D$7*1000/1000000,0)</f>
        <v>0</v>
      </c>
      <c r="BD62" s="48" t="n">
        <f aca="false">IF(BD38=1,$D$31*$D$7*1000/1000000,0)</f>
        <v>0</v>
      </c>
      <c r="BE62" s="48" t="n">
        <f aca="false">IF(BE38=1,$D$31*$D$7*1000/1000000,0)</f>
        <v>0</v>
      </c>
      <c r="BF62" s="48" t="n">
        <f aca="false">IF(BF38=1,$D$31*$D$7*1000/1000000,0)</f>
        <v>0</v>
      </c>
      <c r="BG62" s="48" t="n">
        <f aca="false">IF(BG38=1,$D$31*$D$7*1000/1000000,0)</f>
        <v>0</v>
      </c>
      <c r="BH62" s="48" t="n">
        <f aca="false">IF(BH38=1,$D$31*$D$7*1000/1000000,0)</f>
        <v>0</v>
      </c>
      <c r="BI62" s="48" t="n">
        <f aca="false">IF(BI38=1,$D$31*$D$7*1000/1000000,0)</f>
        <v>0</v>
      </c>
      <c r="BJ62" s="48" t="n">
        <f aca="false">IF(BJ38=1,$D$31*$D$7*1000/1000000,0)</f>
        <v>0</v>
      </c>
      <c r="BK62" s="48" t="n">
        <f aca="false">IF(BK38=1,$D$31*$D$7*1000/1000000,0)</f>
        <v>0</v>
      </c>
      <c r="BL62" s="48" t="n">
        <f aca="false">IF(BL38=1,$D$31*$D$7*1000/1000000,0)</f>
        <v>0</v>
      </c>
      <c r="BM62" s="48" t="n">
        <f aca="false">IF(BM38=1,$D$31*$D$7*1000/1000000,0)</f>
        <v>0</v>
      </c>
      <c r="BN62" s="48" t="n">
        <f aca="false">IF(BN38=1,$D$31*$D$7*1000/1000000,0)</f>
        <v>0</v>
      </c>
      <c r="BO62" s="48" t="n">
        <f aca="false">IF(BO38=1,$D$31*$D$7*1000/1000000,0)</f>
        <v>0</v>
      </c>
      <c r="BP62" s="48" t="n">
        <f aca="false">IF(BP38=1,$D$31*$D$7*1000/1000000,0)</f>
        <v>0</v>
      </c>
      <c r="BQ62" s="48" t="n">
        <f aca="false">IF(BQ38=1,$D$31*$D$7*1000/1000000,0)</f>
        <v>0</v>
      </c>
      <c r="BR62" s="48" t="n">
        <f aca="false">IF(BR38=1,$D$31*$D$7*1000/1000000,0)</f>
        <v>0</v>
      </c>
      <c r="BS62" s="48" t="n">
        <f aca="false">IF(BS38=1,$D$31*$D$7*1000/1000000,0)</f>
        <v>0</v>
      </c>
      <c r="BT62" s="48" t="n">
        <f aca="false">IF(BT38=1,$D$31*$D$7*1000/1000000,0)</f>
        <v>0</v>
      </c>
      <c r="BU62" s="48" t="n">
        <f aca="false">IF(BU38=1,$D$31*$D$7*1000/1000000,0)</f>
        <v>0</v>
      </c>
      <c r="BV62" s="48" t="n">
        <f aca="false">IF(BV38=1,$D$31*$D$7*1000/1000000,0)</f>
        <v>0</v>
      </c>
      <c r="BW62" s="48" t="n">
        <f aca="false">IF(BW38=1,$D$31*$D$7*1000/1000000,0)</f>
        <v>0</v>
      </c>
      <c r="BX62" s="48" t="n">
        <f aca="false">IF(BX38=1,$D$31*$D$7*1000/1000000,0)</f>
        <v>0</v>
      </c>
    </row>
    <row r="63" customFormat="false" ht="15" hidden="false" customHeight="false" outlineLevel="0" collapsed="false">
      <c r="A63" s="1"/>
      <c r="B63" s="4" t="s">
        <v>331</v>
      </c>
      <c r="C63" s="8" t="s">
        <v>126</v>
      </c>
      <c r="D63" s="44" t="n">
        <f aca="false">SUM(G63:BX63)</f>
        <v>1237.61393637004</v>
      </c>
      <c r="E63" s="1"/>
      <c r="F63" s="1"/>
      <c r="G63" s="44" t="n">
        <f aca="false">G59+G60+G61+G62</f>
        <v>0</v>
      </c>
      <c r="H63" s="44" t="n">
        <f aca="false">H59+H60+H61+H62</f>
        <v>0</v>
      </c>
      <c r="I63" s="44" t="n">
        <f aca="false">I59+I60+I61+I62</f>
        <v>0</v>
      </c>
      <c r="J63" s="44" t="n">
        <f aca="false">J59+J60+J61+J62</f>
        <v>0</v>
      </c>
      <c r="K63" s="44" t="n">
        <f aca="false">K59+K60+K61+K62</f>
        <v>77.431897638571</v>
      </c>
      <c r="L63" s="44" t="n">
        <f aca="false">L59+L60+L61+L62</f>
        <v>71.9600821484112</v>
      </c>
      <c r="M63" s="44" t="n">
        <f aca="false">M59+M60+M61+M62</f>
        <v>65.4811165352492</v>
      </c>
      <c r="N63" s="44" t="n">
        <f aca="false">N59+N60+N61+N62</f>
        <v>60.5847691731249</v>
      </c>
      <c r="O63" s="44" t="n">
        <f aca="false">O59+O60+O61+O62</f>
        <v>56.5399457015195</v>
      </c>
      <c r="P63" s="44" t="n">
        <f aca="false">P59+P60+P61+P62</f>
        <v>53.7628412855742</v>
      </c>
      <c r="Q63" s="44" t="n">
        <f aca="false">Q59+Q60+Q61+Q62</f>
        <v>51.8029399476864</v>
      </c>
      <c r="R63" s="44" t="n">
        <f aca="false">R59+R60+R61+R62</f>
        <v>50.1935621910025</v>
      </c>
      <c r="S63" s="44" t="n">
        <f aca="false">S59+S60+S61+S62</f>
        <v>48.1558737384287</v>
      </c>
      <c r="T63" s="44" t="n">
        <f aca="false">T59+T60+T61+T62</f>
        <v>46.0026824865933</v>
      </c>
      <c r="U63" s="44" t="n">
        <f aca="false">U59+U60+U61+U62</f>
        <v>45.6591725912101</v>
      </c>
      <c r="V63" s="44" t="n">
        <f aca="false">V59+V60+V61+V62</f>
        <v>45.26850152271</v>
      </c>
      <c r="W63" s="44" t="n">
        <f aca="false">W59+W60+W61+W62</f>
        <v>45.0421185560347</v>
      </c>
      <c r="X63" s="44" t="n">
        <f aca="false">X59+X60+X61+X62</f>
        <v>44.6914289337998</v>
      </c>
      <c r="Y63" s="44" t="n">
        <f aca="false">Y59+Y60+Y61+Y62</f>
        <v>44.4681383687552</v>
      </c>
      <c r="Z63" s="44" t="n">
        <f aca="false">Z59+Z60+Z61+Z62</f>
        <v>44.038076314631</v>
      </c>
      <c r="AA63" s="44" t="n">
        <f aca="false">AA59+AA60+AA61+AA62</f>
        <v>43.5679945036514</v>
      </c>
      <c r="AB63" s="44" t="n">
        <f aca="false">AB59+AB60+AB61+AB62</f>
        <v>43.3881530128095</v>
      </c>
      <c r="AC63" s="44" t="n">
        <f aca="false">AC59+AC60+AC61+AC62</f>
        <v>42.7957592944775</v>
      </c>
      <c r="AD63" s="44" t="n">
        <f aca="false">AD59+AD60+AD61+AD62</f>
        <v>42.6138987173665</v>
      </c>
      <c r="AE63" s="44" t="n">
        <f aca="false">AE59+AE60+AE61+AE62</f>
        <v>42.6211768148863</v>
      </c>
      <c r="AF63" s="44" t="n">
        <f aca="false">AF59+AF60+AF61+AF62</f>
        <v>42.6690156413267</v>
      </c>
      <c r="AG63" s="44" t="n">
        <f aca="false">AG59+AG60+AG61+AG62</f>
        <v>42.8022437550473</v>
      </c>
      <c r="AH63" s="44" t="n">
        <f aca="false">AH59+AH60+AH61+AH62</f>
        <v>43.0129433633061</v>
      </c>
      <c r="AI63" s="44" t="n">
        <f aca="false">AI59+AI60+AI61+AI62</f>
        <v>43.0596041338695</v>
      </c>
      <c r="AJ63" s="44" t="n">
        <f aca="false">AJ59+AJ60+AJ61+AJ62</f>
        <v>0</v>
      </c>
      <c r="AK63" s="44" t="n">
        <f aca="false">AK59+AK60+AK61+AK62</f>
        <v>0</v>
      </c>
      <c r="AL63" s="44" t="n">
        <f aca="false">AL59+AL60+AL61+AL62</f>
        <v>0</v>
      </c>
      <c r="AM63" s="44" t="n">
        <f aca="false">AM59+AM60+AM61+AM62</f>
        <v>0</v>
      </c>
      <c r="AN63" s="44" t="n">
        <f aca="false">AN59+AN60+AN61+AN62</f>
        <v>0</v>
      </c>
      <c r="AO63" s="44" t="n">
        <f aca="false">AO59+AO60+AO61+AO62</f>
        <v>0</v>
      </c>
      <c r="AP63" s="44" t="n">
        <f aca="false">AP59+AP60+AP61+AP62</f>
        <v>0</v>
      </c>
      <c r="AQ63" s="44" t="n">
        <f aca="false">AQ59+AQ60+AQ61+AQ62</f>
        <v>0</v>
      </c>
      <c r="AR63" s="44" t="n">
        <f aca="false">AR59+AR60+AR61+AR62</f>
        <v>0</v>
      </c>
      <c r="AS63" s="44" t="n">
        <f aca="false">AS59+AS60+AS61+AS62</f>
        <v>0</v>
      </c>
      <c r="AT63" s="44" t="n">
        <f aca="false">AT59+AT60+AT61+AT62</f>
        <v>0</v>
      </c>
      <c r="AU63" s="44" t="n">
        <f aca="false">AU59+AU60+AU61+AU62</f>
        <v>0</v>
      </c>
      <c r="AV63" s="44" t="n">
        <f aca="false">AV59+AV60+AV61+AV62</f>
        <v>0</v>
      </c>
      <c r="AW63" s="44" t="n">
        <f aca="false">AW59+AW60+AW61+AW62</f>
        <v>0</v>
      </c>
      <c r="AX63" s="44" t="n">
        <f aca="false">AX59+AX60+AX61+AX62</f>
        <v>0</v>
      </c>
      <c r="AY63" s="44" t="n">
        <f aca="false">AY59+AY60+AY61+AY62</f>
        <v>0</v>
      </c>
      <c r="AZ63" s="44" t="n">
        <f aca="false">AZ59+AZ60+AZ61+AZ62</f>
        <v>0</v>
      </c>
      <c r="BA63" s="44" t="n">
        <f aca="false">BA59+BA60+BA61+BA62</f>
        <v>0</v>
      </c>
      <c r="BB63" s="44" t="n">
        <f aca="false">BB59+BB60+BB61+BB62</f>
        <v>0</v>
      </c>
      <c r="BC63" s="44" t="n">
        <f aca="false">BC59+BC60+BC61+BC62</f>
        <v>0</v>
      </c>
      <c r="BD63" s="44" t="n">
        <f aca="false">BD59+BD60+BD61+BD62</f>
        <v>0</v>
      </c>
      <c r="BE63" s="44" t="n">
        <f aca="false">BE59+BE60+BE61+BE62</f>
        <v>0</v>
      </c>
      <c r="BF63" s="44" t="n">
        <f aca="false">BF59+BF60+BF61+BF62</f>
        <v>0</v>
      </c>
      <c r="BG63" s="44" t="n">
        <f aca="false">BG59+BG60+BG61+BG62</f>
        <v>0</v>
      </c>
      <c r="BH63" s="44" t="n">
        <f aca="false">BH59+BH60+BH61+BH62</f>
        <v>0</v>
      </c>
      <c r="BI63" s="44" t="n">
        <f aca="false">BI59+BI60+BI61+BI62</f>
        <v>0</v>
      </c>
      <c r="BJ63" s="44" t="n">
        <f aca="false">BJ59+BJ60+BJ61+BJ62</f>
        <v>0</v>
      </c>
      <c r="BK63" s="44" t="n">
        <f aca="false">BK59+BK60+BK61+BK62</f>
        <v>0</v>
      </c>
      <c r="BL63" s="44" t="n">
        <f aca="false">BL59+BL60+BL61+BL62</f>
        <v>0</v>
      </c>
      <c r="BM63" s="44" t="n">
        <f aca="false">BM59+BM60+BM61+BM62</f>
        <v>0</v>
      </c>
      <c r="BN63" s="44" t="n">
        <f aca="false">BN59+BN60+BN61+BN62</f>
        <v>0</v>
      </c>
      <c r="BO63" s="44" t="n">
        <f aca="false">BO59+BO60+BO61+BO62</f>
        <v>0</v>
      </c>
      <c r="BP63" s="44" t="n">
        <f aca="false">BP59+BP60+BP61+BP62</f>
        <v>0</v>
      </c>
      <c r="BQ63" s="44" t="n">
        <f aca="false">BQ59+BQ60+BQ61+BQ62</f>
        <v>0</v>
      </c>
      <c r="BR63" s="44" t="n">
        <f aca="false">BR59+BR60+BR61+BR62</f>
        <v>0</v>
      </c>
      <c r="BS63" s="44" t="n">
        <f aca="false">BS59+BS60+BS61+BS62</f>
        <v>0</v>
      </c>
      <c r="BT63" s="44" t="n">
        <f aca="false">BT59+BT60+BT61+BT62</f>
        <v>0</v>
      </c>
      <c r="BU63" s="44" t="n">
        <f aca="false">BU59+BU60+BU61+BU62</f>
        <v>0</v>
      </c>
      <c r="BV63" s="44" t="n">
        <f aca="false">BV59+BV60+BV61+BV62</f>
        <v>0</v>
      </c>
      <c r="BW63" s="44" t="n">
        <f aca="false">BW59+BW60+BW61+BW62</f>
        <v>0</v>
      </c>
      <c r="BX63" s="44" t="n">
        <f aca="false">BX59+BX60+BX61+BX62</f>
        <v>0</v>
      </c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</row>
    <row r="65" customFormat="false" ht="15" hidden="false" customHeight="false" outlineLevel="0" collapsed="false">
      <c r="A65" s="1"/>
      <c r="B65" s="13" t="s">
        <v>332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</row>
    <row r="66" customFormat="false" ht="15" hidden="false" customHeight="false" outlineLevel="0" collapsed="false">
      <c r="A66" s="1"/>
      <c r="B66" s="8" t="s">
        <v>420</v>
      </c>
      <c r="C66" s="8" t="s">
        <v>421</v>
      </c>
      <c r="D66" s="44" t="n">
        <f aca="false">SUM(G66:BX66)</f>
        <v>3166275.48647951</v>
      </c>
      <c r="E66" s="1"/>
      <c r="F66" s="1"/>
      <c r="G66" s="48" t="n">
        <f aca="false">IF(G38=1,G57*IFERROR(INDEX(Twin!$G$95:$BN$95,1,G39),0),0)</f>
        <v>0</v>
      </c>
      <c r="H66" s="48" t="n">
        <f aca="false">IF(H38=1,H57*IFERROR(INDEX(Twin!$G$95:$BN$95,1,H39),0),0)</f>
        <v>0</v>
      </c>
      <c r="I66" s="48" t="n">
        <f aca="false">IF(I38=1,I57*IFERROR(INDEX(Twin!$G$95:$BN$95,1,I39),0),0)</f>
        <v>0</v>
      </c>
      <c r="J66" s="48" t="n">
        <f aca="false">IF(J38=1,J57*IFERROR(INDEX(Twin!$G$95:$BN$95,1,J39),0),0)</f>
        <v>0</v>
      </c>
      <c r="K66" s="48" t="n">
        <f aca="false">IF(K38=1,K57*IFERROR(INDEX(Twin!$G$95:$BN$95,1,K39),0),0)</f>
        <v>221658.60672621</v>
      </c>
      <c r="L66" s="48" t="n">
        <f aca="false">IF(L38=1,L57*IFERROR(INDEX(Twin!$G$95:$BN$95,1,L39),0),0)</f>
        <v>201843.425690108</v>
      </c>
      <c r="M66" s="48" t="n">
        <f aca="false">IF(M38=1,M57*IFERROR(INDEX(Twin!$G$95:$BN$95,1,M39),0),0)</f>
        <v>178470.072971926</v>
      </c>
      <c r="N66" s="48" t="n">
        <f aca="false">IF(N38=1,N57*IFERROR(INDEX(Twin!$G$95:$BN$95,1,N39),0),0)</f>
        <v>161213.925167833</v>
      </c>
      <c r="O66" s="48" t="n">
        <f aca="false">IF(O38=1,O57*IFERROR(INDEX(Twin!$G$95:$BN$95,1,O39),0),0)</f>
        <v>147417.789217642</v>
      </c>
      <c r="P66" s="48" t="n">
        <f aca="false">IF(P38=1,P57*IFERROR(INDEX(Twin!$G$95:$BN$95,1,P39),0),0)</f>
        <v>138232.764101451</v>
      </c>
      <c r="Q66" s="48" t="n">
        <f aca="false">IF(Q38=1,Q57*IFERROR(INDEX(Twin!$G$95:$BN$95,1,Q39),0),0)</f>
        <v>132064.444450965</v>
      </c>
      <c r="R66" s="48" t="n">
        <f aca="false">IF(R38=1,R57*IFERROR(INDEX(Twin!$G$95:$BN$95,1,R39),0),0)</f>
        <v>127124.628421201</v>
      </c>
      <c r="S66" s="48" t="n">
        <f aca="false">IF(S38=1,S57*IFERROR(INDEX(Twin!$G$95:$BN$95,1,S39),0),0)</f>
        <v>120711.071986057</v>
      </c>
      <c r="T66" s="48" t="n">
        <f aca="false">IF(T38=1,T57*IFERROR(INDEX(Twin!$G$95:$BN$95,1,T39),0),0)</f>
        <v>113919.242083705</v>
      </c>
      <c r="U66" s="48" t="n">
        <f aca="false">IF(U38=1,U57*IFERROR(INDEX(Twin!$G$95:$BN$95,1,U39),0),0)</f>
        <v>113077.43609455</v>
      </c>
      <c r="V66" s="48" t="n">
        <f aca="false">IF(V38=1,V57*IFERROR(INDEX(Twin!$G$95:$BN$95,1,V39),0),0)</f>
        <v>112052.903062063</v>
      </c>
      <c r="W66" s="48" t="n">
        <f aca="false">IF(W38=1,W57*IFERROR(INDEX(Twin!$G$95:$BN$95,1,W39),0),0)</f>
        <v>111605.649118586</v>
      </c>
      <c r="X66" s="48" t="n">
        <f aca="false">IF(X38=1,X57*IFERROR(INDEX(Twin!$G$95:$BN$95,1,X39),0),0)</f>
        <v>110699.746226703</v>
      </c>
      <c r="Y66" s="48" t="n">
        <f aca="false">IF(Y38=1,Y57*IFERROR(INDEX(Twin!$G$95:$BN$95,1,Y39),0),0)</f>
        <v>110253.916658842</v>
      </c>
      <c r="Z66" s="48" t="n">
        <f aca="false">IF(Z38=1,Z57*IFERROR(INDEX(Twin!$G$95:$BN$95,1,Z39),0),0)</f>
        <v>109061.714268109</v>
      </c>
      <c r="AA66" s="48" t="n">
        <f aca="false">IF(AA38=1,AA57*IFERROR(INDEX(Twin!$G$95:$BN$95,1,AA39),0),0)</f>
        <v>107737.044945073</v>
      </c>
      <c r="AB66" s="48" t="n">
        <f aca="false">IF(AB38=1,AB57*IFERROR(INDEX(Twin!$G$95:$BN$95,1,AB39),0),0)</f>
        <v>107445.047943759</v>
      </c>
      <c r="AC66" s="48" t="n">
        <f aca="false">IF(AC38=1,AC57*IFERROR(INDEX(Twin!$G$95:$BN$95,1,AC39),0),0)</f>
        <v>105713.007194498</v>
      </c>
      <c r="AD66" s="48" t="n">
        <f aca="false">IF(AD38=1,AD57*IFERROR(INDEX(Twin!$G$95:$BN$95,1,AD39),0),0)</f>
        <v>105411.03956387</v>
      </c>
      <c r="AE66" s="48" t="n">
        <f aca="false">IF(AE38=1,AE57*IFERROR(INDEX(Twin!$G$95:$BN$95,1,AE39),0),0)</f>
        <v>105411.03956387</v>
      </c>
      <c r="AF66" s="48" t="n">
        <f aca="false">IF(AF38=1,AF57*IFERROR(INDEX(Twin!$G$95:$BN$95,1,AF39),0),0)</f>
        <v>105556.325876719</v>
      </c>
      <c r="AG66" s="48" t="n">
        <f aca="false">IF(AG38=1,AG57*IFERROR(INDEX(Twin!$G$95:$BN$95,1,AG39),0),0)</f>
        <v>106009.277322661</v>
      </c>
      <c r="AH66" s="48" t="n">
        <f aca="false">IF(AH38=1,AH57*IFERROR(INDEX(Twin!$G$95:$BN$95,1,AH39),0),0)</f>
        <v>106725.738257594</v>
      </c>
      <c r="AI66" s="48" t="n">
        <f aca="false">IF(AI38=1,AI57*IFERROR(INDEX(Twin!$G$95:$BN$95,1,AI39),0),0)</f>
        <v>106859.629565513</v>
      </c>
      <c r="AJ66" s="48" t="n">
        <f aca="false">IF(AJ38=1,AJ57*IFERROR(INDEX(Twin!$G$95:$BN$95,1,AJ39),0),0)</f>
        <v>0</v>
      </c>
      <c r="AK66" s="48" t="n">
        <f aca="false">IF(AK38=1,AK57*IFERROR(INDEX(Twin!$G$95:$BN$95,1,AK39),0),0)</f>
        <v>0</v>
      </c>
      <c r="AL66" s="48" t="n">
        <f aca="false">IF(AL38=1,AL57*IFERROR(INDEX(Twin!$G$95:$BN$95,1,AL39),0),0)</f>
        <v>0</v>
      </c>
      <c r="AM66" s="48" t="n">
        <f aca="false">IF(AM38=1,AM57*IFERROR(INDEX(Twin!$G$95:$BN$95,1,AM39),0),0)</f>
        <v>0</v>
      </c>
      <c r="AN66" s="48" t="n">
        <f aca="false">IF(AN38=1,AN57*IFERROR(INDEX(Twin!$G$95:$BN$95,1,AN39),0),0)</f>
        <v>0</v>
      </c>
      <c r="AO66" s="48" t="n">
        <f aca="false">IF(AO38=1,AO57*IFERROR(INDEX(Twin!$G$95:$BN$95,1,AO39),0),0)</f>
        <v>0</v>
      </c>
      <c r="AP66" s="48" t="n">
        <f aca="false">IF(AP38=1,AP57*IFERROR(INDEX(Twin!$G$95:$BN$95,1,AP39),0),0)</f>
        <v>0</v>
      </c>
      <c r="AQ66" s="48" t="n">
        <f aca="false">IF(AQ38=1,AQ57*IFERROR(INDEX(Twin!$G$95:$BN$95,1,AQ39),0),0)</f>
        <v>0</v>
      </c>
      <c r="AR66" s="48" t="n">
        <f aca="false">IF(AR38=1,AR57*IFERROR(INDEX(Twin!$G$95:$BN$95,1,AR39),0),0)</f>
        <v>0</v>
      </c>
      <c r="AS66" s="48" t="n">
        <f aca="false">IF(AS38=1,AS57*IFERROR(INDEX(Twin!$G$95:$BN$95,1,AS39),0),0)</f>
        <v>0</v>
      </c>
      <c r="AT66" s="48" t="n">
        <f aca="false">IF(AT38=1,AT57*IFERROR(INDEX(Twin!$G$95:$BN$95,1,AT39),0),0)</f>
        <v>0</v>
      </c>
      <c r="AU66" s="48" t="n">
        <f aca="false">IF(AU38=1,AU57*IFERROR(INDEX(Twin!$G$95:$BN$95,1,AU39),0),0)</f>
        <v>0</v>
      </c>
      <c r="AV66" s="48" t="n">
        <f aca="false">IF(AV38=1,AV57*IFERROR(INDEX(Twin!$G$95:$BN$95,1,AV39),0),0)</f>
        <v>0</v>
      </c>
      <c r="AW66" s="48" t="n">
        <f aca="false">IF(AW38=1,AW57*IFERROR(INDEX(Twin!$G$95:$BN$95,1,AW39),0),0)</f>
        <v>0</v>
      </c>
      <c r="AX66" s="48" t="n">
        <f aca="false">IF(AX38=1,AX57*IFERROR(INDEX(Twin!$G$95:$BN$95,1,AX39),0),0)</f>
        <v>0</v>
      </c>
      <c r="AY66" s="48" t="n">
        <f aca="false">IF(AY38=1,AY57*IFERROR(INDEX(Twin!$G$95:$BN$95,1,AY39),0),0)</f>
        <v>0</v>
      </c>
      <c r="AZ66" s="48" t="n">
        <f aca="false">IF(AZ38=1,AZ57*IFERROR(INDEX(Twin!$G$95:$BN$95,1,AZ39),0),0)</f>
        <v>0</v>
      </c>
      <c r="BA66" s="48" t="n">
        <f aca="false">IF(BA38=1,BA57*IFERROR(INDEX(Twin!$G$95:$BN$95,1,BA39),0),0)</f>
        <v>0</v>
      </c>
      <c r="BB66" s="48" t="n">
        <f aca="false">IF(BB38=1,BB57*IFERROR(INDEX(Twin!$G$95:$BN$95,1,BB39),0),0)</f>
        <v>0</v>
      </c>
      <c r="BC66" s="48" t="n">
        <f aca="false">IF(BC38=1,BC57*IFERROR(INDEX(Twin!$G$95:$BN$95,1,BC39),0),0)</f>
        <v>0</v>
      </c>
      <c r="BD66" s="48" t="n">
        <f aca="false">IF(BD38=1,BD57*IFERROR(INDEX(Twin!$G$95:$BN$95,1,BD39),0),0)</f>
        <v>0</v>
      </c>
      <c r="BE66" s="48" t="n">
        <f aca="false">IF(BE38=1,BE57*IFERROR(INDEX(Twin!$G$95:$BN$95,1,BE39),0),0)</f>
        <v>0</v>
      </c>
      <c r="BF66" s="48" t="n">
        <f aca="false">IF(BF38=1,BF57*IFERROR(INDEX(Twin!$G$95:$BN$95,1,BF39),0),0)</f>
        <v>0</v>
      </c>
      <c r="BG66" s="48" t="n">
        <f aca="false">IF(BG38=1,BG57*IFERROR(INDEX(Twin!$G$95:$BN$95,1,BG39),0),0)</f>
        <v>0</v>
      </c>
      <c r="BH66" s="48" t="n">
        <f aca="false">IF(BH38=1,BH57*IFERROR(INDEX(Twin!$G$95:$BN$95,1,BH39),0),0)</f>
        <v>0</v>
      </c>
      <c r="BI66" s="48" t="n">
        <f aca="false">IF(BI38=1,BI57*IFERROR(INDEX(Twin!$G$95:$BN$95,1,BI39),0),0)</f>
        <v>0</v>
      </c>
      <c r="BJ66" s="48" t="n">
        <f aca="false">IF(BJ38=1,BJ57*IFERROR(INDEX(Twin!$G$95:$BN$95,1,BJ39),0),0)</f>
        <v>0</v>
      </c>
      <c r="BK66" s="48" t="n">
        <f aca="false">IF(BK38=1,BK57*IFERROR(INDEX(Twin!$G$95:$BN$95,1,BK39),0),0)</f>
        <v>0</v>
      </c>
      <c r="BL66" s="48" t="n">
        <f aca="false">IF(BL38=1,BL57*IFERROR(INDEX(Twin!$G$95:$BN$95,1,BL39),0),0)</f>
        <v>0</v>
      </c>
      <c r="BM66" s="48" t="n">
        <f aca="false">IF(BM38=1,BM57*IFERROR(INDEX(Twin!$G$95:$BN$95,1,BM39),0),0)</f>
        <v>0</v>
      </c>
      <c r="BN66" s="48" t="n">
        <f aca="false">IF(BN38=1,BN57*IFERROR(INDEX(Twin!$G$95:$BN$95,1,BN39),0),0)</f>
        <v>0</v>
      </c>
      <c r="BO66" s="48" t="n">
        <f aca="false">IF(BO38=1,BO57*IFERROR(INDEX(Twin!$G$95:$BN$95,1,BO39),0),0)</f>
        <v>0</v>
      </c>
      <c r="BP66" s="48" t="n">
        <f aca="false">IF(BP38=1,BP57*IFERROR(INDEX(Twin!$G$95:$BN$95,1,BP39),0),0)</f>
        <v>0</v>
      </c>
      <c r="BQ66" s="48" t="n">
        <f aca="false">IF(BQ38=1,BQ57*IFERROR(INDEX(Twin!$G$95:$BN$95,1,BQ39),0),0)</f>
        <v>0</v>
      </c>
      <c r="BR66" s="48" t="n">
        <f aca="false">IF(BR38=1,BR57*IFERROR(INDEX(Twin!$G$95:$BN$95,1,BR39),0),0)</f>
        <v>0</v>
      </c>
      <c r="BS66" s="48" t="n">
        <f aca="false">IF(BS38=1,BS57*IFERROR(INDEX(Twin!$G$95:$BN$95,1,BS39),0),0)</f>
        <v>0</v>
      </c>
      <c r="BT66" s="48" t="n">
        <f aca="false">IF(BT38=1,BT57*IFERROR(INDEX(Twin!$G$95:$BN$95,1,BT39),0),0)</f>
        <v>0</v>
      </c>
      <c r="BU66" s="48" t="n">
        <f aca="false">IF(BU38=1,BU57*IFERROR(INDEX(Twin!$G$95:$BN$95,1,BU39),0),0)</f>
        <v>0</v>
      </c>
      <c r="BV66" s="48" t="n">
        <f aca="false">IF(BV38=1,BV57*IFERROR(INDEX(Twin!$G$95:$BN$95,1,BV39),0),0)</f>
        <v>0</v>
      </c>
      <c r="BW66" s="48" t="n">
        <f aca="false">IF(BW38=1,BW57*IFERROR(INDEX(Twin!$G$95:$BN$95,1,BW39),0),0)</f>
        <v>0</v>
      </c>
      <c r="BX66" s="48" t="n">
        <f aca="false">IF(BX38=1,BX57*IFERROR(INDEX(Twin!$G$95:$BN$95,1,BX39),0),0)</f>
        <v>0</v>
      </c>
    </row>
    <row r="67" customFormat="false" ht="15" hidden="false" customHeight="false" outlineLevel="0" collapsed="false">
      <c r="A67" s="1"/>
      <c r="B67" s="8" t="s">
        <v>422</v>
      </c>
      <c r="C67" s="8" t="s">
        <v>126</v>
      </c>
      <c r="D67" s="44" t="n">
        <f aca="false">SUM(G67:BX67)</f>
        <v>427.447190674734</v>
      </c>
      <c r="E67" s="1"/>
      <c r="F67" s="1"/>
      <c r="G67" s="48" t="n">
        <f aca="false">G66*G52/1000000</f>
        <v>0</v>
      </c>
      <c r="H67" s="48" t="n">
        <f aca="false">H66*H52/1000000</f>
        <v>0</v>
      </c>
      <c r="I67" s="48" t="n">
        <f aca="false">I66*I52/1000000</f>
        <v>0</v>
      </c>
      <c r="J67" s="48" t="n">
        <f aca="false">J66*J52/1000000</f>
        <v>0</v>
      </c>
      <c r="K67" s="48" t="n">
        <f aca="false">K66*K52/1000000</f>
        <v>29.9239119080384</v>
      </c>
      <c r="L67" s="48" t="n">
        <f aca="false">L66*L52/1000000</f>
        <v>27.2488624681646</v>
      </c>
      <c r="M67" s="48" t="n">
        <f aca="false">M66*M52/1000000</f>
        <v>24.09345985121</v>
      </c>
      <c r="N67" s="48" t="n">
        <f aca="false">N66*N52/1000000</f>
        <v>21.7638798976574</v>
      </c>
      <c r="O67" s="48" t="n">
        <f aca="false">O66*O52/1000000</f>
        <v>19.9014015443817</v>
      </c>
      <c r="P67" s="48" t="n">
        <f aca="false">P66*P52/1000000</f>
        <v>18.6614231536958</v>
      </c>
      <c r="Q67" s="48" t="n">
        <f aca="false">Q66*Q52/1000000</f>
        <v>17.8287000008802</v>
      </c>
      <c r="R67" s="48" t="n">
        <f aca="false">R66*R52/1000000</f>
        <v>17.1618248368621</v>
      </c>
      <c r="S67" s="48" t="n">
        <f aca="false">S66*S52/1000000</f>
        <v>16.2959947181177</v>
      </c>
      <c r="T67" s="48" t="n">
        <f aca="false">T66*T52/1000000</f>
        <v>15.3790976813002</v>
      </c>
      <c r="U67" s="48" t="n">
        <f aca="false">U66*U52/1000000</f>
        <v>15.2654538727642</v>
      </c>
      <c r="V67" s="48" t="n">
        <f aca="false">V66*V52/1000000</f>
        <v>15.1271419133785</v>
      </c>
      <c r="W67" s="48" t="n">
        <f aca="false">W66*W52/1000000</f>
        <v>15.0667626310091</v>
      </c>
      <c r="X67" s="48" t="n">
        <f aca="false">X66*X52/1000000</f>
        <v>14.9444657406049</v>
      </c>
      <c r="Y67" s="48" t="n">
        <f aca="false">Y66*Y52/1000000</f>
        <v>14.8842787489437</v>
      </c>
      <c r="Z67" s="48" t="n">
        <f aca="false">Z66*Z52/1000000</f>
        <v>14.7233314261948</v>
      </c>
      <c r="AA67" s="48" t="n">
        <f aca="false">AA66*AA52/1000000</f>
        <v>14.5445010675849</v>
      </c>
      <c r="AB67" s="48" t="n">
        <f aca="false">AB66*AB52/1000000</f>
        <v>14.5050814724074</v>
      </c>
      <c r="AC67" s="48" t="n">
        <f aca="false">AC66*AC52/1000000</f>
        <v>14.2712559712572</v>
      </c>
      <c r="AD67" s="48" t="n">
        <f aca="false">AD66*AD52/1000000</f>
        <v>14.2304903411225</v>
      </c>
      <c r="AE67" s="48" t="n">
        <f aca="false">AE66*AE52/1000000</f>
        <v>14.2304903411225</v>
      </c>
      <c r="AF67" s="48" t="n">
        <f aca="false">AF66*AF52/1000000</f>
        <v>14.2501039933571</v>
      </c>
      <c r="AG67" s="48" t="n">
        <f aca="false">AG66*AG52/1000000</f>
        <v>14.3112524385592</v>
      </c>
      <c r="AH67" s="48" t="n">
        <f aca="false">AH66*AH52/1000000</f>
        <v>14.4079746647751</v>
      </c>
      <c r="AI67" s="48" t="n">
        <f aca="false">AI66*AI52/1000000</f>
        <v>14.4260499913443</v>
      </c>
      <c r="AJ67" s="48" t="n">
        <f aca="false">AJ66*AJ52/1000000</f>
        <v>0</v>
      </c>
      <c r="AK67" s="48" t="n">
        <f aca="false">AK66*AK52/1000000</f>
        <v>0</v>
      </c>
      <c r="AL67" s="48" t="n">
        <f aca="false">AL66*AL52/1000000</f>
        <v>0</v>
      </c>
      <c r="AM67" s="48" t="n">
        <f aca="false">AM66*AM52/1000000</f>
        <v>0</v>
      </c>
      <c r="AN67" s="48" t="n">
        <f aca="false">AN66*AN52/1000000</f>
        <v>0</v>
      </c>
      <c r="AO67" s="48" t="n">
        <f aca="false">AO66*AO52/1000000</f>
        <v>0</v>
      </c>
      <c r="AP67" s="48" t="n">
        <f aca="false">AP66*AP52/1000000</f>
        <v>0</v>
      </c>
      <c r="AQ67" s="48" t="n">
        <f aca="false">AQ66*AQ52/1000000</f>
        <v>0</v>
      </c>
      <c r="AR67" s="48" t="n">
        <f aca="false">AR66*AR52/1000000</f>
        <v>0</v>
      </c>
      <c r="AS67" s="48" t="n">
        <f aca="false">AS66*AS52/1000000</f>
        <v>0</v>
      </c>
      <c r="AT67" s="48" t="n">
        <f aca="false">AT66*AT52/1000000</f>
        <v>0</v>
      </c>
      <c r="AU67" s="48" t="n">
        <f aca="false">AU66*AU52/1000000</f>
        <v>0</v>
      </c>
      <c r="AV67" s="48" t="n">
        <f aca="false">AV66*AV52/1000000</f>
        <v>0</v>
      </c>
      <c r="AW67" s="48" t="n">
        <f aca="false">AW66*AW52/1000000</f>
        <v>0</v>
      </c>
      <c r="AX67" s="48" t="n">
        <f aca="false">AX66*AX52/1000000</f>
        <v>0</v>
      </c>
      <c r="AY67" s="48" t="n">
        <f aca="false">AY66*AY52/1000000</f>
        <v>0</v>
      </c>
      <c r="AZ67" s="48" t="n">
        <f aca="false">AZ66*AZ52/1000000</f>
        <v>0</v>
      </c>
      <c r="BA67" s="48" t="n">
        <f aca="false">BA66*BA52/1000000</f>
        <v>0</v>
      </c>
      <c r="BB67" s="48" t="n">
        <f aca="false">BB66*BB52/1000000</f>
        <v>0</v>
      </c>
      <c r="BC67" s="48" t="n">
        <f aca="false">BC66*BC52/1000000</f>
        <v>0</v>
      </c>
      <c r="BD67" s="48" t="n">
        <f aca="false">BD66*BD52/1000000</f>
        <v>0</v>
      </c>
      <c r="BE67" s="48" t="n">
        <f aca="false">BE66*BE52/1000000</f>
        <v>0</v>
      </c>
      <c r="BF67" s="48" t="n">
        <f aca="false">BF66*BF52/1000000</f>
        <v>0</v>
      </c>
      <c r="BG67" s="48" t="n">
        <f aca="false">BG66*BG52/1000000</f>
        <v>0</v>
      </c>
      <c r="BH67" s="48" t="n">
        <f aca="false">BH66*BH52/1000000</f>
        <v>0</v>
      </c>
      <c r="BI67" s="48" t="n">
        <f aca="false">BI66*BI52/1000000</f>
        <v>0</v>
      </c>
      <c r="BJ67" s="48" t="n">
        <f aca="false">BJ66*BJ52/1000000</f>
        <v>0</v>
      </c>
      <c r="BK67" s="48" t="n">
        <f aca="false">BK66*BK52/1000000</f>
        <v>0</v>
      </c>
      <c r="BL67" s="48" t="n">
        <f aca="false">BL66*BL52/1000000</f>
        <v>0</v>
      </c>
      <c r="BM67" s="48" t="n">
        <f aca="false">BM66*BM52/1000000</f>
        <v>0</v>
      </c>
      <c r="BN67" s="48" t="n">
        <f aca="false">BN66*BN52/1000000</f>
        <v>0</v>
      </c>
      <c r="BO67" s="48" t="n">
        <f aca="false">BO66*BO52/1000000</f>
        <v>0</v>
      </c>
      <c r="BP67" s="48" t="n">
        <f aca="false">BP66*BP52/1000000</f>
        <v>0</v>
      </c>
      <c r="BQ67" s="48" t="n">
        <f aca="false">BQ66*BQ52/1000000</f>
        <v>0</v>
      </c>
      <c r="BR67" s="48" t="n">
        <f aca="false">BR66*BR52/1000000</f>
        <v>0</v>
      </c>
      <c r="BS67" s="48" t="n">
        <f aca="false">BS66*BS52/1000000</f>
        <v>0</v>
      </c>
      <c r="BT67" s="48" t="n">
        <f aca="false">BT66*BT52/1000000</f>
        <v>0</v>
      </c>
      <c r="BU67" s="48" t="n">
        <f aca="false">BU66*BU52/1000000</f>
        <v>0</v>
      </c>
      <c r="BV67" s="48" t="n">
        <f aca="false">BV66*BV52/1000000</f>
        <v>0</v>
      </c>
      <c r="BW67" s="48" t="n">
        <f aca="false">BW66*BW52/1000000</f>
        <v>0</v>
      </c>
      <c r="BX67" s="48" t="n">
        <f aca="false">BX66*BX52/1000000</f>
        <v>0</v>
      </c>
    </row>
    <row r="68" customFormat="false" ht="15" hidden="false" customHeight="false" outlineLevel="0" collapsed="false">
      <c r="A68" s="1"/>
      <c r="B68" s="8" t="s">
        <v>423</v>
      </c>
      <c r="C68" s="8" t="s">
        <v>424</v>
      </c>
      <c r="D68" s="44" t="n">
        <f aca="false">SUM(G68:BX68)</f>
        <v>635154.862587789</v>
      </c>
      <c r="E68" s="1"/>
      <c r="F68" s="1"/>
      <c r="G68" s="48" t="n">
        <f aca="false">G66*$D$26</f>
        <v>0</v>
      </c>
      <c r="H68" s="48" t="n">
        <f aca="false">H66*$D$26</f>
        <v>0</v>
      </c>
      <c r="I68" s="48" t="n">
        <f aca="false">I66*$D$26</f>
        <v>0</v>
      </c>
      <c r="J68" s="48" t="n">
        <f aca="false">J66*$D$26</f>
        <v>0</v>
      </c>
      <c r="K68" s="48" t="n">
        <f aca="false">K66*$D$26</f>
        <v>44464.7165092777</v>
      </c>
      <c r="L68" s="48" t="n">
        <f aca="false">L66*$D$26</f>
        <v>40489.7911934358</v>
      </c>
      <c r="M68" s="48" t="n">
        <f aca="false">M66*$D$26</f>
        <v>35801.0966381684</v>
      </c>
      <c r="N68" s="48" t="n">
        <f aca="false">N66*$D$26</f>
        <v>32339.5133886672</v>
      </c>
      <c r="O68" s="48" t="n">
        <f aca="false">O66*$D$26</f>
        <v>29572.0085170591</v>
      </c>
      <c r="P68" s="48" t="n">
        <f aca="false">P66*$D$26</f>
        <v>27729.492478751</v>
      </c>
      <c r="Q68" s="48" t="n">
        <f aca="false">Q66*$D$26</f>
        <v>26492.1275568635</v>
      </c>
      <c r="R68" s="48" t="n">
        <f aca="false">R66*$D$26</f>
        <v>25501.2004612929</v>
      </c>
      <c r="S68" s="48" t="n">
        <f aca="false">S66*$D$26</f>
        <v>24214.641040403</v>
      </c>
      <c r="T68" s="48" t="n">
        <f aca="false">T66*$D$26</f>
        <v>22852.1999619912</v>
      </c>
      <c r="U68" s="48" t="n">
        <f aca="false">U66*$D$26</f>
        <v>22683.3336805666</v>
      </c>
      <c r="V68" s="48" t="n">
        <f aca="false">V66*$D$26</f>
        <v>22477.8123542498</v>
      </c>
      <c r="W68" s="48" t="n">
        <f aca="false">W66*$D$26</f>
        <v>22388.0932131884</v>
      </c>
      <c r="X68" s="48" t="n">
        <f aca="false">X66*$D$26</f>
        <v>22206.3690930766</v>
      </c>
      <c r="Y68" s="48" t="n">
        <f aca="false">Y66*$D$26</f>
        <v>22116.9356817638</v>
      </c>
      <c r="Z68" s="48" t="n">
        <f aca="false">Z66*$D$26</f>
        <v>21877.7798821828</v>
      </c>
      <c r="AA68" s="48" t="n">
        <f aca="false">AA66*$D$26</f>
        <v>21612.0512159816</v>
      </c>
      <c r="AB68" s="48" t="n">
        <f aca="false">AB66*$D$26</f>
        <v>21553.476617518</v>
      </c>
      <c r="AC68" s="48" t="n">
        <f aca="false">AC66*$D$26</f>
        <v>21206.0292432163</v>
      </c>
      <c r="AD68" s="48" t="n">
        <f aca="false">AD66*$D$26</f>
        <v>21145.4545365124</v>
      </c>
      <c r="AE68" s="48" t="n">
        <f aca="false">AE66*$D$26</f>
        <v>21145.4545365124</v>
      </c>
      <c r="AF68" s="48" t="n">
        <f aca="false">AF66*$D$26</f>
        <v>21174.5989708699</v>
      </c>
      <c r="AG68" s="48" t="n">
        <f aca="false">AG66*$D$26</f>
        <v>21265.4610309258</v>
      </c>
      <c r="AH68" s="48" t="n">
        <f aca="false">AH66*$D$26</f>
        <v>21409.1830944733</v>
      </c>
      <c r="AI68" s="48" t="n">
        <f aca="false">AI66*$D$26</f>
        <v>21436.041690842</v>
      </c>
      <c r="AJ68" s="48" t="n">
        <f aca="false">AJ66*$D$26</f>
        <v>0</v>
      </c>
      <c r="AK68" s="48" t="n">
        <f aca="false">AK66*$D$26</f>
        <v>0</v>
      </c>
      <c r="AL68" s="48" t="n">
        <f aca="false">AL66*$D$26</f>
        <v>0</v>
      </c>
      <c r="AM68" s="48" t="n">
        <f aca="false">AM66*$D$26</f>
        <v>0</v>
      </c>
      <c r="AN68" s="48" t="n">
        <f aca="false">AN66*$D$26</f>
        <v>0</v>
      </c>
      <c r="AO68" s="48" t="n">
        <f aca="false">AO66*$D$26</f>
        <v>0</v>
      </c>
      <c r="AP68" s="48" t="n">
        <f aca="false">AP66*$D$26</f>
        <v>0</v>
      </c>
      <c r="AQ68" s="48" t="n">
        <f aca="false">AQ66*$D$26</f>
        <v>0</v>
      </c>
      <c r="AR68" s="48" t="n">
        <f aca="false">AR66*$D$26</f>
        <v>0</v>
      </c>
      <c r="AS68" s="48" t="n">
        <f aca="false">AS66*$D$26</f>
        <v>0</v>
      </c>
      <c r="AT68" s="48" t="n">
        <f aca="false">AT66*$D$26</f>
        <v>0</v>
      </c>
      <c r="AU68" s="48" t="n">
        <f aca="false">AU66*$D$26</f>
        <v>0</v>
      </c>
      <c r="AV68" s="48" t="n">
        <f aca="false">AV66*$D$26</f>
        <v>0</v>
      </c>
      <c r="AW68" s="48" t="n">
        <f aca="false">AW66*$D$26</f>
        <v>0</v>
      </c>
      <c r="AX68" s="48" t="n">
        <f aca="false">AX66*$D$26</f>
        <v>0</v>
      </c>
      <c r="AY68" s="48" t="n">
        <f aca="false">AY66*$D$26</f>
        <v>0</v>
      </c>
      <c r="AZ68" s="48" t="n">
        <f aca="false">AZ66*$D$26</f>
        <v>0</v>
      </c>
      <c r="BA68" s="48" t="n">
        <f aca="false">BA66*$D$26</f>
        <v>0</v>
      </c>
      <c r="BB68" s="48" t="n">
        <f aca="false">BB66*$D$26</f>
        <v>0</v>
      </c>
      <c r="BC68" s="48" t="n">
        <f aca="false">BC66*$D$26</f>
        <v>0</v>
      </c>
      <c r="BD68" s="48" t="n">
        <f aca="false">BD66*$D$26</f>
        <v>0</v>
      </c>
      <c r="BE68" s="48" t="n">
        <f aca="false">BE66*$D$26</f>
        <v>0</v>
      </c>
      <c r="BF68" s="48" t="n">
        <f aca="false">BF66*$D$26</f>
        <v>0</v>
      </c>
      <c r="BG68" s="48" t="n">
        <f aca="false">BG66*$D$26</f>
        <v>0</v>
      </c>
      <c r="BH68" s="48" t="n">
        <f aca="false">BH66*$D$26</f>
        <v>0</v>
      </c>
      <c r="BI68" s="48" t="n">
        <f aca="false">BI66*$D$26</f>
        <v>0</v>
      </c>
      <c r="BJ68" s="48" t="n">
        <f aca="false">BJ66*$D$26</f>
        <v>0</v>
      </c>
      <c r="BK68" s="48" t="n">
        <f aca="false">BK66*$D$26</f>
        <v>0</v>
      </c>
      <c r="BL68" s="48" t="n">
        <f aca="false">BL66*$D$26</f>
        <v>0</v>
      </c>
      <c r="BM68" s="48" t="n">
        <f aca="false">BM66*$D$26</f>
        <v>0</v>
      </c>
      <c r="BN68" s="48" t="n">
        <f aca="false">BN66*$D$26</f>
        <v>0</v>
      </c>
      <c r="BO68" s="48" t="n">
        <f aca="false">BO66*$D$26</f>
        <v>0</v>
      </c>
      <c r="BP68" s="48" t="n">
        <f aca="false">BP66*$D$26</f>
        <v>0</v>
      </c>
      <c r="BQ68" s="48" t="n">
        <f aca="false">BQ66*$D$26</f>
        <v>0</v>
      </c>
      <c r="BR68" s="48" t="n">
        <f aca="false">BR66*$D$26</f>
        <v>0</v>
      </c>
      <c r="BS68" s="48" t="n">
        <f aca="false">BS66*$D$26</f>
        <v>0</v>
      </c>
      <c r="BT68" s="48" t="n">
        <f aca="false">BT66*$D$26</f>
        <v>0</v>
      </c>
      <c r="BU68" s="48" t="n">
        <f aca="false">BU66*$D$26</f>
        <v>0</v>
      </c>
      <c r="BV68" s="48" t="n">
        <f aca="false">BV66*$D$26</f>
        <v>0</v>
      </c>
      <c r="BW68" s="48" t="n">
        <f aca="false">BW66*$D$26</f>
        <v>0</v>
      </c>
      <c r="BX68" s="48" t="n">
        <f aca="false">BX66*$D$26</f>
        <v>0</v>
      </c>
    </row>
    <row r="69" customFormat="false" ht="15" hidden="false" customHeight="false" outlineLevel="0" collapsed="false">
      <c r="A69" s="1"/>
      <c r="B69" s="8" t="s">
        <v>425</v>
      </c>
      <c r="C69" s="8" t="s">
        <v>126</v>
      </c>
      <c r="D69" s="44" t="n">
        <f aca="false">SUM(G69:BX69)</f>
        <v>396.619543891139</v>
      </c>
      <c r="E69" s="1"/>
      <c r="F69" s="1"/>
      <c r="G69" s="48" t="n">
        <f aca="false">G68*G53/1000000</f>
        <v>0</v>
      </c>
      <c r="H69" s="48" t="n">
        <f aca="false">H68*H53/1000000</f>
        <v>0</v>
      </c>
      <c r="I69" s="48" t="n">
        <f aca="false">I68*I53/1000000</f>
        <v>0</v>
      </c>
      <c r="J69" s="48" t="n">
        <f aca="false">J68*J53/1000000</f>
        <v>0</v>
      </c>
      <c r="K69" s="48" t="n">
        <f aca="false">K68*K53/1000000</f>
        <v>23.2815477053918</v>
      </c>
      <c r="L69" s="48" t="n">
        <f aca="false">L68*L53/1000000</f>
        <v>22.0836382392898</v>
      </c>
      <c r="M69" s="48" t="n">
        <f aca="false">M68*M53/1000000</f>
        <v>20.3074202449716</v>
      </c>
      <c r="N69" s="48" t="n">
        <f aca="false">N68*N53/1000000</f>
        <v>19.0494448337842</v>
      </c>
      <c r="O69" s="48" t="n">
        <f aca="false">O68*O53/1000000</f>
        <v>18.0644162667477</v>
      </c>
      <c r="P69" s="48" t="n">
        <f aca="false">P68*P53/1000000</f>
        <v>17.1808774236199</v>
      </c>
      <c r="Q69" s="48" t="n">
        <f aca="false">Q68*Q53/1000000</f>
        <v>16.6454064243162</v>
      </c>
      <c r="R69" s="48" t="n">
        <f aca="false">R68*R53/1000000</f>
        <v>16.2453306440229</v>
      </c>
      <c r="S69" s="48" t="n">
        <f aca="false">S68*S53/1000000</f>
        <v>15.6370500012354</v>
      </c>
      <c r="T69" s="48" t="n">
        <f aca="false">T68*T53/1000000</f>
        <v>14.9566506141234</v>
      </c>
      <c r="U69" s="48" t="n">
        <f aca="false">U68*U53/1000000</f>
        <v>14.8461284772625</v>
      </c>
      <c r="V69" s="48" t="n">
        <f aca="false">V68*V53/1000000</f>
        <v>14.7116157967947</v>
      </c>
      <c r="W69" s="48" t="n">
        <f aca="false">W68*W53/1000000</f>
        <v>14.6528950675657</v>
      </c>
      <c r="X69" s="48" t="n">
        <f aca="false">X68*X53/1000000</f>
        <v>14.5339575395732</v>
      </c>
      <c r="Y69" s="48" t="n">
        <f aca="false">Y68*Y53/1000000</f>
        <v>14.475423819036</v>
      </c>
      <c r="Z69" s="48" t="n">
        <f aca="false">Z68*Z53/1000000</f>
        <v>14.3188975439892</v>
      </c>
      <c r="AA69" s="48" t="n">
        <f aca="false">AA68*AA53/1000000</f>
        <v>14.1449794606039</v>
      </c>
      <c r="AB69" s="48" t="n">
        <f aca="false">AB68*AB53/1000000</f>
        <v>14.1066426787824</v>
      </c>
      <c r="AC69" s="48" t="n">
        <f aca="false">AC68*AC53/1000000</f>
        <v>13.8792401095388</v>
      </c>
      <c r="AD69" s="48" t="n">
        <f aca="false">AD68*AD53/1000000</f>
        <v>13.8395942668747</v>
      </c>
      <c r="AE69" s="48" t="n">
        <f aca="false">AE68*AE53/1000000</f>
        <v>13.8395942668747</v>
      </c>
      <c r="AF69" s="48" t="n">
        <f aca="false">AF68*AF53/1000000</f>
        <v>13.8586691534395</v>
      </c>
      <c r="AG69" s="48" t="n">
        <f aca="false">AG68*AG53/1000000</f>
        <v>13.9181379174358</v>
      </c>
      <c r="AH69" s="48" t="n">
        <f aca="false">AH68*AH53/1000000</f>
        <v>14.0122032894173</v>
      </c>
      <c r="AI69" s="48" t="n">
        <f aca="false">AI68*AI53/1000000</f>
        <v>14.0297821064476</v>
      </c>
      <c r="AJ69" s="48" t="n">
        <f aca="false">AJ68*AJ53/1000000</f>
        <v>0</v>
      </c>
      <c r="AK69" s="48" t="n">
        <f aca="false">AK68*AK53/1000000</f>
        <v>0</v>
      </c>
      <c r="AL69" s="48" t="n">
        <f aca="false">AL68*AL53/1000000</f>
        <v>0</v>
      </c>
      <c r="AM69" s="48" t="n">
        <f aca="false">AM68*AM53/1000000</f>
        <v>0</v>
      </c>
      <c r="AN69" s="48" t="n">
        <f aca="false">AN68*AN53/1000000</f>
        <v>0</v>
      </c>
      <c r="AO69" s="48" t="n">
        <f aca="false">AO68*AO53/1000000</f>
        <v>0</v>
      </c>
      <c r="AP69" s="48" t="n">
        <f aca="false">AP68*AP53/1000000</f>
        <v>0</v>
      </c>
      <c r="AQ69" s="48" t="n">
        <f aca="false">AQ68*AQ53/1000000</f>
        <v>0</v>
      </c>
      <c r="AR69" s="48" t="n">
        <f aca="false">AR68*AR53/1000000</f>
        <v>0</v>
      </c>
      <c r="AS69" s="48" t="n">
        <f aca="false">AS68*AS53/1000000</f>
        <v>0</v>
      </c>
      <c r="AT69" s="48" t="n">
        <f aca="false">AT68*AT53/1000000</f>
        <v>0</v>
      </c>
      <c r="AU69" s="48" t="n">
        <f aca="false">AU68*AU53/1000000</f>
        <v>0</v>
      </c>
      <c r="AV69" s="48" t="n">
        <f aca="false">AV68*AV53/1000000</f>
        <v>0</v>
      </c>
      <c r="AW69" s="48" t="n">
        <f aca="false">AW68*AW53/1000000</f>
        <v>0</v>
      </c>
      <c r="AX69" s="48" t="n">
        <f aca="false">AX68*AX53/1000000</f>
        <v>0</v>
      </c>
      <c r="AY69" s="48" t="n">
        <f aca="false">AY68*AY53/1000000</f>
        <v>0</v>
      </c>
      <c r="AZ69" s="48" t="n">
        <f aca="false">AZ68*AZ53/1000000</f>
        <v>0</v>
      </c>
      <c r="BA69" s="48" t="n">
        <f aca="false">BA68*BA53/1000000</f>
        <v>0</v>
      </c>
      <c r="BB69" s="48" t="n">
        <f aca="false">BB68*BB53/1000000</f>
        <v>0</v>
      </c>
      <c r="BC69" s="48" t="n">
        <f aca="false">BC68*BC53/1000000</f>
        <v>0</v>
      </c>
      <c r="BD69" s="48" t="n">
        <f aca="false">BD68*BD53/1000000</f>
        <v>0</v>
      </c>
      <c r="BE69" s="48" t="n">
        <f aca="false">BE68*BE53/1000000</f>
        <v>0</v>
      </c>
      <c r="BF69" s="48" t="n">
        <f aca="false">BF68*BF53/1000000</f>
        <v>0</v>
      </c>
      <c r="BG69" s="48" t="n">
        <f aca="false">BG68*BG53/1000000</f>
        <v>0</v>
      </c>
      <c r="BH69" s="48" t="n">
        <f aca="false">BH68*BH53/1000000</f>
        <v>0</v>
      </c>
      <c r="BI69" s="48" t="n">
        <f aca="false">BI68*BI53/1000000</f>
        <v>0</v>
      </c>
      <c r="BJ69" s="48" t="n">
        <f aca="false">BJ68*BJ53/1000000</f>
        <v>0</v>
      </c>
      <c r="BK69" s="48" t="n">
        <f aca="false">BK68*BK53/1000000</f>
        <v>0</v>
      </c>
      <c r="BL69" s="48" t="n">
        <f aca="false">BL68*BL53/1000000</f>
        <v>0</v>
      </c>
      <c r="BM69" s="48" t="n">
        <f aca="false">BM68*BM53/1000000</f>
        <v>0</v>
      </c>
      <c r="BN69" s="48" t="n">
        <f aca="false">BN68*BN53/1000000</f>
        <v>0</v>
      </c>
      <c r="BO69" s="48" t="n">
        <f aca="false">BO68*BO53/1000000</f>
        <v>0</v>
      </c>
      <c r="BP69" s="48" t="n">
        <f aca="false">BP68*BP53/1000000</f>
        <v>0</v>
      </c>
      <c r="BQ69" s="48" t="n">
        <f aca="false">BQ68*BQ53/1000000</f>
        <v>0</v>
      </c>
      <c r="BR69" s="48" t="n">
        <f aca="false">BR68*BR53/1000000</f>
        <v>0</v>
      </c>
      <c r="BS69" s="48" t="n">
        <f aca="false">BS68*BS53/1000000</f>
        <v>0</v>
      </c>
      <c r="BT69" s="48" t="n">
        <f aca="false">BT68*BT53/1000000</f>
        <v>0</v>
      </c>
      <c r="BU69" s="48" t="n">
        <f aca="false">BU68*BU53/1000000</f>
        <v>0</v>
      </c>
      <c r="BV69" s="48" t="n">
        <f aca="false">BV68*BV53/1000000</f>
        <v>0</v>
      </c>
      <c r="BW69" s="48" t="n">
        <f aca="false">BW68*BW53/1000000</f>
        <v>0</v>
      </c>
      <c r="BX69" s="48" t="n">
        <f aca="false">BX68*BX53/1000000</f>
        <v>0</v>
      </c>
    </row>
    <row r="70" customFormat="false" ht="15" hidden="false" customHeight="false" outlineLevel="0" collapsed="false">
      <c r="A70" s="1"/>
      <c r="B70" s="8" t="s">
        <v>335</v>
      </c>
      <c r="C70" s="8" t="s">
        <v>126</v>
      </c>
      <c r="D70" s="44" t="n">
        <f aca="false">SUM(G70:BX70)</f>
        <v>48.7204992</v>
      </c>
      <c r="E70" s="1"/>
      <c r="F70" s="1"/>
      <c r="G70" s="48" t="n">
        <f aca="false">G57*$D$15/1000000</f>
        <v>0</v>
      </c>
      <c r="H70" s="48" t="n">
        <f aca="false">H57*$D$15/1000000</f>
        <v>0</v>
      </c>
      <c r="I70" s="48" t="n">
        <f aca="false">I57*$D$15/1000000</f>
        <v>0</v>
      </c>
      <c r="J70" s="48" t="n">
        <f aca="false">J57*$D$15/1000000</f>
        <v>0</v>
      </c>
      <c r="K70" s="48" t="n">
        <f aca="false">K57*$D$15/1000000</f>
        <v>3.40818048</v>
      </c>
      <c r="L70" s="48" t="n">
        <f aca="false">L57*$D$15/1000000</f>
        <v>3.10174848</v>
      </c>
      <c r="M70" s="48" t="n">
        <f aca="false">M57*$D$15/1000000</f>
        <v>2.74212864</v>
      </c>
      <c r="N70" s="48" t="n">
        <f aca="false">N57*$D$15/1000000</f>
        <v>2.47903488</v>
      </c>
      <c r="O70" s="48" t="n">
        <f aca="false">O57*$D$15/1000000</f>
        <v>2.265408</v>
      </c>
      <c r="P70" s="48" t="n">
        <f aca="false">P57*$D$15/1000000</f>
        <v>2.12488704</v>
      </c>
      <c r="Q70" s="48" t="n">
        <f aca="false">Q57*$D$15/1000000</f>
        <v>2.03076864</v>
      </c>
      <c r="R70" s="48" t="n">
        <f aca="false">R57*$D$15/1000000</f>
        <v>1.95547392</v>
      </c>
      <c r="S70" s="48" t="n">
        <f aca="false">S57*$D$15/1000000</f>
        <v>1.85697792</v>
      </c>
      <c r="T70" s="48" t="n">
        <f aca="false">T57*$D$15/1000000</f>
        <v>1.75191552</v>
      </c>
      <c r="U70" s="48" t="n">
        <f aca="false">U57*$D$15/1000000</f>
        <v>1.73878272</v>
      </c>
      <c r="V70" s="48" t="n">
        <f aca="false">V57*$D$15/1000000</f>
        <v>1.72324224</v>
      </c>
      <c r="W70" s="48" t="n">
        <f aca="false">W57*$D$15/1000000</f>
        <v>1.71667584</v>
      </c>
      <c r="X70" s="48" t="n">
        <f aca="false">X57*$D$15/1000000</f>
        <v>1.70354304</v>
      </c>
      <c r="Y70" s="48" t="n">
        <f aca="false">Y57*$D$15/1000000</f>
        <v>1.69697664</v>
      </c>
      <c r="Z70" s="48" t="n">
        <f aca="false">Z57*$D$15/1000000</f>
        <v>1.67946624</v>
      </c>
      <c r="AA70" s="48" t="n">
        <f aca="false">AA57*$D$15/1000000</f>
        <v>1.65976704</v>
      </c>
      <c r="AB70" s="48" t="n">
        <f aca="false">AB57*$D$15/1000000</f>
        <v>1.65538944</v>
      </c>
      <c r="AC70" s="48" t="n">
        <f aca="false">AC57*$D$15/1000000</f>
        <v>1.62912384</v>
      </c>
      <c r="AD70" s="48" t="n">
        <f aca="false">AD57*$D$15/1000000</f>
        <v>1.62474624</v>
      </c>
      <c r="AE70" s="48" t="n">
        <f aca="false">AE57*$D$15/1000000</f>
        <v>1.62474624</v>
      </c>
      <c r="AF70" s="48" t="n">
        <f aca="false">AF57*$D$15/1000000</f>
        <v>1.62693504</v>
      </c>
      <c r="AG70" s="48" t="n">
        <f aca="false">AG57*$D$15/1000000</f>
        <v>1.63350144</v>
      </c>
      <c r="AH70" s="48" t="n">
        <f aca="false">AH57*$D$15/1000000</f>
        <v>1.64444544</v>
      </c>
      <c r="AI70" s="48" t="n">
        <f aca="false">AI57*$D$15/1000000</f>
        <v>1.64663424</v>
      </c>
      <c r="AJ70" s="48" t="n">
        <f aca="false">AJ57*$D$15/1000000</f>
        <v>0</v>
      </c>
      <c r="AK70" s="48" t="n">
        <f aca="false">AK57*$D$15/1000000</f>
        <v>0</v>
      </c>
      <c r="AL70" s="48" t="n">
        <f aca="false">AL57*$D$15/1000000</f>
        <v>0</v>
      </c>
      <c r="AM70" s="48" t="n">
        <f aca="false">AM57*$D$15/1000000</f>
        <v>0</v>
      </c>
      <c r="AN70" s="48" t="n">
        <f aca="false">AN57*$D$15/1000000</f>
        <v>0</v>
      </c>
      <c r="AO70" s="48" t="n">
        <f aca="false">AO57*$D$15/1000000</f>
        <v>0</v>
      </c>
      <c r="AP70" s="48" t="n">
        <f aca="false">AP57*$D$15/1000000</f>
        <v>0</v>
      </c>
      <c r="AQ70" s="48" t="n">
        <f aca="false">AQ57*$D$15/1000000</f>
        <v>0</v>
      </c>
      <c r="AR70" s="48" t="n">
        <f aca="false">AR57*$D$15/1000000</f>
        <v>0</v>
      </c>
      <c r="AS70" s="48" t="n">
        <f aca="false">AS57*$D$15/1000000</f>
        <v>0</v>
      </c>
      <c r="AT70" s="48" t="n">
        <f aca="false">AT57*$D$15/1000000</f>
        <v>0</v>
      </c>
      <c r="AU70" s="48" t="n">
        <f aca="false">AU57*$D$15/1000000</f>
        <v>0</v>
      </c>
      <c r="AV70" s="48" t="n">
        <f aca="false">AV57*$D$15/1000000</f>
        <v>0</v>
      </c>
      <c r="AW70" s="48" t="n">
        <f aca="false">AW57*$D$15/1000000</f>
        <v>0</v>
      </c>
      <c r="AX70" s="48" t="n">
        <f aca="false">AX57*$D$15/1000000</f>
        <v>0</v>
      </c>
      <c r="AY70" s="48" t="n">
        <f aca="false">AY57*$D$15/1000000</f>
        <v>0</v>
      </c>
      <c r="AZ70" s="48" t="n">
        <f aca="false">AZ57*$D$15/1000000</f>
        <v>0</v>
      </c>
      <c r="BA70" s="48" t="n">
        <f aca="false">BA57*$D$15/1000000</f>
        <v>0</v>
      </c>
      <c r="BB70" s="48" t="n">
        <f aca="false">BB57*$D$15/1000000</f>
        <v>0</v>
      </c>
      <c r="BC70" s="48" t="n">
        <f aca="false">BC57*$D$15/1000000</f>
        <v>0</v>
      </c>
      <c r="BD70" s="48" t="n">
        <f aca="false">BD57*$D$15/1000000</f>
        <v>0</v>
      </c>
      <c r="BE70" s="48" t="n">
        <f aca="false">BE57*$D$15/1000000</f>
        <v>0</v>
      </c>
      <c r="BF70" s="48" t="n">
        <f aca="false">BF57*$D$15/1000000</f>
        <v>0</v>
      </c>
      <c r="BG70" s="48" t="n">
        <f aca="false">BG57*$D$15/1000000</f>
        <v>0</v>
      </c>
      <c r="BH70" s="48" t="n">
        <f aca="false">BH57*$D$15/1000000</f>
        <v>0</v>
      </c>
      <c r="BI70" s="48" t="n">
        <f aca="false">BI57*$D$15/1000000</f>
        <v>0</v>
      </c>
      <c r="BJ70" s="48" t="n">
        <f aca="false">BJ57*$D$15/1000000</f>
        <v>0</v>
      </c>
      <c r="BK70" s="48" t="n">
        <f aca="false">BK57*$D$15/1000000</f>
        <v>0</v>
      </c>
      <c r="BL70" s="48" t="n">
        <f aca="false">BL57*$D$15/1000000</f>
        <v>0</v>
      </c>
      <c r="BM70" s="48" t="n">
        <f aca="false">BM57*$D$15/1000000</f>
        <v>0</v>
      </c>
      <c r="BN70" s="48" t="n">
        <f aca="false">BN57*$D$15/1000000</f>
        <v>0</v>
      </c>
      <c r="BO70" s="48" t="n">
        <f aca="false">BO57*$D$15/1000000</f>
        <v>0</v>
      </c>
      <c r="BP70" s="48" t="n">
        <f aca="false">BP57*$D$15/1000000</f>
        <v>0</v>
      </c>
      <c r="BQ70" s="48" t="n">
        <f aca="false">BQ57*$D$15/1000000</f>
        <v>0</v>
      </c>
      <c r="BR70" s="48" t="n">
        <f aca="false">BR57*$D$15/1000000</f>
        <v>0</v>
      </c>
      <c r="BS70" s="48" t="n">
        <f aca="false">BS57*$D$15/1000000</f>
        <v>0</v>
      </c>
      <c r="BT70" s="48" t="n">
        <f aca="false">BT57*$D$15/1000000</f>
        <v>0</v>
      </c>
      <c r="BU70" s="48" t="n">
        <f aca="false">BU57*$D$15/1000000</f>
        <v>0</v>
      </c>
      <c r="BV70" s="48" t="n">
        <f aca="false">BV57*$D$15/1000000</f>
        <v>0</v>
      </c>
      <c r="BW70" s="48" t="n">
        <f aca="false">BW57*$D$15/1000000</f>
        <v>0</v>
      </c>
      <c r="BX70" s="48" t="n">
        <f aca="false">BX57*$D$15/1000000</f>
        <v>0</v>
      </c>
    </row>
    <row r="71" customFormat="false" ht="15" hidden="false" customHeight="false" outlineLevel="0" collapsed="false">
      <c r="A71" s="1"/>
      <c r="B71" s="8" t="s">
        <v>426</v>
      </c>
      <c r="C71" s="8" t="s">
        <v>126</v>
      </c>
      <c r="D71" s="44" t="n">
        <f aca="false">SUM(G71:BX71)</f>
        <v>11.5710802199999</v>
      </c>
      <c r="E71" s="1"/>
      <c r="F71" s="1"/>
      <c r="G71" s="48" t="n">
        <f aca="false">IF(G38=1,G57*IFERROR(INDEX(Twin!$G$99:$BN$99,1,G39),0)/1000000,0)</f>
        <v>0</v>
      </c>
      <c r="H71" s="48" t="n">
        <f aca="false">IF(H38=1,H57*IFERROR(INDEX(Twin!$G$99:$BN$99,1,H39),0)/1000000,0)</f>
        <v>0</v>
      </c>
      <c r="I71" s="48" t="n">
        <f aca="false">IF(I38=1,I57*IFERROR(INDEX(Twin!$G$99:$BN$99,1,I39),0)/1000000,0)</f>
        <v>0</v>
      </c>
      <c r="J71" s="48" t="n">
        <f aca="false">IF(J38=1,J57*IFERROR(INDEX(Twin!$G$99:$BN$99,1,J39),0)/1000000,0)</f>
        <v>0</v>
      </c>
      <c r="K71" s="48" t="n">
        <f aca="false">IF(K38=1,K57*IFERROR(INDEX(Twin!$G$99:$BN$99,1,K39),0)/1000000,0)</f>
        <v>0.651930839999999</v>
      </c>
      <c r="L71" s="48" t="n">
        <f aca="false">IF(L38=1,L57*IFERROR(INDEX(Twin!$G$99:$BN$99,1,L39),0)/1000000,0)</f>
        <v>0.632695139999999</v>
      </c>
      <c r="M71" s="48" t="n">
        <f aca="false">IF(M38=1,M57*IFERROR(INDEX(Twin!$G$99:$BN$99,1,M39),0)/1000000,0)</f>
        <v>0.590483519999998</v>
      </c>
      <c r="N71" s="48" t="n">
        <f aca="false">IF(N38=1,N57*IFERROR(INDEX(Twin!$G$99:$BN$99,1,N39),0)/1000000,0)</f>
        <v>0.551837159999998</v>
      </c>
      <c r="O71" s="48" t="n">
        <f aca="false">IF(O38=1,O57*IFERROR(INDEX(Twin!$G$99:$BN$99,1,O39),0)/1000000,0)</f>
        <v>0.525028679999996</v>
      </c>
      <c r="P71" s="48" t="n">
        <f aca="false">IF(P38=1,P57*IFERROR(INDEX(Twin!$G$99:$BN$99,1,P39),0)/1000000,0)</f>
        <v>0.509615819999996</v>
      </c>
      <c r="Q71" s="48" t="n">
        <f aca="false">IF(Q38=1,Q57*IFERROR(INDEX(Twin!$G$99:$BN$99,1,Q39),0)/1000000,0)</f>
        <v>0.486586439999997</v>
      </c>
      <c r="R71" s="48" t="n">
        <f aca="false">IF(R38=1,R57*IFERROR(INDEX(Twin!$G$99:$BN$99,1,R39),0)/1000000,0)</f>
        <v>0.475117919999997</v>
      </c>
      <c r="S71" s="48" t="n">
        <f aca="false">IF(S38=1,S57*IFERROR(INDEX(Twin!$G$99:$BN$99,1,S39),0)/1000000,0)</f>
        <v>0.453897899999997</v>
      </c>
      <c r="T71" s="48" t="n">
        <f aca="false">IF(T38=1,T57*IFERROR(INDEX(Twin!$G$99:$BN$99,1,T39),0)/1000000,0)</f>
        <v>0.432726479999997</v>
      </c>
      <c r="U71" s="48" t="n">
        <f aca="false">IF(U38=1,U57*IFERROR(INDEX(Twin!$G$99:$BN$99,1,U39),0)/1000000,0)</f>
        <v>0.430805339999997</v>
      </c>
      <c r="V71" s="48" t="n">
        <f aca="false">IF(V38=1,V57*IFERROR(INDEX(Twin!$G$99:$BN$99,1,V39),0)/1000000,0)</f>
        <v>0.428850179999997</v>
      </c>
      <c r="W71" s="48" t="n">
        <f aca="false">IF(W38=1,W57*IFERROR(INDEX(Twin!$G$99:$BN$99,1,W39),0)/1000000,0)</f>
        <v>0.426895019999997</v>
      </c>
      <c r="X71" s="48" t="n">
        <f aca="false">IF(X38=1,X57*IFERROR(INDEX(Twin!$G$99:$BN$99,1,X39),0)/1000000,0)</f>
        <v>0.424905839999997</v>
      </c>
      <c r="Y71" s="48" t="n">
        <f aca="false">IF(Y38=1,Y57*IFERROR(INDEX(Twin!$G$99:$BN$99,1,Y39),0)/1000000,0)</f>
        <v>0.424905839999997</v>
      </c>
      <c r="Z71" s="48" t="n">
        <f aca="false">IF(Z38=1,Z57*IFERROR(INDEX(Twin!$G$99:$BN$99,1,Z39),0)/1000000,0)</f>
        <v>0.422970119999997</v>
      </c>
      <c r="AA71" s="48" t="n">
        <f aca="false">IF(AA38=1,AA57*IFERROR(INDEX(Twin!$G$99:$BN$99,1,AA39),0)/1000000,0)</f>
        <v>0.419069519999998</v>
      </c>
      <c r="AB71" s="48" t="n">
        <f aca="false">IF(AB38=1,AB57*IFERROR(INDEX(Twin!$G$99:$BN$99,1,AB39),0)/1000000,0)</f>
        <v>0.419069519999998</v>
      </c>
      <c r="AC71" s="48" t="n">
        <f aca="false">IF(AC38=1,AC57*IFERROR(INDEX(Twin!$G$99:$BN$99,1,AC39),0)/1000000,0)</f>
        <v>0.409371479999998</v>
      </c>
      <c r="AD71" s="48" t="n">
        <f aca="false">IF(AD38=1,AD57*IFERROR(INDEX(Twin!$G$99:$BN$99,1,AD39),0)/1000000,0)</f>
        <v>0.407416319999998</v>
      </c>
      <c r="AE71" s="48" t="n">
        <f aca="false">IF(AE38=1,AE57*IFERROR(INDEX(Twin!$G$99:$BN$99,1,AE39),0)/1000000,0)</f>
        <v>0.407416319999998</v>
      </c>
      <c r="AF71" s="48" t="n">
        <f aca="false">IF(AF38=1,AF57*IFERROR(INDEX(Twin!$G$99:$BN$99,1,AF39),0)/1000000,0)</f>
        <v>0.407416319999998</v>
      </c>
      <c r="AG71" s="48" t="n">
        <f aca="false">IF(AG38=1,AG57*IFERROR(INDEX(Twin!$G$99:$BN$99,1,AG39),0)/1000000,0)</f>
        <v>0.409405499999998</v>
      </c>
      <c r="AH71" s="48" t="n">
        <f aca="false">IF(AH38=1,AH57*IFERROR(INDEX(Twin!$G$99:$BN$99,1,AH39),0)/1000000,0)</f>
        <v>0.411331499999998</v>
      </c>
      <c r="AI71" s="48" t="n">
        <f aca="false">IF(AI38=1,AI57*IFERROR(INDEX(Twin!$G$99:$BN$99,1,AI39),0)/1000000,0)</f>
        <v>0.411331499999998</v>
      </c>
      <c r="AJ71" s="48" t="n">
        <f aca="false">IF(AJ38=1,AJ57*IFERROR(INDEX(Twin!$G$99:$BN$99,1,AJ39),0)/1000000,0)</f>
        <v>0</v>
      </c>
      <c r="AK71" s="48" t="n">
        <f aca="false">IF(AK38=1,AK57*IFERROR(INDEX(Twin!$G$99:$BN$99,1,AK39),0)/1000000,0)</f>
        <v>0</v>
      </c>
      <c r="AL71" s="48" t="n">
        <f aca="false">IF(AL38=1,AL57*IFERROR(INDEX(Twin!$G$99:$BN$99,1,AL39),0)/1000000,0)</f>
        <v>0</v>
      </c>
      <c r="AM71" s="48" t="n">
        <f aca="false">IF(AM38=1,AM57*IFERROR(INDEX(Twin!$G$99:$BN$99,1,AM39),0)/1000000,0)</f>
        <v>0</v>
      </c>
      <c r="AN71" s="48" t="n">
        <f aca="false">IF(AN38=1,AN57*IFERROR(INDEX(Twin!$G$99:$BN$99,1,AN39),0)/1000000,0)</f>
        <v>0</v>
      </c>
      <c r="AO71" s="48" t="n">
        <f aca="false">IF(AO38=1,AO57*IFERROR(INDEX(Twin!$G$99:$BN$99,1,AO39),0)/1000000,0)</f>
        <v>0</v>
      </c>
      <c r="AP71" s="48" t="n">
        <f aca="false">IF(AP38=1,AP57*IFERROR(INDEX(Twin!$G$99:$BN$99,1,AP39),0)/1000000,0)</f>
        <v>0</v>
      </c>
      <c r="AQ71" s="48" t="n">
        <f aca="false">IF(AQ38=1,AQ57*IFERROR(INDEX(Twin!$G$99:$BN$99,1,AQ39),0)/1000000,0)</f>
        <v>0</v>
      </c>
      <c r="AR71" s="48" t="n">
        <f aca="false">IF(AR38=1,AR57*IFERROR(INDEX(Twin!$G$99:$BN$99,1,AR39),0)/1000000,0)</f>
        <v>0</v>
      </c>
      <c r="AS71" s="48" t="n">
        <f aca="false">IF(AS38=1,AS57*IFERROR(INDEX(Twin!$G$99:$BN$99,1,AS39),0)/1000000,0)</f>
        <v>0</v>
      </c>
      <c r="AT71" s="48" t="n">
        <f aca="false">IF(AT38=1,AT57*IFERROR(INDEX(Twin!$G$99:$BN$99,1,AT39),0)/1000000,0)</f>
        <v>0</v>
      </c>
      <c r="AU71" s="48" t="n">
        <f aca="false">IF(AU38=1,AU57*IFERROR(INDEX(Twin!$G$99:$BN$99,1,AU39),0)/1000000,0)</f>
        <v>0</v>
      </c>
      <c r="AV71" s="48" t="n">
        <f aca="false">IF(AV38=1,AV57*IFERROR(INDEX(Twin!$G$99:$BN$99,1,AV39),0)/1000000,0)</f>
        <v>0</v>
      </c>
      <c r="AW71" s="48" t="n">
        <f aca="false">IF(AW38=1,AW57*IFERROR(INDEX(Twin!$G$99:$BN$99,1,AW39),0)/1000000,0)</f>
        <v>0</v>
      </c>
      <c r="AX71" s="48" t="n">
        <f aca="false">IF(AX38=1,AX57*IFERROR(INDEX(Twin!$G$99:$BN$99,1,AX39),0)/1000000,0)</f>
        <v>0</v>
      </c>
      <c r="AY71" s="48" t="n">
        <f aca="false">IF(AY38=1,AY57*IFERROR(INDEX(Twin!$G$99:$BN$99,1,AY39),0)/1000000,0)</f>
        <v>0</v>
      </c>
      <c r="AZ71" s="48" t="n">
        <f aca="false">IF(AZ38=1,AZ57*IFERROR(INDEX(Twin!$G$99:$BN$99,1,AZ39),0)/1000000,0)</f>
        <v>0</v>
      </c>
      <c r="BA71" s="48" t="n">
        <f aca="false">IF(BA38=1,BA57*IFERROR(INDEX(Twin!$G$99:$BN$99,1,BA39),0)/1000000,0)</f>
        <v>0</v>
      </c>
      <c r="BB71" s="48" t="n">
        <f aca="false">IF(BB38=1,BB57*IFERROR(INDEX(Twin!$G$99:$BN$99,1,BB39),0)/1000000,0)</f>
        <v>0</v>
      </c>
      <c r="BC71" s="48" t="n">
        <f aca="false">IF(BC38=1,BC57*IFERROR(INDEX(Twin!$G$99:$BN$99,1,BC39),0)/1000000,0)</f>
        <v>0</v>
      </c>
      <c r="BD71" s="48" t="n">
        <f aca="false">IF(BD38=1,BD57*IFERROR(INDEX(Twin!$G$99:$BN$99,1,BD39),0)/1000000,0)</f>
        <v>0</v>
      </c>
      <c r="BE71" s="48" t="n">
        <f aca="false">IF(BE38=1,BE57*IFERROR(INDEX(Twin!$G$99:$BN$99,1,BE39),0)/1000000,0)</f>
        <v>0</v>
      </c>
      <c r="BF71" s="48" t="n">
        <f aca="false">IF(BF38=1,BF57*IFERROR(INDEX(Twin!$G$99:$BN$99,1,BF39),0)/1000000,0)</f>
        <v>0</v>
      </c>
      <c r="BG71" s="48" t="n">
        <f aca="false">IF(BG38=1,BG57*IFERROR(INDEX(Twin!$G$99:$BN$99,1,BG39),0)/1000000,0)</f>
        <v>0</v>
      </c>
      <c r="BH71" s="48" t="n">
        <f aca="false">IF(BH38=1,BH57*IFERROR(INDEX(Twin!$G$99:$BN$99,1,BH39),0)/1000000,0)</f>
        <v>0</v>
      </c>
      <c r="BI71" s="48" t="n">
        <f aca="false">IF(BI38=1,BI57*IFERROR(INDEX(Twin!$G$99:$BN$99,1,BI39),0)/1000000,0)</f>
        <v>0</v>
      </c>
      <c r="BJ71" s="48" t="n">
        <f aca="false">IF(BJ38=1,BJ57*IFERROR(INDEX(Twin!$G$99:$BN$99,1,BJ39),0)/1000000,0)</f>
        <v>0</v>
      </c>
      <c r="BK71" s="48" t="n">
        <f aca="false">IF(BK38=1,BK57*IFERROR(INDEX(Twin!$G$99:$BN$99,1,BK39),0)/1000000,0)</f>
        <v>0</v>
      </c>
      <c r="BL71" s="48" t="n">
        <f aca="false">IF(BL38=1,BL57*IFERROR(INDEX(Twin!$G$99:$BN$99,1,BL39),0)/1000000,0)</f>
        <v>0</v>
      </c>
      <c r="BM71" s="48" t="n">
        <f aca="false">IF(BM38=1,BM57*IFERROR(INDEX(Twin!$G$99:$BN$99,1,BM39),0)/1000000,0)</f>
        <v>0</v>
      </c>
      <c r="BN71" s="48" t="n">
        <f aca="false">IF(BN38=1,BN57*IFERROR(INDEX(Twin!$G$99:$BN$99,1,BN39),0)/1000000,0)</f>
        <v>0</v>
      </c>
      <c r="BO71" s="48" t="n">
        <f aca="false">IF(BO38=1,BO57*IFERROR(INDEX(Twin!$G$99:$BN$99,1,BO39),0)/1000000,0)</f>
        <v>0</v>
      </c>
      <c r="BP71" s="48" t="n">
        <f aca="false">IF(BP38=1,BP57*IFERROR(INDEX(Twin!$G$99:$BN$99,1,BP39),0)/1000000,0)</f>
        <v>0</v>
      </c>
      <c r="BQ71" s="48" t="n">
        <f aca="false">IF(BQ38=1,BQ57*IFERROR(INDEX(Twin!$G$99:$BN$99,1,BQ39),0)/1000000,0)</f>
        <v>0</v>
      </c>
      <c r="BR71" s="48" t="n">
        <f aca="false">IF(BR38=1,BR57*IFERROR(INDEX(Twin!$G$99:$BN$99,1,BR39),0)/1000000,0)</f>
        <v>0</v>
      </c>
      <c r="BS71" s="48" t="n">
        <f aca="false">IF(BS38=1,BS57*IFERROR(INDEX(Twin!$G$99:$BN$99,1,BS39),0)/1000000,0)</f>
        <v>0</v>
      </c>
      <c r="BT71" s="48" t="n">
        <f aca="false">IF(BT38=1,BT57*IFERROR(INDEX(Twin!$G$99:$BN$99,1,BT39),0)/1000000,0)</f>
        <v>0</v>
      </c>
      <c r="BU71" s="48" t="n">
        <f aca="false">IF(BU38=1,BU57*IFERROR(INDEX(Twin!$G$99:$BN$99,1,BU39),0)/1000000,0)</f>
        <v>0</v>
      </c>
      <c r="BV71" s="48" t="n">
        <f aca="false">IF(BV38=1,BV57*IFERROR(INDEX(Twin!$G$99:$BN$99,1,BV39),0)/1000000,0)</f>
        <v>0</v>
      </c>
      <c r="BW71" s="48" t="n">
        <f aca="false">IF(BW38=1,BW57*IFERROR(INDEX(Twin!$G$99:$BN$99,1,BW39),0)/1000000,0)</f>
        <v>0</v>
      </c>
      <c r="BX71" s="48" t="n">
        <f aca="false">IF(BX38=1,BX57*IFERROR(INDEX(Twin!$G$99:$BN$99,1,BX39),0)/1000000,0)</f>
        <v>0</v>
      </c>
    </row>
    <row r="72" customFormat="false" ht="15" hidden="false" customHeight="false" outlineLevel="0" collapsed="false">
      <c r="A72" s="1"/>
      <c r="B72" s="8" t="s">
        <v>427</v>
      </c>
      <c r="C72" s="8" t="s">
        <v>126</v>
      </c>
      <c r="D72" s="44" t="n">
        <f aca="false">SUM(G72:BX72)</f>
        <v>0</v>
      </c>
      <c r="E72" s="1"/>
      <c r="F72" s="1"/>
      <c r="G72" s="48" t="n">
        <f aca="false">0</f>
        <v>0</v>
      </c>
      <c r="H72" s="48" t="n">
        <f aca="false">0</f>
        <v>0</v>
      </c>
      <c r="I72" s="48" t="n">
        <f aca="false">0</f>
        <v>0</v>
      </c>
      <c r="J72" s="48" t="n">
        <f aca="false">0</f>
        <v>0</v>
      </c>
      <c r="K72" s="48" t="n">
        <f aca="false">0</f>
        <v>0</v>
      </c>
      <c r="L72" s="48" t="n">
        <f aca="false">0</f>
        <v>0</v>
      </c>
      <c r="M72" s="48" t="n">
        <f aca="false">0</f>
        <v>0</v>
      </c>
      <c r="N72" s="48" t="n">
        <f aca="false">0</f>
        <v>0</v>
      </c>
      <c r="O72" s="48" t="n">
        <f aca="false">0</f>
        <v>0</v>
      </c>
      <c r="P72" s="48" t="n">
        <f aca="false">0</f>
        <v>0</v>
      </c>
      <c r="Q72" s="48" t="n">
        <f aca="false">0</f>
        <v>0</v>
      </c>
      <c r="R72" s="48" t="n">
        <f aca="false">0</f>
        <v>0</v>
      </c>
      <c r="S72" s="48" t="n">
        <f aca="false">0</f>
        <v>0</v>
      </c>
      <c r="T72" s="48" t="n">
        <f aca="false">0</f>
        <v>0</v>
      </c>
      <c r="U72" s="48" t="n">
        <f aca="false">0</f>
        <v>0</v>
      </c>
      <c r="V72" s="48" t="n">
        <f aca="false">0</f>
        <v>0</v>
      </c>
      <c r="W72" s="48" t="n">
        <f aca="false">0</f>
        <v>0</v>
      </c>
      <c r="X72" s="48" t="n">
        <f aca="false">0</f>
        <v>0</v>
      </c>
      <c r="Y72" s="48" t="n">
        <f aca="false">0</f>
        <v>0</v>
      </c>
      <c r="Z72" s="48" t="n">
        <f aca="false">0</f>
        <v>0</v>
      </c>
      <c r="AA72" s="48" t="n">
        <f aca="false">0</f>
        <v>0</v>
      </c>
      <c r="AB72" s="48" t="n">
        <f aca="false">0</f>
        <v>0</v>
      </c>
      <c r="AC72" s="48" t="n">
        <f aca="false">0</f>
        <v>0</v>
      </c>
      <c r="AD72" s="48" t="n">
        <f aca="false">0</f>
        <v>0</v>
      </c>
      <c r="AE72" s="48" t="n">
        <f aca="false">0</f>
        <v>0</v>
      </c>
      <c r="AF72" s="48" t="n">
        <f aca="false">0</f>
        <v>0</v>
      </c>
      <c r="AG72" s="48" t="n">
        <f aca="false">0</f>
        <v>0</v>
      </c>
      <c r="AH72" s="48" t="n">
        <f aca="false">0</f>
        <v>0</v>
      </c>
      <c r="AI72" s="48" t="n">
        <f aca="false">0</f>
        <v>0</v>
      </c>
      <c r="AJ72" s="48" t="n">
        <f aca="false">0</f>
        <v>0</v>
      </c>
      <c r="AK72" s="48" t="n">
        <f aca="false">0</f>
        <v>0</v>
      </c>
      <c r="AL72" s="48" t="n">
        <f aca="false">0</f>
        <v>0</v>
      </c>
      <c r="AM72" s="48" t="n">
        <f aca="false">0</f>
        <v>0</v>
      </c>
      <c r="AN72" s="48" t="n">
        <f aca="false">0</f>
        <v>0</v>
      </c>
      <c r="AO72" s="48" t="n">
        <f aca="false">0</f>
        <v>0</v>
      </c>
      <c r="AP72" s="48" t="n">
        <f aca="false">0</f>
        <v>0</v>
      </c>
      <c r="AQ72" s="48" t="n">
        <f aca="false">0</f>
        <v>0</v>
      </c>
      <c r="AR72" s="48" t="n">
        <f aca="false">0</f>
        <v>0</v>
      </c>
      <c r="AS72" s="48" t="n">
        <f aca="false">0</f>
        <v>0</v>
      </c>
      <c r="AT72" s="48" t="n">
        <f aca="false">0</f>
        <v>0</v>
      </c>
      <c r="AU72" s="48" t="n">
        <f aca="false">0</f>
        <v>0</v>
      </c>
      <c r="AV72" s="48" t="n">
        <f aca="false">0</f>
        <v>0</v>
      </c>
      <c r="AW72" s="48" t="n">
        <f aca="false">0</f>
        <v>0</v>
      </c>
      <c r="AX72" s="48" t="n">
        <f aca="false">0</f>
        <v>0</v>
      </c>
      <c r="AY72" s="48" t="n">
        <f aca="false">0</f>
        <v>0</v>
      </c>
      <c r="AZ72" s="48" t="n">
        <f aca="false">0</f>
        <v>0</v>
      </c>
      <c r="BA72" s="48" t="n">
        <f aca="false">0</f>
        <v>0</v>
      </c>
      <c r="BB72" s="48" t="n">
        <f aca="false">0</f>
        <v>0</v>
      </c>
      <c r="BC72" s="48" t="n">
        <f aca="false">0</f>
        <v>0</v>
      </c>
      <c r="BD72" s="48" t="n">
        <f aca="false">0</f>
        <v>0</v>
      </c>
      <c r="BE72" s="48" t="n">
        <f aca="false">0</f>
        <v>0</v>
      </c>
      <c r="BF72" s="48" t="n">
        <f aca="false">0</f>
        <v>0</v>
      </c>
      <c r="BG72" s="48" t="n">
        <f aca="false">0</f>
        <v>0</v>
      </c>
      <c r="BH72" s="48" t="n">
        <f aca="false">0</f>
        <v>0</v>
      </c>
      <c r="BI72" s="48" t="n">
        <f aca="false">0</f>
        <v>0</v>
      </c>
      <c r="BJ72" s="48" t="n">
        <f aca="false">0</f>
        <v>0</v>
      </c>
      <c r="BK72" s="48" t="n">
        <f aca="false">0</f>
        <v>0</v>
      </c>
      <c r="BL72" s="48" t="n">
        <f aca="false">0</f>
        <v>0</v>
      </c>
      <c r="BM72" s="48" t="n">
        <f aca="false">0</f>
        <v>0</v>
      </c>
      <c r="BN72" s="48" t="n">
        <f aca="false">0</f>
        <v>0</v>
      </c>
      <c r="BO72" s="48" t="n">
        <f aca="false">0</f>
        <v>0</v>
      </c>
      <c r="BP72" s="48" t="n">
        <f aca="false">0</f>
        <v>0</v>
      </c>
      <c r="BQ72" s="48" t="n">
        <f aca="false">0</f>
        <v>0</v>
      </c>
      <c r="BR72" s="48" t="n">
        <f aca="false">0</f>
        <v>0</v>
      </c>
      <c r="BS72" s="48" t="n">
        <f aca="false">0</f>
        <v>0</v>
      </c>
      <c r="BT72" s="48" t="n">
        <f aca="false">0</f>
        <v>0</v>
      </c>
      <c r="BU72" s="48" t="n">
        <f aca="false">0</f>
        <v>0</v>
      </c>
      <c r="BV72" s="48" t="n">
        <f aca="false">0</f>
        <v>0</v>
      </c>
      <c r="BW72" s="48" t="n">
        <f aca="false">0</f>
        <v>0</v>
      </c>
      <c r="BX72" s="48" t="n">
        <f aca="false">0</f>
        <v>0</v>
      </c>
    </row>
    <row r="73" customFormat="false" ht="15" hidden="false" customHeight="false" outlineLevel="0" collapsed="false">
      <c r="A73" s="1"/>
      <c r="B73" s="8" t="s">
        <v>428</v>
      </c>
      <c r="C73" s="8" t="s">
        <v>126</v>
      </c>
      <c r="D73" s="44" t="n">
        <f aca="false">SUM(G73:BX73)</f>
        <v>135</v>
      </c>
      <c r="E73" s="1"/>
      <c r="F73" s="1"/>
      <c r="G73" s="48" t="n">
        <f aca="false">IF(G38=1,$D$14*$D$7*1000/1000000,0)</f>
        <v>0</v>
      </c>
      <c r="H73" s="48" t="n">
        <f aca="false">IF(H38=1,$D$14*$D$7*1000/1000000,0)</f>
        <v>0</v>
      </c>
      <c r="I73" s="48" t="n">
        <f aca="false">IF(I38=1,$D$14*$D$7*1000/1000000,0)</f>
        <v>0</v>
      </c>
      <c r="J73" s="48" t="n">
        <f aca="false">IF(J38=1,$D$14*$D$7*1000/1000000,0)</f>
        <v>0</v>
      </c>
      <c r="K73" s="48" t="n">
        <f aca="false">IF(K38=1,$D$14*$D$7*1000/1000000,0)</f>
        <v>5.4</v>
      </c>
      <c r="L73" s="48" t="n">
        <f aca="false">IF(L38=1,$D$14*$D$7*1000/1000000,0)</f>
        <v>5.4</v>
      </c>
      <c r="M73" s="48" t="n">
        <f aca="false">IF(M38=1,$D$14*$D$7*1000/1000000,0)</f>
        <v>5.4</v>
      </c>
      <c r="N73" s="48" t="n">
        <f aca="false">IF(N38=1,$D$14*$D$7*1000/1000000,0)</f>
        <v>5.4</v>
      </c>
      <c r="O73" s="48" t="n">
        <f aca="false">IF(O38=1,$D$14*$D$7*1000/1000000,0)</f>
        <v>5.4</v>
      </c>
      <c r="P73" s="48" t="n">
        <f aca="false">IF(P38=1,$D$14*$D$7*1000/1000000,0)</f>
        <v>5.4</v>
      </c>
      <c r="Q73" s="48" t="n">
        <f aca="false">IF(Q38=1,$D$14*$D$7*1000/1000000,0)</f>
        <v>5.4</v>
      </c>
      <c r="R73" s="48" t="n">
        <f aca="false">IF(R38=1,$D$14*$D$7*1000/1000000,0)</f>
        <v>5.4</v>
      </c>
      <c r="S73" s="48" t="n">
        <f aca="false">IF(S38=1,$D$14*$D$7*1000/1000000,0)</f>
        <v>5.4</v>
      </c>
      <c r="T73" s="48" t="n">
        <f aca="false">IF(T38=1,$D$14*$D$7*1000/1000000,0)</f>
        <v>5.4</v>
      </c>
      <c r="U73" s="48" t="n">
        <f aca="false">IF(U38=1,$D$14*$D$7*1000/1000000,0)</f>
        <v>5.4</v>
      </c>
      <c r="V73" s="48" t="n">
        <f aca="false">IF(V38=1,$D$14*$D$7*1000/1000000,0)</f>
        <v>5.4</v>
      </c>
      <c r="W73" s="48" t="n">
        <f aca="false">IF(W38=1,$D$14*$D$7*1000/1000000,0)</f>
        <v>5.4</v>
      </c>
      <c r="X73" s="48" t="n">
        <f aca="false">IF(X38=1,$D$14*$D$7*1000/1000000,0)</f>
        <v>5.4</v>
      </c>
      <c r="Y73" s="48" t="n">
        <f aca="false">IF(Y38=1,$D$14*$D$7*1000/1000000,0)</f>
        <v>5.4</v>
      </c>
      <c r="Z73" s="48" t="n">
        <f aca="false">IF(Z38=1,$D$14*$D$7*1000/1000000,0)</f>
        <v>5.4</v>
      </c>
      <c r="AA73" s="48" t="n">
        <f aca="false">IF(AA38=1,$D$14*$D$7*1000/1000000,0)</f>
        <v>5.4</v>
      </c>
      <c r="AB73" s="48" t="n">
        <f aca="false">IF(AB38=1,$D$14*$D$7*1000/1000000,0)</f>
        <v>5.4</v>
      </c>
      <c r="AC73" s="48" t="n">
        <f aca="false">IF(AC38=1,$D$14*$D$7*1000/1000000,0)</f>
        <v>5.4</v>
      </c>
      <c r="AD73" s="48" t="n">
        <f aca="false">IF(AD38=1,$D$14*$D$7*1000/1000000,0)</f>
        <v>5.4</v>
      </c>
      <c r="AE73" s="48" t="n">
        <f aca="false">IF(AE38=1,$D$14*$D$7*1000/1000000,0)</f>
        <v>5.4</v>
      </c>
      <c r="AF73" s="48" t="n">
        <f aca="false">IF(AF38=1,$D$14*$D$7*1000/1000000,0)</f>
        <v>5.4</v>
      </c>
      <c r="AG73" s="48" t="n">
        <f aca="false">IF(AG38=1,$D$14*$D$7*1000/1000000,0)</f>
        <v>5.4</v>
      </c>
      <c r="AH73" s="48" t="n">
        <f aca="false">IF(AH38=1,$D$14*$D$7*1000/1000000,0)</f>
        <v>5.4</v>
      </c>
      <c r="AI73" s="48" t="n">
        <f aca="false">IF(AI38=1,$D$14*$D$7*1000/1000000,0)</f>
        <v>5.4</v>
      </c>
      <c r="AJ73" s="48" t="n">
        <f aca="false">IF(AJ38=1,$D$14*$D$7*1000/1000000,0)</f>
        <v>0</v>
      </c>
      <c r="AK73" s="48" t="n">
        <f aca="false">IF(AK38=1,$D$14*$D$7*1000/1000000,0)</f>
        <v>0</v>
      </c>
      <c r="AL73" s="48" t="n">
        <f aca="false">IF(AL38=1,$D$14*$D$7*1000/1000000,0)</f>
        <v>0</v>
      </c>
      <c r="AM73" s="48" t="n">
        <f aca="false">IF(AM38=1,$D$14*$D$7*1000/1000000,0)</f>
        <v>0</v>
      </c>
      <c r="AN73" s="48" t="n">
        <f aca="false">IF(AN38=1,$D$14*$D$7*1000/1000000,0)</f>
        <v>0</v>
      </c>
      <c r="AO73" s="48" t="n">
        <f aca="false">IF(AO38=1,$D$14*$D$7*1000/1000000,0)</f>
        <v>0</v>
      </c>
      <c r="AP73" s="48" t="n">
        <f aca="false">IF(AP38=1,$D$14*$D$7*1000/1000000,0)</f>
        <v>0</v>
      </c>
      <c r="AQ73" s="48" t="n">
        <f aca="false">IF(AQ38=1,$D$14*$D$7*1000/1000000,0)</f>
        <v>0</v>
      </c>
      <c r="AR73" s="48" t="n">
        <f aca="false">IF(AR38=1,$D$14*$D$7*1000/1000000,0)</f>
        <v>0</v>
      </c>
      <c r="AS73" s="48" t="n">
        <f aca="false">IF(AS38=1,$D$14*$D$7*1000/1000000,0)</f>
        <v>0</v>
      </c>
      <c r="AT73" s="48" t="n">
        <f aca="false">IF(AT38=1,$D$14*$D$7*1000/1000000,0)</f>
        <v>0</v>
      </c>
      <c r="AU73" s="48" t="n">
        <f aca="false">IF(AU38=1,$D$14*$D$7*1000/1000000,0)</f>
        <v>0</v>
      </c>
      <c r="AV73" s="48" t="n">
        <f aca="false">IF(AV38=1,$D$14*$D$7*1000/1000000,0)</f>
        <v>0</v>
      </c>
      <c r="AW73" s="48" t="n">
        <f aca="false">IF(AW38=1,$D$14*$D$7*1000/1000000,0)</f>
        <v>0</v>
      </c>
      <c r="AX73" s="48" t="n">
        <f aca="false">IF(AX38=1,$D$14*$D$7*1000/1000000,0)</f>
        <v>0</v>
      </c>
      <c r="AY73" s="48" t="n">
        <f aca="false">IF(AY38=1,$D$14*$D$7*1000/1000000,0)</f>
        <v>0</v>
      </c>
      <c r="AZ73" s="48" t="n">
        <f aca="false">IF(AZ38=1,$D$14*$D$7*1000/1000000,0)</f>
        <v>0</v>
      </c>
      <c r="BA73" s="48" t="n">
        <f aca="false">IF(BA38=1,$D$14*$D$7*1000/1000000,0)</f>
        <v>0</v>
      </c>
      <c r="BB73" s="48" t="n">
        <f aca="false">IF(BB38=1,$D$14*$D$7*1000/1000000,0)</f>
        <v>0</v>
      </c>
      <c r="BC73" s="48" t="n">
        <f aca="false">IF(BC38=1,$D$14*$D$7*1000/1000000,0)</f>
        <v>0</v>
      </c>
      <c r="BD73" s="48" t="n">
        <f aca="false">IF(BD38=1,$D$14*$D$7*1000/1000000,0)</f>
        <v>0</v>
      </c>
      <c r="BE73" s="48" t="n">
        <f aca="false">IF(BE38=1,$D$14*$D$7*1000/1000000,0)</f>
        <v>0</v>
      </c>
      <c r="BF73" s="48" t="n">
        <f aca="false">IF(BF38=1,$D$14*$D$7*1000/1000000,0)</f>
        <v>0</v>
      </c>
      <c r="BG73" s="48" t="n">
        <f aca="false">IF(BG38=1,$D$14*$D$7*1000/1000000,0)</f>
        <v>0</v>
      </c>
      <c r="BH73" s="48" t="n">
        <f aca="false">IF(BH38=1,$D$14*$D$7*1000/1000000,0)</f>
        <v>0</v>
      </c>
      <c r="BI73" s="48" t="n">
        <f aca="false">IF(BI38=1,$D$14*$D$7*1000/1000000,0)</f>
        <v>0</v>
      </c>
      <c r="BJ73" s="48" t="n">
        <f aca="false">IF(BJ38=1,$D$14*$D$7*1000/1000000,0)</f>
        <v>0</v>
      </c>
      <c r="BK73" s="48" t="n">
        <f aca="false">IF(BK38=1,$D$14*$D$7*1000/1000000,0)</f>
        <v>0</v>
      </c>
      <c r="BL73" s="48" t="n">
        <f aca="false">IF(BL38=1,$D$14*$D$7*1000/1000000,0)</f>
        <v>0</v>
      </c>
      <c r="BM73" s="48" t="n">
        <f aca="false">IF(BM38=1,$D$14*$D$7*1000/1000000,0)</f>
        <v>0</v>
      </c>
      <c r="BN73" s="48" t="n">
        <f aca="false">IF(BN38=1,$D$14*$D$7*1000/1000000,0)</f>
        <v>0</v>
      </c>
      <c r="BO73" s="48" t="n">
        <f aca="false">IF(BO38=1,$D$14*$D$7*1000/1000000,0)</f>
        <v>0</v>
      </c>
      <c r="BP73" s="48" t="n">
        <f aca="false">IF(BP38=1,$D$14*$D$7*1000/1000000,0)</f>
        <v>0</v>
      </c>
      <c r="BQ73" s="48" t="n">
        <f aca="false">IF(BQ38=1,$D$14*$D$7*1000/1000000,0)</f>
        <v>0</v>
      </c>
      <c r="BR73" s="48" t="n">
        <f aca="false">IF(BR38=1,$D$14*$D$7*1000/1000000,0)</f>
        <v>0</v>
      </c>
      <c r="BS73" s="48" t="n">
        <f aca="false">IF(BS38=1,$D$14*$D$7*1000/1000000,0)</f>
        <v>0</v>
      </c>
      <c r="BT73" s="48" t="n">
        <f aca="false">IF(BT38=1,$D$14*$D$7*1000/1000000,0)</f>
        <v>0</v>
      </c>
      <c r="BU73" s="48" t="n">
        <f aca="false">IF(BU38=1,$D$14*$D$7*1000/1000000,0)</f>
        <v>0</v>
      </c>
      <c r="BV73" s="48" t="n">
        <f aca="false">IF(BV38=1,$D$14*$D$7*1000/1000000,0)</f>
        <v>0</v>
      </c>
      <c r="BW73" s="48" t="n">
        <f aca="false">IF(BW38=1,$D$14*$D$7*1000/1000000,0)</f>
        <v>0</v>
      </c>
      <c r="BX73" s="48" t="n">
        <f aca="false">IF(BX38=1,$D$14*$D$7*1000/1000000,0)</f>
        <v>0</v>
      </c>
    </row>
    <row r="74" customFormat="false" ht="15" hidden="false" customHeight="false" outlineLevel="0" collapsed="false">
      <c r="A74" s="1"/>
      <c r="B74" s="8" t="s">
        <v>339</v>
      </c>
      <c r="C74" s="8" t="s">
        <v>126</v>
      </c>
      <c r="D74" s="44" t="n">
        <f aca="false">SUM(G74:BX74)</f>
        <v>75</v>
      </c>
      <c r="E74" s="1"/>
      <c r="F74" s="1"/>
      <c r="G74" s="48" t="n">
        <f aca="false">IF(G38=1,$D$19*$D$20/1000,0)</f>
        <v>0</v>
      </c>
      <c r="H74" s="48" t="n">
        <f aca="false">IF(H38=1,$D$19*$D$20/1000,0)</f>
        <v>0</v>
      </c>
      <c r="I74" s="48" t="n">
        <f aca="false">IF(I38=1,$D$19*$D$20/1000,0)</f>
        <v>0</v>
      </c>
      <c r="J74" s="48" t="n">
        <f aca="false">IF(J38=1,$D$19*$D$20/1000,0)</f>
        <v>0</v>
      </c>
      <c r="K74" s="48" t="n">
        <f aca="false">IF(K38=1,$D$19*$D$20/1000,0)</f>
        <v>3</v>
      </c>
      <c r="L74" s="48" t="n">
        <f aca="false">IF(L38=1,$D$19*$D$20/1000,0)</f>
        <v>3</v>
      </c>
      <c r="M74" s="48" t="n">
        <f aca="false">IF(M38=1,$D$19*$D$20/1000,0)</f>
        <v>3</v>
      </c>
      <c r="N74" s="48" t="n">
        <f aca="false">IF(N38=1,$D$19*$D$20/1000,0)</f>
        <v>3</v>
      </c>
      <c r="O74" s="48" t="n">
        <f aca="false">IF(O38=1,$D$19*$D$20/1000,0)</f>
        <v>3</v>
      </c>
      <c r="P74" s="48" t="n">
        <f aca="false">IF(P38=1,$D$19*$D$20/1000,0)</f>
        <v>3</v>
      </c>
      <c r="Q74" s="48" t="n">
        <f aca="false">IF(Q38=1,$D$19*$D$20/1000,0)</f>
        <v>3</v>
      </c>
      <c r="R74" s="48" t="n">
        <f aca="false">IF(R38=1,$D$19*$D$20/1000,0)</f>
        <v>3</v>
      </c>
      <c r="S74" s="48" t="n">
        <f aca="false">IF(S38=1,$D$19*$D$20/1000,0)</f>
        <v>3</v>
      </c>
      <c r="T74" s="48" t="n">
        <f aca="false">IF(T38=1,$D$19*$D$20/1000,0)</f>
        <v>3</v>
      </c>
      <c r="U74" s="48" t="n">
        <f aca="false">IF(U38=1,$D$19*$D$20/1000,0)</f>
        <v>3</v>
      </c>
      <c r="V74" s="48" t="n">
        <f aca="false">IF(V38=1,$D$19*$D$20/1000,0)</f>
        <v>3</v>
      </c>
      <c r="W74" s="48" t="n">
        <f aca="false">IF(W38=1,$D$19*$D$20/1000,0)</f>
        <v>3</v>
      </c>
      <c r="X74" s="48" t="n">
        <f aca="false">IF(X38=1,$D$19*$D$20/1000,0)</f>
        <v>3</v>
      </c>
      <c r="Y74" s="48" t="n">
        <f aca="false">IF(Y38=1,$D$19*$D$20/1000,0)</f>
        <v>3</v>
      </c>
      <c r="Z74" s="48" t="n">
        <f aca="false">IF(Z38=1,$D$19*$D$20/1000,0)</f>
        <v>3</v>
      </c>
      <c r="AA74" s="48" t="n">
        <f aca="false">IF(AA38=1,$D$19*$D$20/1000,0)</f>
        <v>3</v>
      </c>
      <c r="AB74" s="48" t="n">
        <f aca="false">IF(AB38=1,$D$19*$D$20/1000,0)</f>
        <v>3</v>
      </c>
      <c r="AC74" s="48" t="n">
        <f aca="false">IF(AC38=1,$D$19*$D$20/1000,0)</f>
        <v>3</v>
      </c>
      <c r="AD74" s="48" t="n">
        <f aca="false">IF(AD38=1,$D$19*$D$20/1000,0)</f>
        <v>3</v>
      </c>
      <c r="AE74" s="48" t="n">
        <f aca="false">IF(AE38=1,$D$19*$D$20/1000,0)</f>
        <v>3</v>
      </c>
      <c r="AF74" s="48" t="n">
        <f aca="false">IF(AF38=1,$D$19*$D$20/1000,0)</f>
        <v>3</v>
      </c>
      <c r="AG74" s="48" t="n">
        <f aca="false">IF(AG38=1,$D$19*$D$20/1000,0)</f>
        <v>3</v>
      </c>
      <c r="AH74" s="48" t="n">
        <f aca="false">IF(AH38=1,$D$19*$D$20/1000,0)</f>
        <v>3</v>
      </c>
      <c r="AI74" s="48" t="n">
        <f aca="false">IF(AI38=1,$D$19*$D$20/1000,0)</f>
        <v>3</v>
      </c>
      <c r="AJ74" s="48" t="n">
        <f aca="false">IF(AJ38=1,$D$19*$D$20/1000,0)</f>
        <v>0</v>
      </c>
      <c r="AK74" s="48" t="n">
        <f aca="false">IF(AK38=1,$D$19*$D$20/1000,0)</f>
        <v>0</v>
      </c>
      <c r="AL74" s="48" t="n">
        <f aca="false">IF(AL38=1,$D$19*$D$20/1000,0)</f>
        <v>0</v>
      </c>
      <c r="AM74" s="48" t="n">
        <f aca="false">IF(AM38=1,$D$19*$D$20/1000,0)</f>
        <v>0</v>
      </c>
      <c r="AN74" s="48" t="n">
        <f aca="false">IF(AN38=1,$D$19*$D$20/1000,0)</f>
        <v>0</v>
      </c>
      <c r="AO74" s="48" t="n">
        <f aca="false">IF(AO38=1,$D$19*$D$20/1000,0)</f>
        <v>0</v>
      </c>
      <c r="AP74" s="48" t="n">
        <f aca="false">IF(AP38=1,$D$19*$D$20/1000,0)</f>
        <v>0</v>
      </c>
      <c r="AQ74" s="48" t="n">
        <f aca="false">IF(AQ38=1,$D$19*$D$20/1000,0)</f>
        <v>0</v>
      </c>
      <c r="AR74" s="48" t="n">
        <f aca="false">IF(AR38=1,$D$19*$D$20/1000,0)</f>
        <v>0</v>
      </c>
      <c r="AS74" s="48" t="n">
        <f aca="false">IF(AS38=1,$D$19*$D$20/1000,0)</f>
        <v>0</v>
      </c>
      <c r="AT74" s="48" t="n">
        <f aca="false">IF(AT38=1,$D$19*$D$20/1000,0)</f>
        <v>0</v>
      </c>
      <c r="AU74" s="48" t="n">
        <f aca="false">IF(AU38=1,$D$19*$D$20/1000,0)</f>
        <v>0</v>
      </c>
      <c r="AV74" s="48" t="n">
        <f aca="false">IF(AV38=1,$D$19*$D$20/1000,0)</f>
        <v>0</v>
      </c>
      <c r="AW74" s="48" t="n">
        <f aca="false">IF(AW38=1,$D$19*$D$20/1000,0)</f>
        <v>0</v>
      </c>
      <c r="AX74" s="48" t="n">
        <f aca="false">IF(AX38=1,$D$19*$D$20/1000,0)</f>
        <v>0</v>
      </c>
      <c r="AY74" s="48" t="n">
        <f aca="false">IF(AY38=1,$D$19*$D$20/1000,0)</f>
        <v>0</v>
      </c>
      <c r="AZ74" s="48" t="n">
        <f aca="false">IF(AZ38=1,$D$19*$D$20/1000,0)</f>
        <v>0</v>
      </c>
      <c r="BA74" s="48" t="n">
        <f aca="false">IF(BA38=1,$D$19*$D$20/1000,0)</f>
        <v>0</v>
      </c>
      <c r="BB74" s="48" t="n">
        <f aca="false">IF(BB38=1,$D$19*$D$20/1000,0)</f>
        <v>0</v>
      </c>
      <c r="BC74" s="48" t="n">
        <f aca="false">IF(BC38=1,$D$19*$D$20/1000,0)</f>
        <v>0</v>
      </c>
      <c r="BD74" s="48" t="n">
        <f aca="false">IF(BD38=1,$D$19*$D$20/1000,0)</f>
        <v>0</v>
      </c>
      <c r="BE74" s="48" t="n">
        <f aca="false">IF(BE38=1,$D$19*$D$20/1000,0)</f>
        <v>0</v>
      </c>
      <c r="BF74" s="48" t="n">
        <f aca="false">IF(BF38=1,$D$19*$D$20/1000,0)</f>
        <v>0</v>
      </c>
      <c r="BG74" s="48" t="n">
        <f aca="false">IF(BG38=1,$D$19*$D$20/1000,0)</f>
        <v>0</v>
      </c>
      <c r="BH74" s="48" t="n">
        <f aca="false">IF(BH38=1,$D$19*$D$20/1000,0)</f>
        <v>0</v>
      </c>
      <c r="BI74" s="48" t="n">
        <f aca="false">IF(BI38=1,$D$19*$D$20/1000,0)</f>
        <v>0</v>
      </c>
      <c r="BJ74" s="48" t="n">
        <f aca="false">IF(BJ38=1,$D$19*$D$20/1000,0)</f>
        <v>0</v>
      </c>
      <c r="BK74" s="48" t="n">
        <f aca="false">IF(BK38=1,$D$19*$D$20/1000,0)</f>
        <v>0</v>
      </c>
      <c r="BL74" s="48" t="n">
        <f aca="false">IF(BL38=1,$D$19*$D$20/1000,0)</f>
        <v>0</v>
      </c>
      <c r="BM74" s="48" t="n">
        <f aca="false">IF(BM38=1,$D$19*$D$20/1000,0)</f>
        <v>0</v>
      </c>
      <c r="BN74" s="48" t="n">
        <f aca="false">IF(BN38=1,$D$19*$D$20/1000,0)</f>
        <v>0</v>
      </c>
      <c r="BO74" s="48" t="n">
        <f aca="false">IF(BO38=1,$D$19*$D$20/1000,0)</f>
        <v>0</v>
      </c>
      <c r="BP74" s="48" t="n">
        <f aca="false">IF(BP38=1,$D$19*$D$20/1000,0)</f>
        <v>0</v>
      </c>
      <c r="BQ74" s="48" t="n">
        <f aca="false">IF(BQ38=1,$D$19*$D$20/1000,0)</f>
        <v>0</v>
      </c>
      <c r="BR74" s="48" t="n">
        <f aca="false">IF(BR38=1,$D$19*$D$20/1000,0)</f>
        <v>0</v>
      </c>
      <c r="BS74" s="48" t="n">
        <f aca="false">IF(BS38=1,$D$19*$D$20/1000,0)</f>
        <v>0</v>
      </c>
      <c r="BT74" s="48" t="n">
        <f aca="false">IF(BT38=1,$D$19*$D$20/1000,0)</f>
        <v>0</v>
      </c>
      <c r="BU74" s="48" t="n">
        <f aca="false">IF(BU38=1,$D$19*$D$20/1000,0)</f>
        <v>0</v>
      </c>
      <c r="BV74" s="48" t="n">
        <f aca="false">IF(BV38=1,$D$19*$D$20/1000,0)</f>
        <v>0</v>
      </c>
      <c r="BW74" s="48" t="n">
        <f aca="false">IF(BW38=1,$D$19*$D$20/1000,0)</f>
        <v>0</v>
      </c>
      <c r="BX74" s="48" t="n">
        <f aca="false">IF(BX38=1,$D$19*$D$20/1000,0)</f>
        <v>0</v>
      </c>
    </row>
    <row r="75" customFormat="false" ht="15" hidden="false" customHeight="false" outlineLevel="0" collapsed="false">
      <c r="A75" s="1"/>
      <c r="B75" s="8" t="s">
        <v>340</v>
      </c>
      <c r="C75" s="8" t="s">
        <v>126</v>
      </c>
      <c r="D75" s="44" t="n">
        <f aca="false">SUM(G75:BX75)</f>
        <v>0</v>
      </c>
      <c r="E75" s="1"/>
      <c r="F75" s="1"/>
      <c r="G75" s="48" t="n">
        <f aca="false">0</f>
        <v>0</v>
      </c>
      <c r="H75" s="48" t="n">
        <f aca="false">0</f>
        <v>0</v>
      </c>
      <c r="I75" s="48" t="n">
        <f aca="false">0</f>
        <v>0</v>
      </c>
      <c r="J75" s="48" t="n">
        <f aca="false">0</f>
        <v>0</v>
      </c>
      <c r="K75" s="48" t="n">
        <f aca="false">0</f>
        <v>0</v>
      </c>
      <c r="L75" s="48" t="n">
        <f aca="false">0</f>
        <v>0</v>
      </c>
      <c r="M75" s="48" t="n">
        <f aca="false">0</f>
        <v>0</v>
      </c>
      <c r="N75" s="48" t="n">
        <f aca="false">0</f>
        <v>0</v>
      </c>
      <c r="O75" s="48" t="n">
        <f aca="false">0</f>
        <v>0</v>
      </c>
      <c r="P75" s="48" t="n">
        <f aca="false">0</f>
        <v>0</v>
      </c>
      <c r="Q75" s="48" t="n">
        <f aca="false">0</f>
        <v>0</v>
      </c>
      <c r="R75" s="48" t="n">
        <f aca="false">0</f>
        <v>0</v>
      </c>
      <c r="S75" s="48" t="n">
        <f aca="false">0</f>
        <v>0</v>
      </c>
      <c r="T75" s="48" t="n">
        <f aca="false">0</f>
        <v>0</v>
      </c>
      <c r="U75" s="48" t="n">
        <f aca="false">0</f>
        <v>0</v>
      </c>
      <c r="V75" s="48" t="n">
        <f aca="false">0</f>
        <v>0</v>
      </c>
      <c r="W75" s="48" t="n">
        <f aca="false">0</f>
        <v>0</v>
      </c>
      <c r="X75" s="48" t="n">
        <f aca="false">0</f>
        <v>0</v>
      </c>
      <c r="Y75" s="48" t="n">
        <f aca="false">0</f>
        <v>0</v>
      </c>
      <c r="Z75" s="48" t="n">
        <f aca="false">0</f>
        <v>0</v>
      </c>
      <c r="AA75" s="48" t="n">
        <f aca="false">0</f>
        <v>0</v>
      </c>
      <c r="AB75" s="48" t="n">
        <f aca="false">0</f>
        <v>0</v>
      </c>
      <c r="AC75" s="48" t="n">
        <f aca="false">0</f>
        <v>0</v>
      </c>
      <c r="AD75" s="48" t="n">
        <f aca="false">0</f>
        <v>0</v>
      </c>
      <c r="AE75" s="48" t="n">
        <f aca="false">0</f>
        <v>0</v>
      </c>
      <c r="AF75" s="48" t="n">
        <f aca="false">0</f>
        <v>0</v>
      </c>
      <c r="AG75" s="48" t="n">
        <f aca="false">0</f>
        <v>0</v>
      </c>
      <c r="AH75" s="48" t="n">
        <f aca="false">0</f>
        <v>0</v>
      </c>
      <c r="AI75" s="48" t="n">
        <f aca="false">0</f>
        <v>0</v>
      </c>
      <c r="AJ75" s="48" t="n">
        <f aca="false">0</f>
        <v>0</v>
      </c>
      <c r="AK75" s="48" t="n">
        <f aca="false">0</f>
        <v>0</v>
      </c>
      <c r="AL75" s="48" t="n">
        <f aca="false">0</f>
        <v>0</v>
      </c>
      <c r="AM75" s="48" t="n">
        <f aca="false">0</f>
        <v>0</v>
      </c>
      <c r="AN75" s="48" t="n">
        <f aca="false">0</f>
        <v>0</v>
      </c>
      <c r="AO75" s="48" t="n">
        <f aca="false">0</f>
        <v>0</v>
      </c>
      <c r="AP75" s="48" t="n">
        <f aca="false">0</f>
        <v>0</v>
      </c>
      <c r="AQ75" s="48" t="n">
        <f aca="false">0</f>
        <v>0</v>
      </c>
      <c r="AR75" s="48" t="n">
        <f aca="false">0</f>
        <v>0</v>
      </c>
      <c r="AS75" s="48" t="n">
        <f aca="false">0</f>
        <v>0</v>
      </c>
      <c r="AT75" s="48" t="n">
        <f aca="false">0</f>
        <v>0</v>
      </c>
      <c r="AU75" s="48" t="n">
        <f aca="false">0</f>
        <v>0</v>
      </c>
      <c r="AV75" s="48" t="n">
        <f aca="false">0</f>
        <v>0</v>
      </c>
      <c r="AW75" s="48" t="n">
        <f aca="false">0</f>
        <v>0</v>
      </c>
      <c r="AX75" s="48" t="n">
        <f aca="false">0</f>
        <v>0</v>
      </c>
      <c r="AY75" s="48" t="n">
        <f aca="false">0</f>
        <v>0</v>
      </c>
      <c r="AZ75" s="48" t="n">
        <f aca="false">0</f>
        <v>0</v>
      </c>
      <c r="BA75" s="48" t="n">
        <f aca="false">0</f>
        <v>0</v>
      </c>
      <c r="BB75" s="48" t="n">
        <f aca="false">0</f>
        <v>0</v>
      </c>
      <c r="BC75" s="48" t="n">
        <f aca="false">0</f>
        <v>0</v>
      </c>
      <c r="BD75" s="48" t="n">
        <f aca="false">0</f>
        <v>0</v>
      </c>
      <c r="BE75" s="48" t="n">
        <f aca="false">0</f>
        <v>0</v>
      </c>
      <c r="BF75" s="48" t="n">
        <f aca="false">0</f>
        <v>0</v>
      </c>
      <c r="BG75" s="48" t="n">
        <f aca="false">0</f>
        <v>0</v>
      </c>
      <c r="BH75" s="48" t="n">
        <f aca="false">0</f>
        <v>0</v>
      </c>
      <c r="BI75" s="48" t="n">
        <f aca="false">0</f>
        <v>0</v>
      </c>
      <c r="BJ75" s="48" t="n">
        <f aca="false">0</f>
        <v>0</v>
      </c>
      <c r="BK75" s="48" t="n">
        <f aca="false">0</f>
        <v>0</v>
      </c>
      <c r="BL75" s="48" t="n">
        <f aca="false">0</f>
        <v>0</v>
      </c>
      <c r="BM75" s="48" t="n">
        <f aca="false">0</f>
        <v>0</v>
      </c>
      <c r="BN75" s="48" t="n">
        <f aca="false">0</f>
        <v>0</v>
      </c>
      <c r="BO75" s="48" t="n">
        <f aca="false">0</f>
        <v>0</v>
      </c>
      <c r="BP75" s="48" t="n">
        <f aca="false">0</f>
        <v>0</v>
      </c>
      <c r="BQ75" s="48" t="n">
        <f aca="false">0</f>
        <v>0</v>
      </c>
      <c r="BR75" s="48" t="n">
        <f aca="false">0</f>
        <v>0</v>
      </c>
      <c r="BS75" s="48" t="n">
        <f aca="false">0</f>
        <v>0</v>
      </c>
      <c r="BT75" s="48" t="n">
        <f aca="false">0</f>
        <v>0</v>
      </c>
      <c r="BU75" s="48" t="n">
        <f aca="false">0</f>
        <v>0</v>
      </c>
      <c r="BV75" s="48" t="n">
        <f aca="false">0</f>
        <v>0</v>
      </c>
      <c r="BW75" s="48" t="n">
        <f aca="false">0</f>
        <v>0</v>
      </c>
      <c r="BX75" s="48" t="n">
        <f aca="false">0</f>
        <v>0</v>
      </c>
    </row>
    <row r="76" customFormat="false" ht="15" hidden="false" customHeight="false" outlineLevel="0" collapsed="false">
      <c r="A76" s="1"/>
      <c r="B76" s="8" t="s">
        <v>429</v>
      </c>
      <c r="C76" s="8" t="s">
        <v>126</v>
      </c>
      <c r="D76" s="44" t="n">
        <f aca="false">SUM(G76:BX76)</f>
        <v>63</v>
      </c>
      <c r="E76" s="1"/>
      <c r="F76" s="1"/>
      <c r="G76" s="48" t="n">
        <f aca="false">IF(G38=1,$D$27*$D$7*1000/1000000,0)</f>
        <v>0</v>
      </c>
      <c r="H76" s="48" t="n">
        <f aca="false">IF(H38=1,$D$27*$D$7*1000/1000000,0)</f>
        <v>0</v>
      </c>
      <c r="I76" s="48" t="n">
        <f aca="false">IF(I38=1,$D$27*$D$7*1000/1000000,0)</f>
        <v>0</v>
      </c>
      <c r="J76" s="48" t="n">
        <f aca="false">IF(J38=1,$D$27*$D$7*1000/1000000,0)</f>
        <v>0</v>
      </c>
      <c r="K76" s="48" t="n">
        <f aca="false">IF(K38=1,$D$27*$D$7*1000/1000000,0)</f>
        <v>2.52</v>
      </c>
      <c r="L76" s="48" t="n">
        <f aca="false">IF(L38=1,$D$27*$D$7*1000/1000000,0)</f>
        <v>2.52</v>
      </c>
      <c r="M76" s="48" t="n">
        <f aca="false">IF(M38=1,$D$27*$D$7*1000/1000000,0)</f>
        <v>2.52</v>
      </c>
      <c r="N76" s="48" t="n">
        <f aca="false">IF(N38=1,$D$27*$D$7*1000/1000000,0)</f>
        <v>2.52</v>
      </c>
      <c r="O76" s="48" t="n">
        <f aca="false">IF(O38=1,$D$27*$D$7*1000/1000000,0)</f>
        <v>2.52</v>
      </c>
      <c r="P76" s="48" t="n">
        <f aca="false">IF(P38=1,$D$27*$D$7*1000/1000000,0)</f>
        <v>2.52</v>
      </c>
      <c r="Q76" s="48" t="n">
        <f aca="false">IF(Q38=1,$D$27*$D$7*1000/1000000,0)</f>
        <v>2.52</v>
      </c>
      <c r="R76" s="48" t="n">
        <f aca="false">IF(R38=1,$D$27*$D$7*1000/1000000,0)</f>
        <v>2.52</v>
      </c>
      <c r="S76" s="48" t="n">
        <f aca="false">IF(S38=1,$D$27*$D$7*1000/1000000,0)</f>
        <v>2.52</v>
      </c>
      <c r="T76" s="48" t="n">
        <f aca="false">IF(T38=1,$D$27*$D$7*1000/1000000,0)</f>
        <v>2.52</v>
      </c>
      <c r="U76" s="48" t="n">
        <f aca="false">IF(U38=1,$D$27*$D$7*1000/1000000,0)</f>
        <v>2.52</v>
      </c>
      <c r="V76" s="48" t="n">
        <f aca="false">IF(V38=1,$D$27*$D$7*1000/1000000,0)</f>
        <v>2.52</v>
      </c>
      <c r="W76" s="48" t="n">
        <f aca="false">IF(W38=1,$D$27*$D$7*1000/1000000,0)</f>
        <v>2.52</v>
      </c>
      <c r="X76" s="48" t="n">
        <f aca="false">IF(X38=1,$D$27*$D$7*1000/1000000,0)</f>
        <v>2.52</v>
      </c>
      <c r="Y76" s="48" t="n">
        <f aca="false">IF(Y38=1,$D$27*$D$7*1000/1000000,0)</f>
        <v>2.52</v>
      </c>
      <c r="Z76" s="48" t="n">
        <f aca="false">IF(Z38=1,$D$27*$D$7*1000/1000000,0)</f>
        <v>2.52</v>
      </c>
      <c r="AA76" s="48" t="n">
        <f aca="false">IF(AA38=1,$D$27*$D$7*1000/1000000,0)</f>
        <v>2.52</v>
      </c>
      <c r="AB76" s="48" t="n">
        <f aca="false">IF(AB38=1,$D$27*$D$7*1000/1000000,0)</f>
        <v>2.52</v>
      </c>
      <c r="AC76" s="48" t="n">
        <f aca="false">IF(AC38=1,$D$27*$D$7*1000/1000000,0)</f>
        <v>2.52</v>
      </c>
      <c r="AD76" s="48" t="n">
        <f aca="false">IF(AD38=1,$D$27*$D$7*1000/1000000,0)</f>
        <v>2.52</v>
      </c>
      <c r="AE76" s="48" t="n">
        <f aca="false">IF(AE38=1,$D$27*$D$7*1000/1000000,0)</f>
        <v>2.52</v>
      </c>
      <c r="AF76" s="48" t="n">
        <f aca="false">IF(AF38=1,$D$27*$D$7*1000/1000000,0)</f>
        <v>2.52</v>
      </c>
      <c r="AG76" s="48" t="n">
        <f aca="false">IF(AG38=1,$D$27*$D$7*1000/1000000,0)</f>
        <v>2.52</v>
      </c>
      <c r="AH76" s="48" t="n">
        <f aca="false">IF(AH38=1,$D$27*$D$7*1000/1000000,0)</f>
        <v>2.52</v>
      </c>
      <c r="AI76" s="48" t="n">
        <f aca="false">IF(AI38=1,$D$27*$D$7*1000/1000000,0)</f>
        <v>2.52</v>
      </c>
      <c r="AJ76" s="48" t="n">
        <f aca="false">IF(AJ38=1,$D$27*$D$7*1000/1000000,0)</f>
        <v>0</v>
      </c>
      <c r="AK76" s="48" t="n">
        <f aca="false">IF(AK38=1,$D$27*$D$7*1000/1000000,0)</f>
        <v>0</v>
      </c>
      <c r="AL76" s="48" t="n">
        <f aca="false">IF(AL38=1,$D$27*$D$7*1000/1000000,0)</f>
        <v>0</v>
      </c>
      <c r="AM76" s="48" t="n">
        <f aca="false">IF(AM38=1,$D$27*$D$7*1000/1000000,0)</f>
        <v>0</v>
      </c>
      <c r="AN76" s="48" t="n">
        <f aca="false">IF(AN38=1,$D$27*$D$7*1000/1000000,0)</f>
        <v>0</v>
      </c>
      <c r="AO76" s="48" t="n">
        <f aca="false">IF(AO38=1,$D$27*$D$7*1000/1000000,0)</f>
        <v>0</v>
      </c>
      <c r="AP76" s="48" t="n">
        <f aca="false">IF(AP38=1,$D$27*$D$7*1000/1000000,0)</f>
        <v>0</v>
      </c>
      <c r="AQ76" s="48" t="n">
        <f aca="false">IF(AQ38=1,$D$27*$D$7*1000/1000000,0)</f>
        <v>0</v>
      </c>
      <c r="AR76" s="48" t="n">
        <f aca="false">IF(AR38=1,$D$27*$D$7*1000/1000000,0)</f>
        <v>0</v>
      </c>
      <c r="AS76" s="48" t="n">
        <f aca="false">IF(AS38=1,$D$27*$D$7*1000/1000000,0)</f>
        <v>0</v>
      </c>
      <c r="AT76" s="48" t="n">
        <f aca="false">IF(AT38=1,$D$27*$D$7*1000/1000000,0)</f>
        <v>0</v>
      </c>
      <c r="AU76" s="48" t="n">
        <f aca="false">IF(AU38=1,$D$27*$D$7*1000/1000000,0)</f>
        <v>0</v>
      </c>
      <c r="AV76" s="48" t="n">
        <f aca="false">IF(AV38=1,$D$27*$D$7*1000/1000000,0)</f>
        <v>0</v>
      </c>
      <c r="AW76" s="48" t="n">
        <f aca="false">IF(AW38=1,$D$27*$D$7*1000/1000000,0)</f>
        <v>0</v>
      </c>
      <c r="AX76" s="48" t="n">
        <f aca="false">IF(AX38=1,$D$27*$D$7*1000/1000000,0)</f>
        <v>0</v>
      </c>
      <c r="AY76" s="48" t="n">
        <f aca="false">IF(AY38=1,$D$27*$D$7*1000/1000000,0)</f>
        <v>0</v>
      </c>
      <c r="AZ76" s="48" t="n">
        <f aca="false">IF(AZ38=1,$D$27*$D$7*1000/1000000,0)</f>
        <v>0</v>
      </c>
      <c r="BA76" s="48" t="n">
        <f aca="false">IF(BA38=1,$D$27*$D$7*1000/1000000,0)</f>
        <v>0</v>
      </c>
      <c r="BB76" s="48" t="n">
        <f aca="false">IF(BB38=1,$D$27*$D$7*1000/1000000,0)</f>
        <v>0</v>
      </c>
      <c r="BC76" s="48" t="n">
        <f aca="false">IF(BC38=1,$D$27*$D$7*1000/1000000,0)</f>
        <v>0</v>
      </c>
      <c r="BD76" s="48" t="n">
        <f aca="false">IF(BD38=1,$D$27*$D$7*1000/1000000,0)</f>
        <v>0</v>
      </c>
      <c r="BE76" s="48" t="n">
        <f aca="false">IF(BE38=1,$D$27*$D$7*1000/1000000,0)</f>
        <v>0</v>
      </c>
      <c r="BF76" s="48" t="n">
        <f aca="false">IF(BF38=1,$D$27*$D$7*1000/1000000,0)</f>
        <v>0</v>
      </c>
      <c r="BG76" s="48" t="n">
        <f aca="false">IF(BG38=1,$D$27*$D$7*1000/1000000,0)</f>
        <v>0</v>
      </c>
      <c r="BH76" s="48" t="n">
        <f aca="false">IF(BH38=1,$D$27*$D$7*1000/1000000,0)</f>
        <v>0</v>
      </c>
      <c r="BI76" s="48" t="n">
        <f aca="false">IF(BI38=1,$D$27*$D$7*1000/1000000,0)</f>
        <v>0</v>
      </c>
      <c r="BJ76" s="48" t="n">
        <f aca="false">IF(BJ38=1,$D$27*$D$7*1000/1000000,0)</f>
        <v>0</v>
      </c>
      <c r="BK76" s="48" t="n">
        <f aca="false">IF(BK38=1,$D$27*$D$7*1000/1000000,0)</f>
        <v>0</v>
      </c>
      <c r="BL76" s="48" t="n">
        <f aca="false">IF(BL38=1,$D$27*$D$7*1000/1000000,0)</f>
        <v>0</v>
      </c>
      <c r="BM76" s="48" t="n">
        <f aca="false">IF(BM38=1,$D$27*$D$7*1000/1000000,0)</f>
        <v>0</v>
      </c>
      <c r="BN76" s="48" t="n">
        <f aca="false">IF(BN38=1,$D$27*$D$7*1000/1000000,0)</f>
        <v>0</v>
      </c>
      <c r="BO76" s="48" t="n">
        <f aca="false">IF(BO38=1,$D$27*$D$7*1000/1000000,0)</f>
        <v>0</v>
      </c>
      <c r="BP76" s="48" t="n">
        <f aca="false">IF(BP38=1,$D$27*$D$7*1000/1000000,0)</f>
        <v>0</v>
      </c>
      <c r="BQ76" s="48" t="n">
        <f aca="false">IF(BQ38=1,$D$27*$D$7*1000/1000000,0)</f>
        <v>0</v>
      </c>
      <c r="BR76" s="48" t="n">
        <f aca="false">IF(BR38=1,$D$27*$D$7*1000/1000000,0)</f>
        <v>0</v>
      </c>
      <c r="BS76" s="48" t="n">
        <f aca="false">IF(BS38=1,$D$27*$D$7*1000/1000000,0)</f>
        <v>0</v>
      </c>
      <c r="BT76" s="48" t="n">
        <f aca="false">IF(BT38=1,$D$27*$D$7*1000/1000000,0)</f>
        <v>0</v>
      </c>
      <c r="BU76" s="48" t="n">
        <f aca="false">IF(BU38=1,$D$27*$D$7*1000/1000000,0)</f>
        <v>0</v>
      </c>
      <c r="BV76" s="48" t="n">
        <f aca="false">IF(BV38=1,$D$27*$D$7*1000/1000000,0)</f>
        <v>0</v>
      </c>
      <c r="BW76" s="48" t="n">
        <f aca="false">IF(BW38=1,$D$27*$D$7*1000/1000000,0)</f>
        <v>0</v>
      </c>
      <c r="BX76" s="48" t="n">
        <f aca="false">IF(BX38=1,$D$27*$D$7*1000/1000000,0)</f>
        <v>0</v>
      </c>
    </row>
    <row r="77" customFormat="false" ht="15" hidden="false" customHeight="false" outlineLevel="0" collapsed="false">
      <c r="A77" s="1"/>
      <c r="B77" s="8" t="s">
        <v>342</v>
      </c>
      <c r="C77" s="8" t="s">
        <v>126</v>
      </c>
      <c r="D77" s="44" t="n">
        <f aca="false">SUM(G77:BX77)</f>
        <v>16.416</v>
      </c>
      <c r="E77" s="1"/>
      <c r="F77" s="1"/>
      <c r="G77" s="48" t="n">
        <f aca="false">IF(G38=1,$D$22*$D$21*$D$24,0)</f>
        <v>0</v>
      </c>
      <c r="H77" s="48" t="n">
        <f aca="false">IF(H38=1,$D$22*$D$21*$D$24,0)</f>
        <v>0</v>
      </c>
      <c r="I77" s="48" t="n">
        <f aca="false">IF(I38=1,$D$22*$D$21*$D$24,0)</f>
        <v>0</v>
      </c>
      <c r="J77" s="48" t="n">
        <f aca="false">IF(J38=1,$D$22*$D$21*$D$24,0)</f>
        <v>0</v>
      </c>
      <c r="K77" s="48" t="n">
        <f aca="false">IF(K38=1,$D$22*$D$21*$D$24,0)</f>
        <v>0.65664</v>
      </c>
      <c r="L77" s="48" t="n">
        <f aca="false">IF(L38=1,$D$22*$D$21*$D$24,0)</f>
        <v>0.65664</v>
      </c>
      <c r="M77" s="48" t="n">
        <f aca="false">IF(M38=1,$D$22*$D$21*$D$24,0)</f>
        <v>0.65664</v>
      </c>
      <c r="N77" s="48" t="n">
        <f aca="false">IF(N38=1,$D$22*$D$21*$D$24,0)</f>
        <v>0.65664</v>
      </c>
      <c r="O77" s="48" t="n">
        <f aca="false">IF(O38=1,$D$22*$D$21*$D$24,0)</f>
        <v>0.65664</v>
      </c>
      <c r="P77" s="48" t="n">
        <f aca="false">IF(P38=1,$D$22*$D$21*$D$24,0)</f>
        <v>0.65664</v>
      </c>
      <c r="Q77" s="48" t="n">
        <f aca="false">IF(Q38=1,$D$22*$D$21*$D$24,0)</f>
        <v>0.65664</v>
      </c>
      <c r="R77" s="48" t="n">
        <f aca="false">IF(R38=1,$D$22*$D$21*$D$24,0)</f>
        <v>0.65664</v>
      </c>
      <c r="S77" s="48" t="n">
        <f aca="false">IF(S38=1,$D$22*$D$21*$D$24,0)</f>
        <v>0.65664</v>
      </c>
      <c r="T77" s="48" t="n">
        <f aca="false">IF(T38=1,$D$22*$D$21*$D$24,0)</f>
        <v>0.65664</v>
      </c>
      <c r="U77" s="48" t="n">
        <f aca="false">IF(U38=1,$D$22*$D$21*$D$24,0)</f>
        <v>0.65664</v>
      </c>
      <c r="V77" s="48" t="n">
        <f aca="false">IF(V38=1,$D$22*$D$21*$D$24,0)</f>
        <v>0.65664</v>
      </c>
      <c r="W77" s="48" t="n">
        <f aca="false">IF(W38=1,$D$22*$D$21*$D$24,0)</f>
        <v>0.65664</v>
      </c>
      <c r="X77" s="48" t="n">
        <f aca="false">IF(X38=1,$D$22*$D$21*$D$24,0)</f>
        <v>0.65664</v>
      </c>
      <c r="Y77" s="48" t="n">
        <f aca="false">IF(Y38=1,$D$22*$D$21*$D$24,0)</f>
        <v>0.65664</v>
      </c>
      <c r="Z77" s="48" t="n">
        <f aca="false">IF(Z38=1,$D$22*$D$21*$D$24,0)</f>
        <v>0.65664</v>
      </c>
      <c r="AA77" s="48" t="n">
        <f aca="false">IF(AA38=1,$D$22*$D$21*$D$24,0)</f>
        <v>0.65664</v>
      </c>
      <c r="AB77" s="48" t="n">
        <f aca="false">IF(AB38=1,$D$22*$D$21*$D$24,0)</f>
        <v>0.65664</v>
      </c>
      <c r="AC77" s="48" t="n">
        <f aca="false">IF(AC38=1,$D$22*$D$21*$D$24,0)</f>
        <v>0.65664</v>
      </c>
      <c r="AD77" s="48" t="n">
        <f aca="false">IF(AD38=1,$D$22*$D$21*$D$24,0)</f>
        <v>0.65664</v>
      </c>
      <c r="AE77" s="48" t="n">
        <f aca="false">IF(AE38=1,$D$22*$D$21*$D$24,0)</f>
        <v>0.65664</v>
      </c>
      <c r="AF77" s="48" t="n">
        <f aca="false">IF(AF38=1,$D$22*$D$21*$D$24,0)</f>
        <v>0.65664</v>
      </c>
      <c r="AG77" s="48" t="n">
        <f aca="false">IF(AG38=1,$D$22*$D$21*$D$24,0)</f>
        <v>0.65664</v>
      </c>
      <c r="AH77" s="48" t="n">
        <f aca="false">IF(AH38=1,$D$22*$D$21*$D$24,0)</f>
        <v>0.65664</v>
      </c>
      <c r="AI77" s="48" t="n">
        <f aca="false">IF(AI38=1,$D$22*$D$21*$D$24,0)</f>
        <v>0.65664</v>
      </c>
      <c r="AJ77" s="48" t="n">
        <f aca="false">IF(AJ38=1,$D$22*$D$21*$D$24,0)</f>
        <v>0</v>
      </c>
      <c r="AK77" s="48" t="n">
        <f aca="false">IF(AK38=1,$D$22*$D$21*$D$24,0)</f>
        <v>0</v>
      </c>
      <c r="AL77" s="48" t="n">
        <f aca="false">IF(AL38=1,$D$22*$D$21*$D$24,0)</f>
        <v>0</v>
      </c>
      <c r="AM77" s="48" t="n">
        <f aca="false">IF(AM38=1,$D$22*$D$21*$D$24,0)</f>
        <v>0</v>
      </c>
      <c r="AN77" s="48" t="n">
        <f aca="false">IF(AN38=1,$D$22*$D$21*$D$24,0)</f>
        <v>0</v>
      </c>
      <c r="AO77" s="48" t="n">
        <f aca="false">IF(AO38=1,$D$22*$D$21*$D$24,0)</f>
        <v>0</v>
      </c>
      <c r="AP77" s="48" t="n">
        <f aca="false">IF(AP38=1,$D$22*$D$21*$D$24,0)</f>
        <v>0</v>
      </c>
      <c r="AQ77" s="48" t="n">
        <f aca="false">IF(AQ38=1,$D$22*$D$21*$D$24,0)</f>
        <v>0</v>
      </c>
      <c r="AR77" s="48" t="n">
        <f aca="false">IF(AR38=1,$D$22*$D$21*$D$24,0)</f>
        <v>0</v>
      </c>
      <c r="AS77" s="48" t="n">
        <f aca="false">IF(AS38=1,$D$22*$D$21*$D$24,0)</f>
        <v>0</v>
      </c>
      <c r="AT77" s="48" t="n">
        <f aca="false">IF(AT38=1,$D$22*$D$21*$D$24,0)</f>
        <v>0</v>
      </c>
      <c r="AU77" s="48" t="n">
        <f aca="false">IF(AU38=1,$D$22*$D$21*$D$24,0)</f>
        <v>0</v>
      </c>
      <c r="AV77" s="48" t="n">
        <f aca="false">IF(AV38=1,$D$22*$D$21*$D$24,0)</f>
        <v>0</v>
      </c>
      <c r="AW77" s="48" t="n">
        <f aca="false">IF(AW38=1,$D$22*$D$21*$D$24,0)</f>
        <v>0</v>
      </c>
      <c r="AX77" s="48" t="n">
        <f aca="false">IF(AX38=1,$D$22*$D$21*$D$24,0)</f>
        <v>0</v>
      </c>
      <c r="AY77" s="48" t="n">
        <f aca="false">IF(AY38=1,$D$22*$D$21*$D$24,0)</f>
        <v>0</v>
      </c>
      <c r="AZ77" s="48" t="n">
        <f aca="false">IF(AZ38=1,$D$22*$D$21*$D$24,0)</f>
        <v>0</v>
      </c>
      <c r="BA77" s="48" t="n">
        <f aca="false">IF(BA38=1,$D$22*$D$21*$D$24,0)</f>
        <v>0</v>
      </c>
      <c r="BB77" s="48" t="n">
        <f aca="false">IF(BB38=1,$D$22*$D$21*$D$24,0)</f>
        <v>0</v>
      </c>
      <c r="BC77" s="48" t="n">
        <f aca="false">IF(BC38=1,$D$22*$D$21*$D$24,0)</f>
        <v>0</v>
      </c>
      <c r="BD77" s="48" t="n">
        <f aca="false">IF(BD38=1,$D$22*$D$21*$D$24,0)</f>
        <v>0</v>
      </c>
      <c r="BE77" s="48" t="n">
        <f aca="false">IF(BE38=1,$D$22*$D$21*$D$24,0)</f>
        <v>0</v>
      </c>
      <c r="BF77" s="48" t="n">
        <f aca="false">IF(BF38=1,$D$22*$D$21*$D$24,0)</f>
        <v>0</v>
      </c>
      <c r="BG77" s="48" t="n">
        <f aca="false">IF(BG38=1,$D$22*$D$21*$D$24,0)</f>
        <v>0</v>
      </c>
      <c r="BH77" s="48" t="n">
        <f aca="false">IF(BH38=1,$D$22*$D$21*$D$24,0)</f>
        <v>0</v>
      </c>
      <c r="BI77" s="48" t="n">
        <f aca="false">IF(BI38=1,$D$22*$D$21*$D$24,0)</f>
        <v>0</v>
      </c>
      <c r="BJ77" s="48" t="n">
        <f aca="false">IF(BJ38=1,$D$22*$D$21*$D$24,0)</f>
        <v>0</v>
      </c>
      <c r="BK77" s="48" t="n">
        <f aca="false">IF(BK38=1,$D$22*$D$21*$D$24,0)</f>
        <v>0</v>
      </c>
      <c r="BL77" s="48" t="n">
        <f aca="false">IF(BL38=1,$D$22*$D$21*$D$24,0)</f>
        <v>0</v>
      </c>
      <c r="BM77" s="48" t="n">
        <f aca="false">IF(BM38=1,$D$22*$D$21*$D$24,0)</f>
        <v>0</v>
      </c>
      <c r="BN77" s="48" t="n">
        <f aca="false">IF(BN38=1,$D$22*$D$21*$D$24,0)</f>
        <v>0</v>
      </c>
      <c r="BO77" s="48" t="n">
        <f aca="false">IF(BO38=1,$D$22*$D$21*$D$24,0)</f>
        <v>0</v>
      </c>
      <c r="BP77" s="48" t="n">
        <f aca="false">IF(BP38=1,$D$22*$D$21*$D$24,0)</f>
        <v>0</v>
      </c>
      <c r="BQ77" s="48" t="n">
        <f aca="false">IF(BQ38=1,$D$22*$D$21*$D$24,0)</f>
        <v>0</v>
      </c>
      <c r="BR77" s="48" t="n">
        <f aca="false">IF(BR38=1,$D$22*$D$21*$D$24,0)</f>
        <v>0</v>
      </c>
      <c r="BS77" s="48" t="n">
        <f aca="false">IF(BS38=1,$D$22*$D$21*$D$24,0)</f>
        <v>0</v>
      </c>
      <c r="BT77" s="48" t="n">
        <f aca="false">IF(BT38=1,$D$22*$D$21*$D$24,0)</f>
        <v>0</v>
      </c>
      <c r="BU77" s="48" t="n">
        <f aca="false">IF(BU38=1,$D$22*$D$21*$D$24,0)</f>
        <v>0</v>
      </c>
      <c r="BV77" s="48" t="n">
        <f aca="false">IF(BV38=1,$D$22*$D$21*$D$24,0)</f>
        <v>0</v>
      </c>
      <c r="BW77" s="48" t="n">
        <f aca="false">IF(BW38=1,$D$22*$D$21*$D$24,0)</f>
        <v>0</v>
      </c>
      <c r="BX77" s="48" t="n">
        <f aca="false">IF(BX38=1,$D$22*$D$21*$D$24,0)</f>
        <v>0</v>
      </c>
    </row>
    <row r="78" customFormat="false" ht="15" hidden="false" customHeight="false" outlineLevel="0" collapsed="false">
      <c r="A78" s="1"/>
      <c r="B78" s="8" t="s">
        <v>343</v>
      </c>
      <c r="C78" s="8" t="s">
        <v>126</v>
      </c>
      <c r="D78" s="44" t="n">
        <f aca="false">SUM(G78:BX78)</f>
        <v>6.18806968185021</v>
      </c>
      <c r="E78" s="1"/>
      <c r="F78" s="1"/>
      <c r="G78" s="48" t="n">
        <f aca="false">IF(G38=1,$D$18*MAX(G63,0),0)</f>
        <v>0</v>
      </c>
      <c r="H78" s="48" t="n">
        <f aca="false">IF(H38=1,$D$18*MAX(H63,0),0)</f>
        <v>0</v>
      </c>
      <c r="I78" s="48" t="n">
        <f aca="false">IF(I38=1,$D$18*MAX(I63,0),0)</f>
        <v>0</v>
      </c>
      <c r="J78" s="48" t="n">
        <f aca="false">IF(J38=1,$D$18*MAX(J63,0),0)</f>
        <v>0</v>
      </c>
      <c r="K78" s="48" t="n">
        <f aca="false">IF(K38=1,$D$18*MAX(K63,0),0)</f>
        <v>0.387159488192855</v>
      </c>
      <c r="L78" s="48" t="n">
        <f aca="false">IF(L38=1,$D$18*MAX(L63,0),0)</f>
        <v>0.359800410742056</v>
      </c>
      <c r="M78" s="48" t="n">
        <f aca="false">IF(M38=1,$D$18*MAX(M63,0),0)</f>
        <v>0.327405582676246</v>
      </c>
      <c r="N78" s="48" t="n">
        <f aca="false">IF(N38=1,$D$18*MAX(N63,0),0)</f>
        <v>0.302923845865624</v>
      </c>
      <c r="O78" s="48" t="n">
        <f aca="false">IF(O38=1,$D$18*MAX(O63,0),0)</f>
        <v>0.282699728507597</v>
      </c>
      <c r="P78" s="48" t="n">
        <f aca="false">IF(P38=1,$D$18*MAX(P63,0),0)</f>
        <v>0.268814206427871</v>
      </c>
      <c r="Q78" s="48" t="n">
        <f aca="false">IF(Q38=1,$D$18*MAX(Q63,0),0)</f>
        <v>0.259014699738432</v>
      </c>
      <c r="R78" s="48" t="n">
        <f aca="false">IF(R38=1,$D$18*MAX(R63,0),0)</f>
        <v>0.250967810955012</v>
      </c>
      <c r="S78" s="48" t="n">
        <f aca="false">IF(S38=1,$D$18*MAX(S63,0),0)</f>
        <v>0.240779368692144</v>
      </c>
      <c r="T78" s="48" t="n">
        <f aca="false">IF(T38=1,$D$18*MAX(T63,0),0)</f>
        <v>0.230013412432967</v>
      </c>
      <c r="U78" s="48" t="n">
        <f aca="false">IF(U38=1,$D$18*MAX(U63,0),0)</f>
        <v>0.228295862956051</v>
      </c>
      <c r="V78" s="48" t="n">
        <f aca="false">IF(V38=1,$D$18*MAX(V63,0),0)</f>
        <v>0.22634250761355</v>
      </c>
      <c r="W78" s="48" t="n">
        <f aca="false">IF(W38=1,$D$18*MAX(W63,0),0)</f>
        <v>0.225210592780173</v>
      </c>
      <c r="X78" s="48" t="n">
        <f aca="false">IF(X38=1,$D$18*MAX(X63,0),0)</f>
        <v>0.223457144668999</v>
      </c>
      <c r="Y78" s="48" t="n">
        <f aca="false">IF(Y38=1,$D$18*MAX(Y63,0),0)</f>
        <v>0.222340691843776</v>
      </c>
      <c r="Z78" s="48" t="n">
        <f aca="false">IF(Z38=1,$D$18*MAX(Z63,0),0)</f>
        <v>0.220190381573155</v>
      </c>
      <c r="AA78" s="48" t="n">
        <f aca="false">IF(AA38=1,$D$18*MAX(AA63,0),0)</f>
        <v>0.217839972518257</v>
      </c>
      <c r="AB78" s="48" t="n">
        <f aca="false">IF(AB38=1,$D$18*MAX(AB63,0),0)</f>
        <v>0.216940765064048</v>
      </c>
      <c r="AC78" s="48" t="n">
        <f aca="false">IF(AC38=1,$D$18*MAX(AC63,0),0)</f>
        <v>0.213978796472388</v>
      </c>
      <c r="AD78" s="48" t="n">
        <f aca="false">IF(AD38=1,$D$18*MAX(AD63,0),0)</f>
        <v>0.213069493586833</v>
      </c>
      <c r="AE78" s="48" t="n">
        <f aca="false">IF(AE38=1,$D$18*MAX(AE63,0),0)</f>
        <v>0.213105884074432</v>
      </c>
      <c r="AF78" s="48" t="n">
        <f aca="false">IF(AF38=1,$D$18*MAX(AF63,0),0)</f>
        <v>0.213345078206634</v>
      </c>
      <c r="AG78" s="48" t="n">
        <f aca="false">IF(AG38=1,$D$18*MAX(AG63,0),0)</f>
        <v>0.214011218775237</v>
      </c>
      <c r="AH78" s="48" t="n">
        <f aca="false">IF(AH38=1,$D$18*MAX(AH63,0),0)</f>
        <v>0.21506471681653</v>
      </c>
      <c r="AI78" s="48" t="n">
        <f aca="false">IF(AI38=1,$D$18*MAX(AI63,0),0)</f>
        <v>0.215298020669347</v>
      </c>
      <c r="AJ78" s="48" t="n">
        <f aca="false">IF(AJ38=1,$D$18*MAX(AJ63,0),0)</f>
        <v>0</v>
      </c>
      <c r="AK78" s="48" t="n">
        <f aca="false">IF(AK38=1,$D$18*MAX(AK63,0),0)</f>
        <v>0</v>
      </c>
      <c r="AL78" s="48" t="n">
        <f aca="false">IF(AL38=1,$D$18*MAX(AL63,0),0)</f>
        <v>0</v>
      </c>
      <c r="AM78" s="48" t="n">
        <f aca="false">IF(AM38=1,$D$18*MAX(AM63,0),0)</f>
        <v>0</v>
      </c>
      <c r="AN78" s="48" t="n">
        <f aca="false">IF(AN38=1,$D$18*MAX(AN63,0),0)</f>
        <v>0</v>
      </c>
      <c r="AO78" s="48" t="n">
        <f aca="false">IF(AO38=1,$D$18*MAX(AO63,0),0)</f>
        <v>0</v>
      </c>
      <c r="AP78" s="48" t="n">
        <f aca="false">IF(AP38=1,$D$18*MAX(AP63,0),0)</f>
        <v>0</v>
      </c>
      <c r="AQ78" s="48" t="n">
        <f aca="false">IF(AQ38=1,$D$18*MAX(AQ63,0),0)</f>
        <v>0</v>
      </c>
      <c r="AR78" s="48" t="n">
        <f aca="false">IF(AR38=1,$D$18*MAX(AR63,0),0)</f>
        <v>0</v>
      </c>
      <c r="AS78" s="48" t="n">
        <f aca="false">IF(AS38=1,$D$18*MAX(AS63,0),0)</f>
        <v>0</v>
      </c>
      <c r="AT78" s="48" t="n">
        <f aca="false">IF(AT38=1,$D$18*MAX(AT63,0),0)</f>
        <v>0</v>
      </c>
      <c r="AU78" s="48" t="n">
        <f aca="false">IF(AU38=1,$D$18*MAX(AU63,0),0)</f>
        <v>0</v>
      </c>
      <c r="AV78" s="48" t="n">
        <f aca="false">IF(AV38=1,$D$18*MAX(AV63,0),0)</f>
        <v>0</v>
      </c>
      <c r="AW78" s="48" t="n">
        <f aca="false">IF(AW38=1,$D$18*MAX(AW63,0),0)</f>
        <v>0</v>
      </c>
      <c r="AX78" s="48" t="n">
        <f aca="false">IF(AX38=1,$D$18*MAX(AX63,0),0)</f>
        <v>0</v>
      </c>
      <c r="AY78" s="48" t="n">
        <f aca="false">IF(AY38=1,$D$18*MAX(AY63,0),0)</f>
        <v>0</v>
      </c>
      <c r="AZ78" s="48" t="n">
        <f aca="false">IF(AZ38=1,$D$18*MAX(AZ63,0),0)</f>
        <v>0</v>
      </c>
      <c r="BA78" s="48" t="n">
        <f aca="false">IF(BA38=1,$D$18*MAX(BA63,0),0)</f>
        <v>0</v>
      </c>
      <c r="BB78" s="48" t="n">
        <f aca="false">IF(BB38=1,$D$18*MAX(BB63,0),0)</f>
        <v>0</v>
      </c>
      <c r="BC78" s="48" t="n">
        <f aca="false">IF(BC38=1,$D$18*MAX(BC63,0),0)</f>
        <v>0</v>
      </c>
      <c r="BD78" s="48" t="n">
        <f aca="false">IF(BD38=1,$D$18*MAX(BD63,0),0)</f>
        <v>0</v>
      </c>
      <c r="BE78" s="48" t="n">
        <f aca="false">IF(BE38=1,$D$18*MAX(BE63,0),0)</f>
        <v>0</v>
      </c>
      <c r="BF78" s="48" t="n">
        <f aca="false">IF(BF38=1,$D$18*MAX(BF63,0),0)</f>
        <v>0</v>
      </c>
      <c r="BG78" s="48" t="n">
        <f aca="false">IF(BG38=1,$D$18*MAX(BG63,0),0)</f>
        <v>0</v>
      </c>
      <c r="BH78" s="48" t="n">
        <f aca="false">IF(BH38=1,$D$18*MAX(BH63,0),0)</f>
        <v>0</v>
      </c>
      <c r="BI78" s="48" t="n">
        <f aca="false">IF(BI38=1,$D$18*MAX(BI63,0),0)</f>
        <v>0</v>
      </c>
      <c r="BJ78" s="48" t="n">
        <f aca="false">IF(BJ38=1,$D$18*MAX(BJ63,0),0)</f>
        <v>0</v>
      </c>
      <c r="BK78" s="48" t="n">
        <f aca="false">IF(BK38=1,$D$18*MAX(BK63,0),0)</f>
        <v>0</v>
      </c>
      <c r="BL78" s="48" t="n">
        <f aca="false">IF(BL38=1,$D$18*MAX(BL63,0),0)</f>
        <v>0</v>
      </c>
      <c r="BM78" s="48" t="n">
        <f aca="false">IF(BM38=1,$D$18*MAX(BM63,0),0)</f>
        <v>0</v>
      </c>
      <c r="BN78" s="48" t="n">
        <f aca="false">IF(BN38=1,$D$18*MAX(BN63,0),0)</f>
        <v>0</v>
      </c>
      <c r="BO78" s="48" t="n">
        <f aca="false">IF(BO38=1,$D$18*MAX(BO63,0),0)</f>
        <v>0</v>
      </c>
      <c r="BP78" s="48" t="n">
        <f aca="false">IF(BP38=1,$D$18*MAX(BP63,0),0)</f>
        <v>0</v>
      </c>
      <c r="BQ78" s="48" t="n">
        <f aca="false">IF(BQ38=1,$D$18*MAX(BQ63,0),0)</f>
        <v>0</v>
      </c>
      <c r="BR78" s="48" t="n">
        <f aca="false">IF(BR38=1,$D$18*MAX(BR63,0),0)</f>
        <v>0</v>
      </c>
      <c r="BS78" s="48" t="n">
        <f aca="false">IF(BS38=1,$D$18*MAX(BS63,0),0)</f>
        <v>0</v>
      </c>
      <c r="BT78" s="48" t="n">
        <f aca="false">IF(BT38=1,$D$18*MAX(BT63,0),0)</f>
        <v>0</v>
      </c>
      <c r="BU78" s="48" t="n">
        <f aca="false">IF(BU38=1,$D$18*MAX(BU63,0),0)</f>
        <v>0</v>
      </c>
      <c r="BV78" s="48" t="n">
        <f aca="false">IF(BV38=1,$D$18*MAX(BV63,0),0)</f>
        <v>0</v>
      </c>
      <c r="BW78" s="48" t="n">
        <f aca="false">IF(BW38=1,$D$18*MAX(BW63,0),0)</f>
        <v>0</v>
      </c>
      <c r="BX78" s="48" t="n">
        <f aca="false">IF(BX38=1,$D$18*MAX(BX63,0),0)</f>
        <v>0</v>
      </c>
    </row>
    <row r="79" customFormat="false" ht="15" hidden="false" customHeight="false" outlineLevel="0" collapsed="false">
      <c r="A79" s="1"/>
      <c r="B79" s="4" t="s">
        <v>344</v>
      </c>
      <c r="C79" s="8" t="s">
        <v>126</v>
      </c>
      <c r="D79" s="44" t="n">
        <f aca="false">SUM(G79:BX79)</f>
        <v>1104.96238366772</v>
      </c>
      <c r="E79" s="1"/>
      <c r="F79" s="1"/>
      <c r="G79" s="44" t="n">
        <f aca="false">G67+G69+G70+G71+G72+G73+G75+G76+G77+G78</f>
        <v>0</v>
      </c>
      <c r="H79" s="44" t="n">
        <f aca="false">H67+H69+H70+H71+H72+H73+H75+H76+H77+H78</f>
        <v>0</v>
      </c>
      <c r="I79" s="44" t="n">
        <f aca="false">I67+I69+I70+I71+I72+I73+I75+I76+I77+I78</f>
        <v>0</v>
      </c>
      <c r="J79" s="44" t="n">
        <f aca="false">J67+J69+J70+J71+J72+J73+J75+J76+J77+J78</f>
        <v>0</v>
      </c>
      <c r="K79" s="44" t="n">
        <f aca="false">K67+K69+K70+K71+K72+K73+K75+K76+K77+K78</f>
        <v>66.229370421623</v>
      </c>
      <c r="L79" s="44" t="n">
        <f aca="false">L67+L69+L70+L71+L72+L73+L75+L76+L77+L78</f>
        <v>62.0033847381965</v>
      </c>
      <c r="M79" s="44" t="n">
        <f aca="false">M67+M69+M70+M71+M72+M73+M75+M76+M77+M78</f>
        <v>56.6375378388579</v>
      </c>
      <c r="N79" s="44" t="n">
        <f aca="false">N67+N69+N70+N71+N72+N73+N75+N76+N77+N78</f>
        <v>52.7237606173072</v>
      </c>
      <c r="O79" s="44" t="n">
        <f aca="false">O67+O69+O70+O71+O72+O73+O75+O76+O77+O78</f>
        <v>49.615594219637</v>
      </c>
      <c r="P79" s="44" t="n">
        <f aca="false">P67+P69+P70+P71+P72+P73+P75+P76+P77+P78</f>
        <v>47.3222576437436</v>
      </c>
      <c r="Q79" s="44" t="n">
        <f aca="false">Q67+Q69+Q70+Q71+Q72+Q73+Q75+Q76+Q77+Q78</f>
        <v>45.8271162049349</v>
      </c>
      <c r="R79" s="44" t="n">
        <f aca="false">R67+R69+R70+R71+R72+R73+R75+R76+R77+R78</f>
        <v>44.66535513184</v>
      </c>
      <c r="S79" s="44" t="n">
        <f aca="false">S67+S69+S70+S71+S72+S73+S75+S76+S77+S78</f>
        <v>43.0613399080452</v>
      </c>
      <c r="T79" s="44" t="n">
        <f aca="false">T67+T69+T70+T71+T72+T73+T75+T76+T77+T78</f>
        <v>41.3270437078566</v>
      </c>
      <c r="U79" s="44" t="n">
        <f aca="false">U67+U69+U70+U71+U72+U73+U75+U76+U77+U78</f>
        <v>41.0861062729827</v>
      </c>
      <c r="V79" s="44" t="n">
        <f aca="false">V67+V69+V70+V71+V72+V73+V75+V76+V77+V78</f>
        <v>40.7938326377868</v>
      </c>
      <c r="W79" s="44" t="n">
        <f aca="false">W67+W69+W70+W71+W72+W73+W75+W76+W77+W78</f>
        <v>40.665079151355</v>
      </c>
      <c r="X79" s="44" t="n">
        <f aca="false">X67+X69+X70+X71+X72+X73+X75+X76+X77+X78</f>
        <v>40.4069693048471</v>
      </c>
      <c r="Y79" s="44" t="n">
        <f aca="false">Y67+Y69+Y70+Y71+Y72+Y73+Y75+Y76+Y77+Y78</f>
        <v>40.2805657398235</v>
      </c>
      <c r="Z79" s="44" t="n">
        <f aca="false">Z67+Z69+Z70+Z71+Z72+Z73+Z75+Z76+Z77+Z78</f>
        <v>39.9414957117571</v>
      </c>
      <c r="AA79" s="44" t="n">
        <f aca="false">AA67+AA69+AA70+AA71+AA72+AA73+AA75+AA76+AA77+AA78</f>
        <v>39.562797060707</v>
      </c>
      <c r="AB79" s="44" t="n">
        <f aca="false">AB67+AB69+AB70+AB71+AB72+AB73+AB75+AB76+AB77+AB78</f>
        <v>39.4797638762539</v>
      </c>
      <c r="AC79" s="44" t="n">
        <f aca="false">AC67+AC69+AC70+AC71+AC72+AC73+AC75+AC76+AC77+AC78</f>
        <v>38.9796101972685</v>
      </c>
      <c r="AD79" s="44" t="n">
        <f aca="false">AD67+AD69+AD70+AD71+AD72+AD73+AD75+AD76+AD77+AD78</f>
        <v>38.891956661584</v>
      </c>
      <c r="AE79" s="44" t="n">
        <f aca="false">AE67+AE69+AE70+AE71+AE72+AE73+AE75+AE76+AE77+AE78</f>
        <v>38.8919930520716</v>
      </c>
      <c r="AF79" s="44" t="n">
        <f aca="false">AF67+AF69+AF70+AF71+AF72+AF73+AF75+AF76+AF77+AF78</f>
        <v>38.9331095850033</v>
      </c>
      <c r="AG79" s="44" t="n">
        <f aca="false">AG67+AG69+AG70+AG71+AG72+AG73+AG75+AG76+AG77+AG78</f>
        <v>39.0629485147702</v>
      </c>
      <c r="AH79" s="44" t="n">
        <f aca="false">AH67+AH69+AH70+AH71+AH72+AH73+AH75+AH76+AH77+AH78</f>
        <v>39.2676596110089</v>
      </c>
      <c r="AI79" s="44" t="n">
        <f aca="false">AI67+AI69+AI70+AI71+AI72+AI73+AI75+AI76+AI77+AI78</f>
        <v>39.3057358584613</v>
      </c>
      <c r="AJ79" s="44" t="n">
        <f aca="false">AJ67+AJ69+AJ70+AJ71+AJ72+AJ73+AJ75+AJ76+AJ77+AJ78</f>
        <v>0</v>
      </c>
      <c r="AK79" s="44" t="n">
        <f aca="false">AK67+AK69+AK70+AK71+AK72+AK73+AK75+AK76+AK77+AK78</f>
        <v>0</v>
      </c>
      <c r="AL79" s="44" t="n">
        <f aca="false">AL67+AL69+AL70+AL71+AL72+AL73+AL75+AL76+AL77+AL78</f>
        <v>0</v>
      </c>
      <c r="AM79" s="44" t="n">
        <f aca="false">AM67+AM69+AM70+AM71+AM72+AM73+AM75+AM76+AM77+AM78</f>
        <v>0</v>
      </c>
      <c r="AN79" s="44" t="n">
        <f aca="false">AN67+AN69+AN70+AN71+AN72+AN73+AN75+AN76+AN77+AN78</f>
        <v>0</v>
      </c>
      <c r="AO79" s="44" t="n">
        <f aca="false">AO67+AO69+AO70+AO71+AO72+AO73+AO75+AO76+AO77+AO78</f>
        <v>0</v>
      </c>
      <c r="AP79" s="44" t="n">
        <f aca="false">AP67+AP69+AP70+AP71+AP72+AP73+AP75+AP76+AP77+AP78</f>
        <v>0</v>
      </c>
      <c r="AQ79" s="44" t="n">
        <f aca="false">AQ67+AQ69+AQ70+AQ71+AQ72+AQ73+AQ75+AQ76+AQ77+AQ78</f>
        <v>0</v>
      </c>
      <c r="AR79" s="44" t="n">
        <f aca="false">AR67+AR69+AR70+AR71+AR72+AR73+AR75+AR76+AR77+AR78</f>
        <v>0</v>
      </c>
      <c r="AS79" s="44" t="n">
        <f aca="false">AS67+AS69+AS70+AS71+AS72+AS73+AS75+AS76+AS77+AS78</f>
        <v>0</v>
      </c>
      <c r="AT79" s="44" t="n">
        <f aca="false">AT67+AT69+AT70+AT71+AT72+AT73+AT75+AT76+AT77+AT78</f>
        <v>0</v>
      </c>
      <c r="AU79" s="44" t="n">
        <f aca="false">AU67+AU69+AU70+AU71+AU72+AU73+AU75+AU76+AU77+AU78</f>
        <v>0</v>
      </c>
      <c r="AV79" s="44" t="n">
        <f aca="false">AV67+AV69+AV70+AV71+AV72+AV73+AV75+AV76+AV77+AV78</f>
        <v>0</v>
      </c>
      <c r="AW79" s="44" t="n">
        <f aca="false">AW67+AW69+AW70+AW71+AW72+AW73+AW75+AW76+AW77+AW78</f>
        <v>0</v>
      </c>
      <c r="AX79" s="44" t="n">
        <f aca="false">AX67+AX69+AX70+AX71+AX72+AX73+AX75+AX76+AX77+AX78</f>
        <v>0</v>
      </c>
      <c r="AY79" s="44" t="n">
        <f aca="false">AY67+AY69+AY70+AY71+AY72+AY73+AY75+AY76+AY77+AY78</f>
        <v>0</v>
      </c>
      <c r="AZ79" s="44" t="n">
        <f aca="false">AZ67+AZ69+AZ70+AZ71+AZ72+AZ73+AZ75+AZ76+AZ77+AZ78</f>
        <v>0</v>
      </c>
      <c r="BA79" s="44" t="n">
        <f aca="false">BA67+BA69+BA70+BA71+BA72+BA73+BA75+BA76+BA77+BA78</f>
        <v>0</v>
      </c>
      <c r="BB79" s="44" t="n">
        <f aca="false">BB67+BB69+BB70+BB71+BB72+BB73+BB75+BB76+BB77+BB78</f>
        <v>0</v>
      </c>
      <c r="BC79" s="44" t="n">
        <f aca="false">BC67+BC69+BC70+BC71+BC72+BC73+BC75+BC76+BC77+BC78</f>
        <v>0</v>
      </c>
      <c r="BD79" s="44" t="n">
        <f aca="false">BD67+BD69+BD70+BD71+BD72+BD73+BD75+BD76+BD77+BD78</f>
        <v>0</v>
      </c>
      <c r="BE79" s="44" t="n">
        <f aca="false">BE67+BE69+BE70+BE71+BE72+BE73+BE75+BE76+BE77+BE78</f>
        <v>0</v>
      </c>
      <c r="BF79" s="44" t="n">
        <f aca="false">BF67+BF69+BF70+BF71+BF72+BF73+BF75+BF76+BF77+BF78</f>
        <v>0</v>
      </c>
      <c r="BG79" s="44" t="n">
        <f aca="false">BG67+BG69+BG70+BG71+BG72+BG73+BG75+BG76+BG77+BG78</f>
        <v>0</v>
      </c>
      <c r="BH79" s="44" t="n">
        <f aca="false">BH67+BH69+BH70+BH71+BH72+BH73+BH75+BH76+BH77+BH78</f>
        <v>0</v>
      </c>
      <c r="BI79" s="44" t="n">
        <f aca="false">BI67+BI69+BI70+BI71+BI72+BI73+BI75+BI76+BI77+BI78</f>
        <v>0</v>
      </c>
      <c r="BJ79" s="44" t="n">
        <f aca="false">BJ67+BJ69+BJ70+BJ71+BJ72+BJ73+BJ75+BJ76+BJ77+BJ78</f>
        <v>0</v>
      </c>
      <c r="BK79" s="44" t="n">
        <f aca="false">BK67+BK69+BK70+BK71+BK72+BK73+BK75+BK76+BK77+BK78</f>
        <v>0</v>
      </c>
      <c r="BL79" s="44" t="n">
        <f aca="false">BL67+BL69+BL70+BL71+BL72+BL73+BL75+BL76+BL77+BL78</f>
        <v>0</v>
      </c>
      <c r="BM79" s="44" t="n">
        <f aca="false">BM67+BM69+BM70+BM71+BM72+BM73+BM75+BM76+BM77+BM78</f>
        <v>0</v>
      </c>
      <c r="BN79" s="44" t="n">
        <f aca="false">BN67+BN69+BN70+BN71+BN72+BN73+BN75+BN76+BN77+BN78</f>
        <v>0</v>
      </c>
      <c r="BO79" s="44" t="n">
        <f aca="false">BO67+BO69+BO70+BO71+BO72+BO73+BO75+BO76+BO77+BO78</f>
        <v>0</v>
      </c>
      <c r="BP79" s="44" t="n">
        <f aca="false">BP67+BP69+BP70+BP71+BP72+BP73+BP75+BP76+BP77+BP78</f>
        <v>0</v>
      </c>
      <c r="BQ79" s="44" t="n">
        <f aca="false">BQ67+BQ69+BQ70+BQ71+BQ72+BQ73+BQ75+BQ76+BQ77+BQ78</f>
        <v>0</v>
      </c>
      <c r="BR79" s="44" t="n">
        <f aca="false">BR67+BR69+BR70+BR71+BR72+BR73+BR75+BR76+BR77+BR78</f>
        <v>0</v>
      </c>
      <c r="BS79" s="44" t="n">
        <f aca="false">BS67+BS69+BS70+BS71+BS72+BS73+BS75+BS76+BS77+BS78</f>
        <v>0</v>
      </c>
      <c r="BT79" s="44" t="n">
        <f aca="false">BT67+BT69+BT70+BT71+BT72+BT73+BT75+BT76+BT77+BT78</f>
        <v>0</v>
      </c>
      <c r="BU79" s="44" t="n">
        <f aca="false">BU67+BU69+BU70+BU71+BU72+BU73+BU75+BU76+BU77+BU78</f>
        <v>0</v>
      </c>
      <c r="BV79" s="44" t="n">
        <f aca="false">BV67+BV69+BV70+BV71+BV72+BV73+BV75+BV76+BV77+BV78</f>
        <v>0</v>
      </c>
      <c r="BW79" s="44" t="n">
        <f aca="false">BW67+BW69+BW70+BW71+BW72+BW73+BW75+BW76+BW77+BW78</f>
        <v>0</v>
      </c>
      <c r="BX79" s="44" t="n">
        <f aca="false">BX67+BX69+BX70+BX71+BX72+BX73+BX75+BX76+BX77+BX78</f>
        <v>0</v>
      </c>
    </row>
    <row r="80" customFormat="false" ht="15" hidden="false" customHeight="false" outlineLevel="0" collapsed="false">
      <c r="A80" s="1"/>
      <c r="B80" s="4" t="s">
        <v>345</v>
      </c>
      <c r="C80" s="8" t="s">
        <v>126</v>
      </c>
      <c r="D80" s="44" t="n">
        <f aca="false">SUM(G80:BX80)</f>
        <v>132.65155270232</v>
      </c>
      <c r="E80" s="1"/>
      <c r="F80" s="1"/>
      <c r="G80" s="44" t="n">
        <f aca="false">G63-G79</f>
        <v>0</v>
      </c>
      <c r="H80" s="44" t="n">
        <f aca="false">H63-H79</f>
        <v>0</v>
      </c>
      <c r="I80" s="44" t="n">
        <f aca="false">I63-I79</f>
        <v>0</v>
      </c>
      <c r="J80" s="44" t="n">
        <f aca="false">J63-J79</f>
        <v>0</v>
      </c>
      <c r="K80" s="44" t="n">
        <f aca="false">K63-K79</f>
        <v>11.202527216948</v>
      </c>
      <c r="L80" s="44" t="n">
        <f aca="false">L63-L79</f>
        <v>9.95669741021468</v>
      </c>
      <c r="M80" s="44" t="n">
        <f aca="false">M63-M79</f>
        <v>8.8435786963913</v>
      </c>
      <c r="N80" s="44" t="n">
        <f aca="false">N63-N79</f>
        <v>7.8610085558177</v>
      </c>
      <c r="O80" s="44" t="n">
        <f aca="false">O63-O79</f>
        <v>6.92435148188244</v>
      </c>
      <c r="P80" s="44" t="n">
        <f aca="false">P63-P79</f>
        <v>6.44058364183067</v>
      </c>
      <c r="Q80" s="44" t="n">
        <f aca="false">Q63-Q79</f>
        <v>5.97582374275148</v>
      </c>
      <c r="R80" s="44" t="n">
        <f aca="false">R63-R79</f>
        <v>5.52820705916249</v>
      </c>
      <c r="S80" s="44" t="n">
        <f aca="false">S63-S79</f>
        <v>5.09453383038347</v>
      </c>
      <c r="T80" s="44" t="n">
        <f aca="false">T63-T79</f>
        <v>4.67563877873673</v>
      </c>
      <c r="U80" s="44" t="n">
        <f aca="false">U63-U79</f>
        <v>4.57306631822742</v>
      </c>
      <c r="V80" s="44" t="n">
        <f aca="false">V63-V79</f>
        <v>4.47466888492322</v>
      </c>
      <c r="W80" s="44" t="n">
        <f aca="false">W63-W79</f>
        <v>4.37703940467967</v>
      </c>
      <c r="X80" s="44" t="n">
        <f aca="false">X63-X79</f>
        <v>4.28445962895268</v>
      </c>
      <c r="Y80" s="44" t="n">
        <f aca="false">Y63-Y79</f>
        <v>4.18757262893177</v>
      </c>
      <c r="Z80" s="44" t="n">
        <f aca="false">Z63-Z79</f>
        <v>4.0965806028739</v>
      </c>
      <c r="AA80" s="44" t="n">
        <f aca="false">AA63-AA79</f>
        <v>4.00519744294436</v>
      </c>
      <c r="AB80" s="44" t="n">
        <f aca="false">AB63-AB79</f>
        <v>3.90838913655566</v>
      </c>
      <c r="AC80" s="44" t="n">
        <f aca="false">AC63-AC79</f>
        <v>3.81614909720906</v>
      </c>
      <c r="AD80" s="44" t="n">
        <f aca="false">AD63-AD79</f>
        <v>3.72194205578255</v>
      </c>
      <c r="AE80" s="44" t="n">
        <f aca="false">AE63-AE79</f>
        <v>3.72918376281474</v>
      </c>
      <c r="AF80" s="44" t="n">
        <f aca="false">AF63-AF79</f>
        <v>3.73590605632346</v>
      </c>
      <c r="AG80" s="44" t="n">
        <f aca="false">AG63-AG79</f>
        <v>3.73929524027708</v>
      </c>
      <c r="AH80" s="44" t="n">
        <f aca="false">AH63-AH79</f>
        <v>3.74528375229711</v>
      </c>
      <c r="AI80" s="44" t="n">
        <f aca="false">AI63-AI79</f>
        <v>3.7538682754082</v>
      </c>
      <c r="AJ80" s="44" t="n">
        <f aca="false">AJ63-AJ79</f>
        <v>0</v>
      </c>
      <c r="AK80" s="44" t="n">
        <f aca="false">AK63-AK79</f>
        <v>0</v>
      </c>
      <c r="AL80" s="44" t="n">
        <f aca="false">AL63-AL79</f>
        <v>0</v>
      </c>
      <c r="AM80" s="44" t="n">
        <f aca="false">AM63-AM79</f>
        <v>0</v>
      </c>
      <c r="AN80" s="44" t="n">
        <f aca="false">AN63-AN79</f>
        <v>0</v>
      </c>
      <c r="AO80" s="44" t="n">
        <f aca="false">AO63-AO79</f>
        <v>0</v>
      </c>
      <c r="AP80" s="44" t="n">
        <f aca="false">AP63-AP79</f>
        <v>0</v>
      </c>
      <c r="AQ80" s="44" t="n">
        <f aca="false">AQ63-AQ79</f>
        <v>0</v>
      </c>
      <c r="AR80" s="44" t="n">
        <f aca="false">AR63-AR79</f>
        <v>0</v>
      </c>
      <c r="AS80" s="44" t="n">
        <f aca="false">AS63-AS79</f>
        <v>0</v>
      </c>
      <c r="AT80" s="44" t="n">
        <f aca="false">AT63-AT79</f>
        <v>0</v>
      </c>
      <c r="AU80" s="44" t="n">
        <f aca="false">AU63-AU79</f>
        <v>0</v>
      </c>
      <c r="AV80" s="44" t="n">
        <f aca="false">AV63-AV79</f>
        <v>0</v>
      </c>
      <c r="AW80" s="44" t="n">
        <f aca="false">AW63-AW79</f>
        <v>0</v>
      </c>
      <c r="AX80" s="44" t="n">
        <f aca="false">AX63-AX79</f>
        <v>0</v>
      </c>
      <c r="AY80" s="44" t="n">
        <f aca="false">AY63-AY79</f>
        <v>0</v>
      </c>
      <c r="AZ80" s="44" t="n">
        <f aca="false">AZ63-AZ79</f>
        <v>0</v>
      </c>
      <c r="BA80" s="44" t="n">
        <f aca="false">BA63-BA79</f>
        <v>0</v>
      </c>
      <c r="BB80" s="44" t="n">
        <f aca="false">BB63-BB79</f>
        <v>0</v>
      </c>
      <c r="BC80" s="44" t="n">
        <f aca="false">BC63-BC79</f>
        <v>0</v>
      </c>
      <c r="BD80" s="44" t="n">
        <f aca="false">BD63-BD79</f>
        <v>0</v>
      </c>
      <c r="BE80" s="44" t="n">
        <f aca="false">BE63-BE79</f>
        <v>0</v>
      </c>
      <c r="BF80" s="44" t="n">
        <f aca="false">BF63-BF79</f>
        <v>0</v>
      </c>
      <c r="BG80" s="44" t="n">
        <f aca="false">BG63-BG79</f>
        <v>0</v>
      </c>
      <c r="BH80" s="44" t="n">
        <f aca="false">BH63-BH79</f>
        <v>0</v>
      </c>
      <c r="BI80" s="44" t="n">
        <f aca="false">BI63-BI79</f>
        <v>0</v>
      </c>
      <c r="BJ80" s="44" t="n">
        <f aca="false">BJ63-BJ79</f>
        <v>0</v>
      </c>
      <c r="BK80" s="44" t="n">
        <f aca="false">BK63-BK79</f>
        <v>0</v>
      </c>
      <c r="BL80" s="44" t="n">
        <f aca="false">BL63-BL79</f>
        <v>0</v>
      </c>
      <c r="BM80" s="44" t="n">
        <f aca="false">BM63-BM79</f>
        <v>0</v>
      </c>
      <c r="BN80" s="44" t="n">
        <f aca="false">BN63-BN79</f>
        <v>0</v>
      </c>
      <c r="BO80" s="44" t="n">
        <f aca="false">BO63-BO79</f>
        <v>0</v>
      </c>
      <c r="BP80" s="44" t="n">
        <f aca="false">BP63-BP79</f>
        <v>0</v>
      </c>
      <c r="BQ80" s="44" t="n">
        <f aca="false">BQ63-BQ79</f>
        <v>0</v>
      </c>
      <c r="BR80" s="44" t="n">
        <f aca="false">BR63-BR79</f>
        <v>0</v>
      </c>
      <c r="BS80" s="44" t="n">
        <f aca="false">BS63-BS79</f>
        <v>0</v>
      </c>
      <c r="BT80" s="44" t="n">
        <f aca="false">BT63-BT79</f>
        <v>0</v>
      </c>
      <c r="BU80" s="44" t="n">
        <f aca="false">BU63-BU79</f>
        <v>0</v>
      </c>
      <c r="BV80" s="44" t="n">
        <f aca="false">BV63-BV79</f>
        <v>0</v>
      </c>
      <c r="BW80" s="44" t="n">
        <f aca="false">BW63-BW79</f>
        <v>0</v>
      </c>
      <c r="BX80" s="44" t="n">
        <f aca="false">BX63-BX79</f>
        <v>0</v>
      </c>
    </row>
    <row r="81" customFormat="false" ht="15" hidden="false" customHeight="false" outlineLevel="0" collapsed="false">
      <c r="A81" s="1"/>
      <c r="B81" s="8" t="s">
        <v>430</v>
      </c>
      <c r="C81" s="8" t="s">
        <v>126</v>
      </c>
      <c r="D81" s="44" t="n">
        <f aca="false">SUM(G81:BX81)</f>
        <v>13.68</v>
      </c>
      <c r="E81" s="1"/>
      <c r="F81" s="1"/>
      <c r="G81" s="48" t="n">
        <f aca="false">IF(G$4=$D$10+$D$11-1,$D$29*$D$24,0)</f>
        <v>0</v>
      </c>
      <c r="H81" s="48" t="n">
        <f aca="false">IF(H$4=$D$10+$D$11-1,$D$29*$D$24,0)</f>
        <v>0</v>
      </c>
      <c r="I81" s="48" t="n">
        <f aca="false">IF(I$4=$D$10+$D$11-1,$D$29*$D$24,0)</f>
        <v>0</v>
      </c>
      <c r="J81" s="48" t="n">
        <f aca="false">IF(J$4=$D$10+$D$11-1,$D$29*$D$24,0)</f>
        <v>0</v>
      </c>
      <c r="K81" s="48" t="n">
        <f aca="false">IF(K$4=$D$10+$D$11-1,$D$29*$D$24,0)</f>
        <v>0</v>
      </c>
      <c r="L81" s="48" t="n">
        <f aca="false">IF(L$4=$D$10+$D$11-1,$D$29*$D$24,0)</f>
        <v>0</v>
      </c>
      <c r="M81" s="48" t="n">
        <f aca="false">IF(M$4=$D$10+$D$11-1,$D$29*$D$24,0)</f>
        <v>0</v>
      </c>
      <c r="N81" s="48" t="n">
        <f aca="false">IF(N$4=$D$10+$D$11-1,$D$29*$D$24,0)</f>
        <v>0</v>
      </c>
      <c r="O81" s="48" t="n">
        <f aca="false">IF(O$4=$D$10+$D$11-1,$D$29*$D$24,0)</f>
        <v>0</v>
      </c>
      <c r="P81" s="48" t="n">
        <f aca="false">IF(P$4=$D$10+$D$11-1,$D$29*$D$24,0)</f>
        <v>0</v>
      </c>
      <c r="Q81" s="48" t="n">
        <f aca="false">IF(Q$4=$D$10+$D$11-1,$D$29*$D$24,0)</f>
        <v>0</v>
      </c>
      <c r="R81" s="48" t="n">
        <f aca="false">IF(R$4=$D$10+$D$11-1,$D$29*$D$24,0)</f>
        <v>0</v>
      </c>
      <c r="S81" s="48" t="n">
        <f aca="false">IF(S$4=$D$10+$D$11-1,$D$29*$D$24,0)</f>
        <v>0</v>
      </c>
      <c r="T81" s="48" t="n">
        <f aca="false">IF(T$4=$D$10+$D$11-1,$D$29*$D$24,0)</f>
        <v>0</v>
      </c>
      <c r="U81" s="48" t="n">
        <f aca="false">IF(U$4=$D$10+$D$11-1,$D$29*$D$24,0)</f>
        <v>0</v>
      </c>
      <c r="V81" s="48" t="n">
        <f aca="false">IF(V$4=$D$10+$D$11-1,$D$29*$D$24,0)</f>
        <v>0</v>
      </c>
      <c r="W81" s="48" t="n">
        <f aca="false">IF(W$4=$D$10+$D$11-1,$D$29*$D$24,0)</f>
        <v>0</v>
      </c>
      <c r="X81" s="48" t="n">
        <f aca="false">IF(X$4=$D$10+$D$11-1,$D$29*$D$24,0)</f>
        <v>0</v>
      </c>
      <c r="Y81" s="48" t="n">
        <f aca="false">IF(Y$4=$D$10+$D$11-1,$D$29*$D$24,0)</f>
        <v>0</v>
      </c>
      <c r="Z81" s="48" t="n">
        <f aca="false">IF(Z$4=$D$10+$D$11-1,$D$29*$D$24,0)</f>
        <v>0</v>
      </c>
      <c r="AA81" s="48" t="n">
        <f aca="false">IF(AA$4=$D$10+$D$11-1,$D$29*$D$24,0)</f>
        <v>0</v>
      </c>
      <c r="AB81" s="48" t="n">
        <f aca="false">IF(AB$4=$D$10+$D$11-1,$D$29*$D$24,0)</f>
        <v>0</v>
      </c>
      <c r="AC81" s="48" t="n">
        <f aca="false">IF(AC$4=$D$10+$D$11-1,$D$29*$D$24,0)</f>
        <v>0</v>
      </c>
      <c r="AD81" s="48" t="n">
        <f aca="false">IF(AD$4=$D$10+$D$11-1,$D$29*$D$24,0)</f>
        <v>0</v>
      </c>
      <c r="AE81" s="48" t="n">
        <f aca="false">IF(AE$4=$D$10+$D$11-1,$D$29*$D$24,0)</f>
        <v>0</v>
      </c>
      <c r="AF81" s="48" t="n">
        <f aca="false">IF(AF$4=$D$10+$D$11-1,$D$29*$D$24,0)</f>
        <v>0</v>
      </c>
      <c r="AG81" s="48" t="n">
        <f aca="false">IF(AG$4=$D$10+$D$11-1,$D$29*$D$24,0)</f>
        <v>0</v>
      </c>
      <c r="AH81" s="48" t="n">
        <f aca="false">IF(AH$4=$D$10+$D$11-1,$D$29*$D$24,0)</f>
        <v>0</v>
      </c>
      <c r="AI81" s="48" t="n">
        <f aca="false">IF(AI$4=$D$10+$D$11-1,$D$29*$D$24,0)</f>
        <v>13.68</v>
      </c>
      <c r="AJ81" s="48" t="n">
        <f aca="false">IF(AJ$4=$D$10+$D$11-1,$D$29*$D$24,0)</f>
        <v>0</v>
      </c>
      <c r="AK81" s="48" t="n">
        <f aca="false">IF(AK$4=$D$10+$D$11-1,$D$29*$D$24,0)</f>
        <v>0</v>
      </c>
      <c r="AL81" s="48" t="n">
        <f aca="false">IF(AL$4=$D$10+$D$11-1,$D$29*$D$24,0)</f>
        <v>0</v>
      </c>
      <c r="AM81" s="48" t="n">
        <f aca="false">IF(AM$4=$D$10+$D$11-1,$D$29*$D$24,0)</f>
        <v>0</v>
      </c>
      <c r="AN81" s="48" t="n">
        <f aca="false">IF(AN$4=$D$10+$D$11-1,$D$29*$D$24,0)</f>
        <v>0</v>
      </c>
      <c r="AO81" s="48" t="n">
        <f aca="false">IF(AO$4=$D$10+$D$11-1,$D$29*$D$24,0)</f>
        <v>0</v>
      </c>
      <c r="AP81" s="48" t="n">
        <f aca="false">IF(AP$4=$D$10+$D$11-1,$D$29*$D$24,0)</f>
        <v>0</v>
      </c>
      <c r="AQ81" s="48" t="n">
        <f aca="false">IF(AQ$4=$D$10+$D$11-1,$D$29*$D$24,0)</f>
        <v>0</v>
      </c>
      <c r="AR81" s="48" t="n">
        <f aca="false">IF(AR$4=$D$10+$D$11-1,$D$29*$D$24,0)</f>
        <v>0</v>
      </c>
      <c r="AS81" s="48" t="n">
        <f aca="false">IF(AS$4=$D$10+$D$11-1,$D$29*$D$24,0)</f>
        <v>0</v>
      </c>
      <c r="AT81" s="48" t="n">
        <f aca="false">IF(AT$4=$D$10+$D$11-1,$D$29*$D$24,0)</f>
        <v>0</v>
      </c>
      <c r="AU81" s="48" t="n">
        <f aca="false">IF(AU$4=$D$10+$D$11-1,$D$29*$D$24,0)</f>
        <v>0</v>
      </c>
      <c r="AV81" s="48" t="n">
        <f aca="false">IF(AV$4=$D$10+$D$11-1,$D$29*$D$24,0)</f>
        <v>0</v>
      </c>
      <c r="AW81" s="48" t="n">
        <f aca="false">IF(AW$4=$D$10+$D$11-1,$D$29*$D$24,0)</f>
        <v>0</v>
      </c>
      <c r="AX81" s="48" t="n">
        <f aca="false">IF(AX$4=$D$10+$D$11-1,$D$29*$D$24,0)</f>
        <v>0</v>
      </c>
      <c r="AY81" s="48" t="n">
        <f aca="false">IF(AY$4=$D$10+$D$11-1,$D$29*$D$24,0)</f>
        <v>0</v>
      </c>
      <c r="AZ81" s="48" t="n">
        <f aca="false">IF(AZ$4=$D$10+$D$11-1,$D$29*$D$24,0)</f>
        <v>0</v>
      </c>
      <c r="BA81" s="48" t="n">
        <f aca="false">IF(BA$4=$D$10+$D$11-1,$D$29*$D$24,0)</f>
        <v>0</v>
      </c>
      <c r="BB81" s="48" t="n">
        <f aca="false">IF(BB$4=$D$10+$D$11-1,$D$29*$D$24,0)</f>
        <v>0</v>
      </c>
      <c r="BC81" s="48" t="n">
        <f aca="false">IF(BC$4=$D$10+$D$11-1,$D$29*$D$24,0)</f>
        <v>0</v>
      </c>
      <c r="BD81" s="48" t="n">
        <f aca="false">IF(BD$4=$D$10+$D$11-1,$D$29*$D$24,0)</f>
        <v>0</v>
      </c>
      <c r="BE81" s="48" t="n">
        <f aca="false">IF(BE$4=$D$10+$D$11-1,$D$29*$D$24,0)</f>
        <v>0</v>
      </c>
      <c r="BF81" s="48" t="n">
        <f aca="false">IF(BF$4=$D$10+$D$11-1,$D$29*$D$24,0)</f>
        <v>0</v>
      </c>
      <c r="BG81" s="48" t="n">
        <f aca="false">IF(BG$4=$D$10+$D$11-1,$D$29*$D$24,0)</f>
        <v>0</v>
      </c>
      <c r="BH81" s="48" t="n">
        <f aca="false">IF(BH$4=$D$10+$D$11-1,$D$29*$D$24,0)</f>
        <v>0</v>
      </c>
      <c r="BI81" s="48" t="n">
        <f aca="false">IF(BI$4=$D$10+$D$11-1,$D$29*$D$24,0)</f>
        <v>0</v>
      </c>
      <c r="BJ81" s="48" t="n">
        <f aca="false">IF(BJ$4=$D$10+$D$11-1,$D$29*$D$24,0)</f>
        <v>0</v>
      </c>
      <c r="BK81" s="48" t="n">
        <f aca="false">IF(BK$4=$D$10+$D$11-1,$D$29*$D$24,0)</f>
        <v>0</v>
      </c>
      <c r="BL81" s="48" t="n">
        <f aca="false">IF(BL$4=$D$10+$D$11-1,$D$29*$D$24,0)</f>
        <v>0</v>
      </c>
      <c r="BM81" s="48" t="n">
        <f aca="false">IF(BM$4=$D$10+$D$11-1,$D$29*$D$24,0)</f>
        <v>0</v>
      </c>
      <c r="BN81" s="48" t="n">
        <f aca="false">IF(BN$4=$D$10+$D$11-1,$D$29*$D$24,0)</f>
        <v>0</v>
      </c>
      <c r="BO81" s="48" t="n">
        <f aca="false">IF(BO$4=$D$10+$D$11-1,$D$29*$D$24,0)</f>
        <v>0</v>
      </c>
      <c r="BP81" s="48" t="n">
        <f aca="false">IF(BP$4=$D$10+$D$11-1,$D$29*$D$24,0)</f>
        <v>0</v>
      </c>
      <c r="BQ81" s="48" t="n">
        <f aca="false">IF(BQ$4=$D$10+$D$11-1,$D$29*$D$24,0)</f>
        <v>0</v>
      </c>
      <c r="BR81" s="48" t="n">
        <f aca="false">IF(BR$4=$D$10+$D$11-1,$D$29*$D$24,0)</f>
        <v>0</v>
      </c>
      <c r="BS81" s="48" t="n">
        <f aca="false">IF(BS$4=$D$10+$D$11-1,$D$29*$D$24,0)</f>
        <v>0</v>
      </c>
      <c r="BT81" s="48" t="n">
        <f aca="false">IF(BT$4=$D$10+$D$11-1,$D$29*$D$24,0)</f>
        <v>0</v>
      </c>
      <c r="BU81" s="48" t="n">
        <f aca="false">IF(BU$4=$D$10+$D$11-1,$D$29*$D$24,0)</f>
        <v>0</v>
      </c>
      <c r="BV81" s="48" t="n">
        <f aca="false">IF(BV$4=$D$10+$D$11-1,$D$29*$D$24,0)</f>
        <v>0</v>
      </c>
      <c r="BW81" s="48" t="n">
        <f aca="false">IF(BW$4=$D$10+$D$11-1,$D$29*$D$24,0)</f>
        <v>0</v>
      </c>
      <c r="BX81" s="48" t="n">
        <f aca="false">IF(BX$4=$D$10+$D$11-1,$D$29*$D$24,0)</f>
        <v>0</v>
      </c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</row>
    <row r="83" customFormat="false" ht="15" hidden="false" customHeight="false" outlineLevel="0" collapsed="false">
      <c r="A83" s="1"/>
      <c r="B83" s="13" t="s">
        <v>347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</row>
    <row r="84" customFormat="false" ht="15" hidden="false" customHeight="false" outlineLevel="0" collapsed="false">
      <c r="A84" s="1"/>
      <c r="B84" s="8" t="s">
        <v>348</v>
      </c>
      <c r="C84" s="8" t="s">
        <v>126</v>
      </c>
      <c r="D84" s="44" t="n">
        <f aca="false">SUM(G84:BX84)</f>
        <v>18.675</v>
      </c>
      <c r="E84" s="1"/>
      <c r="F84" s="1"/>
      <c r="G84" s="48" t="n">
        <f aca="false">IF(AND(G38=1,G39&lt;=ROUNDUP(1/Input!$H$142,0)),MIN($D$48*Input!$H$135*Input!$H$142,MAX($D$48*Input!$H$135-$D$48*Input!$H$135*Input!$H$142*(G39-1),0)),0)</f>
        <v>0</v>
      </c>
      <c r="H84" s="48" t="n">
        <f aca="false">IF(AND(H38=1,H39&lt;=ROUNDUP(1/Input!$H$142,0)),MIN($D$48*Input!$H$135*Input!$H$142,MAX($D$48*Input!$H$135-$D$48*Input!$H$135*Input!$H$142*(H39-1),0)),0)</f>
        <v>0</v>
      </c>
      <c r="I84" s="48" t="n">
        <f aca="false">IF(AND(I38=1,I39&lt;=ROUNDUP(1/Input!$H$142,0)),MIN($D$48*Input!$H$135*Input!$H$142,MAX($D$48*Input!$H$135-$D$48*Input!$H$135*Input!$H$142*(I39-1),0)),0)</f>
        <v>0</v>
      </c>
      <c r="J84" s="48" t="n">
        <f aca="false">IF(AND(J38=1,J39&lt;=ROUNDUP(1/Input!$H$142,0)),MIN($D$48*Input!$H$135*Input!$H$142,MAX($D$48*Input!$H$135-$D$48*Input!$H$135*Input!$H$142*(J39-1),0)),0)</f>
        <v>0</v>
      </c>
      <c r="K84" s="48" t="n">
        <f aca="false">IF(AND(K38=1,K39&lt;=ROUNDUP(1/Input!$H$142,0)),MIN($D$48*Input!$H$135*Input!$H$142,MAX($D$48*Input!$H$135-$D$48*Input!$H$135*Input!$H$142*(K39-1),0)),0)</f>
        <v>0.747</v>
      </c>
      <c r="L84" s="48" t="n">
        <f aca="false">IF(AND(L38=1,L39&lt;=ROUNDUP(1/Input!$H$142,0)),MIN($D$48*Input!$H$135*Input!$H$142,MAX($D$48*Input!$H$135-$D$48*Input!$H$135*Input!$H$142*(L39-1),0)),0)</f>
        <v>0.747</v>
      </c>
      <c r="M84" s="48" t="n">
        <f aca="false">IF(AND(M38=1,M39&lt;=ROUNDUP(1/Input!$H$142,0)),MIN($D$48*Input!$H$135*Input!$H$142,MAX($D$48*Input!$H$135-$D$48*Input!$H$135*Input!$H$142*(M39-1),0)),0)</f>
        <v>0.747</v>
      </c>
      <c r="N84" s="48" t="n">
        <f aca="false">IF(AND(N38=1,N39&lt;=ROUNDUP(1/Input!$H$142,0)),MIN($D$48*Input!$H$135*Input!$H$142,MAX($D$48*Input!$H$135-$D$48*Input!$H$135*Input!$H$142*(N39-1),0)),0)</f>
        <v>0.747</v>
      </c>
      <c r="O84" s="48" t="n">
        <f aca="false">IF(AND(O38=1,O39&lt;=ROUNDUP(1/Input!$H$142,0)),MIN($D$48*Input!$H$135*Input!$H$142,MAX($D$48*Input!$H$135-$D$48*Input!$H$135*Input!$H$142*(O39-1),0)),0)</f>
        <v>0.747</v>
      </c>
      <c r="P84" s="48" t="n">
        <f aca="false">IF(AND(P38=1,P39&lt;=ROUNDUP(1/Input!$H$142,0)),MIN($D$48*Input!$H$135*Input!$H$142,MAX($D$48*Input!$H$135-$D$48*Input!$H$135*Input!$H$142*(P39-1),0)),0)</f>
        <v>0.747</v>
      </c>
      <c r="Q84" s="48" t="n">
        <f aca="false">IF(AND(Q38=1,Q39&lt;=ROUNDUP(1/Input!$H$142,0)),MIN($D$48*Input!$H$135*Input!$H$142,MAX($D$48*Input!$H$135-$D$48*Input!$H$135*Input!$H$142*(Q39-1),0)),0)</f>
        <v>0.747</v>
      </c>
      <c r="R84" s="48" t="n">
        <f aca="false">IF(AND(R38=1,R39&lt;=ROUNDUP(1/Input!$H$142,0)),MIN($D$48*Input!$H$135*Input!$H$142,MAX($D$48*Input!$H$135-$D$48*Input!$H$135*Input!$H$142*(R39-1),0)),0)</f>
        <v>0.747</v>
      </c>
      <c r="S84" s="48" t="n">
        <f aca="false">IF(AND(S38=1,S39&lt;=ROUNDUP(1/Input!$H$142,0)),MIN($D$48*Input!$H$135*Input!$H$142,MAX($D$48*Input!$H$135-$D$48*Input!$H$135*Input!$H$142*(S39-1),0)),0)</f>
        <v>0.747</v>
      </c>
      <c r="T84" s="48" t="n">
        <f aca="false">IF(AND(T38=1,T39&lt;=ROUNDUP(1/Input!$H$142,0)),MIN($D$48*Input!$H$135*Input!$H$142,MAX($D$48*Input!$H$135-$D$48*Input!$H$135*Input!$H$142*(T39-1),0)),0)</f>
        <v>0.747</v>
      </c>
      <c r="U84" s="48" t="n">
        <f aca="false">IF(AND(U38=1,U39&lt;=ROUNDUP(1/Input!$H$142,0)),MIN($D$48*Input!$H$135*Input!$H$142,MAX($D$48*Input!$H$135-$D$48*Input!$H$135*Input!$H$142*(U39-1),0)),0)</f>
        <v>0.747</v>
      </c>
      <c r="V84" s="48" t="n">
        <f aca="false">IF(AND(V38=1,V39&lt;=ROUNDUP(1/Input!$H$142,0)),MIN($D$48*Input!$H$135*Input!$H$142,MAX($D$48*Input!$H$135-$D$48*Input!$H$135*Input!$H$142*(V39-1),0)),0)</f>
        <v>0.747</v>
      </c>
      <c r="W84" s="48" t="n">
        <f aca="false">IF(AND(W38=1,W39&lt;=ROUNDUP(1/Input!$H$142,0)),MIN($D$48*Input!$H$135*Input!$H$142,MAX($D$48*Input!$H$135-$D$48*Input!$H$135*Input!$H$142*(W39-1),0)),0)</f>
        <v>0.747</v>
      </c>
      <c r="X84" s="48" t="n">
        <f aca="false">IF(AND(X38=1,X39&lt;=ROUNDUP(1/Input!$H$142,0)),MIN($D$48*Input!$H$135*Input!$H$142,MAX($D$48*Input!$H$135-$D$48*Input!$H$135*Input!$H$142*(X39-1),0)),0)</f>
        <v>0.747</v>
      </c>
      <c r="Y84" s="48" t="n">
        <f aca="false">IF(AND(Y38=1,Y39&lt;=ROUNDUP(1/Input!$H$142,0)),MIN($D$48*Input!$H$135*Input!$H$142,MAX($D$48*Input!$H$135-$D$48*Input!$H$135*Input!$H$142*(Y39-1),0)),0)</f>
        <v>0.747</v>
      </c>
      <c r="Z84" s="48" t="n">
        <f aca="false">IF(AND(Z38=1,Z39&lt;=ROUNDUP(1/Input!$H$142,0)),MIN($D$48*Input!$H$135*Input!$H$142,MAX($D$48*Input!$H$135-$D$48*Input!$H$135*Input!$H$142*(Z39-1),0)),0)</f>
        <v>0.747</v>
      </c>
      <c r="AA84" s="48" t="n">
        <f aca="false">IF(AND(AA38=1,AA39&lt;=ROUNDUP(1/Input!$H$142,0)),MIN($D$48*Input!$H$135*Input!$H$142,MAX($D$48*Input!$H$135-$D$48*Input!$H$135*Input!$H$142*(AA39-1),0)),0)</f>
        <v>0.747</v>
      </c>
      <c r="AB84" s="48" t="n">
        <f aca="false">IF(AND(AB38=1,AB39&lt;=ROUNDUP(1/Input!$H$142,0)),MIN($D$48*Input!$H$135*Input!$H$142,MAX($D$48*Input!$H$135-$D$48*Input!$H$135*Input!$H$142*(AB39-1),0)),0)</f>
        <v>0.747</v>
      </c>
      <c r="AC84" s="48" t="n">
        <f aca="false">IF(AND(AC38=1,AC39&lt;=ROUNDUP(1/Input!$H$142,0)),MIN($D$48*Input!$H$135*Input!$H$142,MAX($D$48*Input!$H$135-$D$48*Input!$H$135*Input!$H$142*(AC39-1),0)),0)</f>
        <v>0.747</v>
      </c>
      <c r="AD84" s="48" t="n">
        <f aca="false">IF(AND(AD38=1,AD39&lt;=ROUNDUP(1/Input!$H$142,0)),MIN($D$48*Input!$H$135*Input!$H$142,MAX($D$48*Input!$H$135-$D$48*Input!$H$135*Input!$H$142*(AD39-1),0)),0)</f>
        <v>0.747</v>
      </c>
      <c r="AE84" s="48" t="n">
        <f aca="false">IF(AND(AE38=1,AE39&lt;=ROUNDUP(1/Input!$H$142,0)),MIN($D$48*Input!$H$135*Input!$H$142,MAX($D$48*Input!$H$135-$D$48*Input!$H$135*Input!$H$142*(AE39-1),0)),0)</f>
        <v>0.747</v>
      </c>
      <c r="AF84" s="48" t="n">
        <f aca="false">IF(AND(AF38=1,AF39&lt;=ROUNDUP(1/Input!$H$142,0)),MIN($D$48*Input!$H$135*Input!$H$142,MAX($D$48*Input!$H$135-$D$48*Input!$H$135*Input!$H$142*(AF39-1),0)),0)</f>
        <v>0.747</v>
      </c>
      <c r="AG84" s="48" t="n">
        <f aca="false">IF(AND(AG38=1,AG39&lt;=ROUNDUP(1/Input!$H$142,0)),MIN($D$48*Input!$H$135*Input!$H$142,MAX($D$48*Input!$H$135-$D$48*Input!$H$135*Input!$H$142*(AG39-1),0)),0)</f>
        <v>0.747</v>
      </c>
      <c r="AH84" s="48" t="n">
        <f aca="false">IF(AND(AH38=1,AH39&lt;=ROUNDUP(1/Input!$H$142,0)),MIN($D$48*Input!$H$135*Input!$H$142,MAX($D$48*Input!$H$135-$D$48*Input!$H$135*Input!$H$142*(AH39-1),0)),0)</f>
        <v>0.747</v>
      </c>
      <c r="AI84" s="48" t="n">
        <f aca="false">IF(AND(AI38=1,AI39&lt;=ROUNDUP(1/Input!$H$142,0)),MIN($D$48*Input!$H$135*Input!$H$142,MAX($D$48*Input!$H$135-$D$48*Input!$H$135*Input!$H$142*(AI39-1),0)),0)</f>
        <v>0.747</v>
      </c>
      <c r="AJ84" s="48" t="n">
        <f aca="false">IF(AND(AJ38=1,AJ39&lt;=ROUNDUP(1/Input!$H$142,0)),MIN($D$48*Input!$H$135*Input!$H$142,MAX($D$48*Input!$H$135-$D$48*Input!$H$135*Input!$H$142*(AJ39-1),0)),0)</f>
        <v>0</v>
      </c>
      <c r="AK84" s="48" t="n">
        <f aca="false">IF(AND(AK38=1,AK39&lt;=ROUNDUP(1/Input!$H$142,0)),MIN($D$48*Input!$H$135*Input!$H$142,MAX($D$48*Input!$H$135-$D$48*Input!$H$135*Input!$H$142*(AK39-1),0)),0)</f>
        <v>0</v>
      </c>
      <c r="AL84" s="48" t="n">
        <f aca="false">IF(AND(AL38=1,AL39&lt;=ROUNDUP(1/Input!$H$142,0)),MIN($D$48*Input!$H$135*Input!$H$142,MAX($D$48*Input!$H$135-$D$48*Input!$H$135*Input!$H$142*(AL39-1),0)),0)</f>
        <v>0</v>
      </c>
      <c r="AM84" s="48" t="n">
        <f aca="false">IF(AND(AM38=1,AM39&lt;=ROUNDUP(1/Input!$H$142,0)),MIN($D$48*Input!$H$135*Input!$H$142,MAX($D$48*Input!$H$135-$D$48*Input!$H$135*Input!$H$142*(AM39-1),0)),0)</f>
        <v>0</v>
      </c>
      <c r="AN84" s="48" t="n">
        <f aca="false">IF(AND(AN38=1,AN39&lt;=ROUNDUP(1/Input!$H$142,0)),MIN($D$48*Input!$H$135*Input!$H$142,MAX($D$48*Input!$H$135-$D$48*Input!$H$135*Input!$H$142*(AN39-1),0)),0)</f>
        <v>0</v>
      </c>
      <c r="AO84" s="48" t="n">
        <f aca="false">IF(AND(AO38=1,AO39&lt;=ROUNDUP(1/Input!$H$142,0)),MIN($D$48*Input!$H$135*Input!$H$142,MAX($D$48*Input!$H$135-$D$48*Input!$H$135*Input!$H$142*(AO39-1),0)),0)</f>
        <v>0</v>
      </c>
      <c r="AP84" s="48" t="n">
        <f aca="false">IF(AND(AP38=1,AP39&lt;=ROUNDUP(1/Input!$H$142,0)),MIN($D$48*Input!$H$135*Input!$H$142,MAX($D$48*Input!$H$135-$D$48*Input!$H$135*Input!$H$142*(AP39-1),0)),0)</f>
        <v>0</v>
      </c>
      <c r="AQ84" s="48" t="n">
        <f aca="false">IF(AND(AQ38=1,AQ39&lt;=ROUNDUP(1/Input!$H$142,0)),MIN($D$48*Input!$H$135*Input!$H$142,MAX($D$48*Input!$H$135-$D$48*Input!$H$135*Input!$H$142*(AQ39-1),0)),0)</f>
        <v>0</v>
      </c>
      <c r="AR84" s="48" t="n">
        <f aca="false">IF(AND(AR38=1,AR39&lt;=ROUNDUP(1/Input!$H$142,0)),MIN($D$48*Input!$H$135*Input!$H$142,MAX($D$48*Input!$H$135-$D$48*Input!$H$135*Input!$H$142*(AR39-1),0)),0)</f>
        <v>0</v>
      </c>
      <c r="AS84" s="48" t="n">
        <f aca="false">IF(AND(AS38=1,AS39&lt;=ROUNDUP(1/Input!$H$142,0)),MIN($D$48*Input!$H$135*Input!$H$142,MAX($D$48*Input!$H$135-$D$48*Input!$H$135*Input!$H$142*(AS39-1),0)),0)</f>
        <v>0</v>
      </c>
      <c r="AT84" s="48" t="n">
        <f aca="false">IF(AND(AT38=1,AT39&lt;=ROUNDUP(1/Input!$H$142,0)),MIN($D$48*Input!$H$135*Input!$H$142,MAX($D$48*Input!$H$135-$D$48*Input!$H$135*Input!$H$142*(AT39-1),0)),0)</f>
        <v>0</v>
      </c>
      <c r="AU84" s="48" t="n">
        <f aca="false">IF(AND(AU38=1,AU39&lt;=ROUNDUP(1/Input!$H$142,0)),MIN($D$48*Input!$H$135*Input!$H$142,MAX($D$48*Input!$H$135-$D$48*Input!$H$135*Input!$H$142*(AU39-1),0)),0)</f>
        <v>0</v>
      </c>
      <c r="AV84" s="48" t="n">
        <f aca="false">IF(AND(AV38=1,AV39&lt;=ROUNDUP(1/Input!$H$142,0)),MIN($D$48*Input!$H$135*Input!$H$142,MAX($D$48*Input!$H$135-$D$48*Input!$H$135*Input!$H$142*(AV39-1),0)),0)</f>
        <v>0</v>
      </c>
      <c r="AW84" s="48" t="n">
        <f aca="false">IF(AND(AW38=1,AW39&lt;=ROUNDUP(1/Input!$H$142,0)),MIN($D$48*Input!$H$135*Input!$H$142,MAX($D$48*Input!$H$135-$D$48*Input!$H$135*Input!$H$142*(AW39-1),0)),0)</f>
        <v>0</v>
      </c>
      <c r="AX84" s="48" t="n">
        <f aca="false">IF(AND(AX38=1,AX39&lt;=ROUNDUP(1/Input!$H$142,0)),MIN($D$48*Input!$H$135*Input!$H$142,MAX($D$48*Input!$H$135-$D$48*Input!$H$135*Input!$H$142*(AX39-1),0)),0)</f>
        <v>0</v>
      </c>
      <c r="AY84" s="48" t="n">
        <f aca="false">IF(AND(AY38=1,AY39&lt;=ROUNDUP(1/Input!$H$142,0)),MIN($D$48*Input!$H$135*Input!$H$142,MAX($D$48*Input!$H$135-$D$48*Input!$H$135*Input!$H$142*(AY39-1),0)),0)</f>
        <v>0</v>
      </c>
      <c r="AZ84" s="48" t="n">
        <f aca="false">IF(AND(AZ38=1,AZ39&lt;=ROUNDUP(1/Input!$H$142,0)),MIN($D$48*Input!$H$135*Input!$H$142,MAX($D$48*Input!$H$135-$D$48*Input!$H$135*Input!$H$142*(AZ39-1),0)),0)</f>
        <v>0</v>
      </c>
      <c r="BA84" s="48" t="n">
        <f aca="false">IF(AND(BA38=1,BA39&lt;=ROUNDUP(1/Input!$H$142,0)),MIN($D$48*Input!$H$135*Input!$H$142,MAX($D$48*Input!$H$135-$D$48*Input!$H$135*Input!$H$142*(BA39-1),0)),0)</f>
        <v>0</v>
      </c>
      <c r="BB84" s="48" t="n">
        <f aca="false">IF(AND(BB38=1,BB39&lt;=ROUNDUP(1/Input!$H$142,0)),MIN($D$48*Input!$H$135*Input!$H$142,MAX($D$48*Input!$H$135-$D$48*Input!$H$135*Input!$H$142*(BB39-1),0)),0)</f>
        <v>0</v>
      </c>
      <c r="BC84" s="48" t="n">
        <f aca="false">IF(AND(BC38=1,BC39&lt;=ROUNDUP(1/Input!$H$142,0)),MIN($D$48*Input!$H$135*Input!$H$142,MAX($D$48*Input!$H$135-$D$48*Input!$H$135*Input!$H$142*(BC39-1),0)),0)</f>
        <v>0</v>
      </c>
      <c r="BD84" s="48" t="n">
        <f aca="false">IF(AND(BD38=1,BD39&lt;=ROUNDUP(1/Input!$H$142,0)),MIN($D$48*Input!$H$135*Input!$H$142,MAX($D$48*Input!$H$135-$D$48*Input!$H$135*Input!$H$142*(BD39-1),0)),0)</f>
        <v>0</v>
      </c>
      <c r="BE84" s="48" t="n">
        <f aca="false">IF(AND(BE38=1,BE39&lt;=ROUNDUP(1/Input!$H$142,0)),MIN($D$48*Input!$H$135*Input!$H$142,MAX($D$48*Input!$H$135-$D$48*Input!$H$135*Input!$H$142*(BE39-1),0)),0)</f>
        <v>0</v>
      </c>
      <c r="BF84" s="48" t="n">
        <f aca="false">IF(AND(BF38=1,BF39&lt;=ROUNDUP(1/Input!$H$142,0)),MIN($D$48*Input!$H$135*Input!$H$142,MAX($D$48*Input!$H$135-$D$48*Input!$H$135*Input!$H$142*(BF39-1),0)),0)</f>
        <v>0</v>
      </c>
      <c r="BG84" s="48" t="n">
        <f aca="false">IF(AND(BG38=1,BG39&lt;=ROUNDUP(1/Input!$H$142,0)),MIN($D$48*Input!$H$135*Input!$H$142,MAX($D$48*Input!$H$135-$D$48*Input!$H$135*Input!$H$142*(BG39-1),0)),0)</f>
        <v>0</v>
      </c>
      <c r="BH84" s="48" t="n">
        <f aca="false">IF(AND(BH38=1,BH39&lt;=ROUNDUP(1/Input!$H$142,0)),MIN($D$48*Input!$H$135*Input!$H$142,MAX($D$48*Input!$H$135-$D$48*Input!$H$135*Input!$H$142*(BH39-1),0)),0)</f>
        <v>0</v>
      </c>
      <c r="BI84" s="48" t="n">
        <f aca="false">IF(AND(BI38=1,BI39&lt;=ROUNDUP(1/Input!$H$142,0)),MIN($D$48*Input!$H$135*Input!$H$142,MAX($D$48*Input!$H$135-$D$48*Input!$H$135*Input!$H$142*(BI39-1),0)),0)</f>
        <v>0</v>
      </c>
      <c r="BJ84" s="48" t="n">
        <f aca="false">IF(AND(BJ38=1,BJ39&lt;=ROUNDUP(1/Input!$H$142,0)),MIN($D$48*Input!$H$135*Input!$H$142,MAX($D$48*Input!$H$135-$D$48*Input!$H$135*Input!$H$142*(BJ39-1),0)),0)</f>
        <v>0</v>
      </c>
      <c r="BK84" s="48" t="n">
        <f aca="false">IF(AND(BK38=1,BK39&lt;=ROUNDUP(1/Input!$H$142,0)),MIN($D$48*Input!$H$135*Input!$H$142,MAX($D$48*Input!$H$135-$D$48*Input!$H$135*Input!$H$142*(BK39-1),0)),0)</f>
        <v>0</v>
      </c>
      <c r="BL84" s="48" t="n">
        <f aca="false">IF(AND(BL38=1,BL39&lt;=ROUNDUP(1/Input!$H$142,0)),MIN($D$48*Input!$H$135*Input!$H$142,MAX($D$48*Input!$H$135-$D$48*Input!$H$135*Input!$H$142*(BL39-1),0)),0)</f>
        <v>0</v>
      </c>
      <c r="BM84" s="48" t="n">
        <f aca="false">IF(AND(BM38=1,BM39&lt;=ROUNDUP(1/Input!$H$142,0)),MIN($D$48*Input!$H$135*Input!$H$142,MAX($D$48*Input!$H$135-$D$48*Input!$H$135*Input!$H$142*(BM39-1),0)),0)</f>
        <v>0</v>
      </c>
      <c r="BN84" s="48" t="n">
        <f aca="false">IF(AND(BN38=1,BN39&lt;=ROUNDUP(1/Input!$H$142,0)),MIN($D$48*Input!$H$135*Input!$H$142,MAX($D$48*Input!$H$135-$D$48*Input!$H$135*Input!$H$142*(BN39-1),0)),0)</f>
        <v>0</v>
      </c>
      <c r="BO84" s="48" t="n">
        <f aca="false">IF(AND(BO38=1,BO39&lt;=ROUNDUP(1/Input!$H$142,0)),MIN($D$48*Input!$H$135*Input!$H$142,MAX($D$48*Input!$H$135-$D$48*Input!$H$135*Input!$H$142*(BO39-1),0)),0)</f>
        <v>0</v>
      </c>
      <c r="BP84" s="48" t="n">
        <f aca="false">IF(AND(BP38=1,BP39&lt;=ROUNDUP(1/Input!$H$142,0)),MIN($D$48*Input!$H$135*Input!$H$142,MAX($D$48*Input!$H$135-$D$48*Input!$H$135*Input!$H$142*(BP39-1),0)),0)</f>
        <v>0</v>
      </c>
      <c r="BQ84" s="48" t="n">
        <f aca="false">IF(AND(BQ38=1,BQ39&lt;=ROUNDUP(1/Input!$H$142,0)),MIN($D$48*Input!$H$135*Input!$H$142,MAX($D$48*Input!$H$135-$D$48*Input!$H$135*Input!$H$142*(BQ39-1),0)),0)</f>
        <v>0</v>
      </c>
      <c r="BR84" s="48" t="n">
        <f aca="false">IF(AND(BR38=1,BR39&lt;=ROUNDUP(1/Input!$H$142,0)),MIN($D$48*Input!$H$135*Input!$H$142,MAX($D$48*Input!$H$135-$D$48*Input!$H$135*Input!$H$142*(BR39-1),0)),0)</f>
        <v>0</v>
      </c>
      <c r="BS84" s="48" t="n">
        <f aca="false">IF(AND(BS38=1,BS39&lt;=ROUNDUP(1/Input!$H$142,0)),MIN($D$48*Input!$H$135*Input!$H$142,MAX($D$48*Input!$H$135-$D$48*Input!$H$135*Input!$H$142*(BS39-1),0)),0)</f>
        <v>0</v>
      </c>
      <c r="BT84" s="48" t="n">
        <f aca="false">IF(AND(BT38=1,BT39&lt;=ROUNDUP(1/Input!$H$142,0)),MIN($D$48*Input!$H$135*Input!$H$142,MAX($D$48*Input!$H$135-$D$48*Input!$H$135*Input!$H$142*(BT39-1),0)),0)</f>
        <v>0</v>
      </c>
      <c r="BU84" s="48" t="n">
        <f aca="false">IF(AND(BU38=1,BU39&lt;=ROUNDUP(1/Input!$H$142,0)),MIN($D$48*Input!$H$135*Input!$H$142,MAX($D$48*Input!$H$135-$D$48*Input!$H$135*Input!$H$142*(BU39-1),0)),0)</f>
        <v>0</v>
      </c>
      <c r="BV84" s="48" t="n">
        <f aca="false">IF(AND(BV38=1,BV39&lt;=ROUNDUP(1/Input!$H$142,0)),MIN($D$48*Input!$H$135*Input!$H$142,MAX($D$48*Input!$H$135-$D$48*Input!$H$135*Input!$H$142*(BV39-1),0)),0)</f>
        <v>0</v>
      </c>
      <c r="BW84" s="48" t="n">
        <f aca="false">IF(AND(BW38=1,BW39&lt;=ROUNDUP(1/Input!$H$142,0)),MIN($D$48*Input!$H$135*Input!$H$142,MAX($D$48*Input!$H$135-$D$48*Input!$H$135*Input!$H$142*(BW39-1),0)),0)</f>
        <v>0</v>
      </c>
      <c r="BX84" s="48" t="n">
        <f aca="false">IF(AND(BX38=1,BX39&lt;=ROUNDUP(1/Input!$H$142,0)),MIN($D$48*Input!$H$135*Input!$H$142,MAX($D$48*Input!$H$135-$D$48*Input!$H$135*Input!$H$142*(BX39-1),0)),0)</f>
        <v>0</v>
      </c>
    </row>
    <row r="85" customFormat="false" ht="15" hidden="false" customHeight="false" outlineLevel="0" collapsed="false">
      <c r="A85" s="1"/>
      <c r="B85" s="8" t="s">
        <v>349</v>
      </c>
      <c r="C85" s="8" t="s">
        <v>126</v>
      </c>
      <c r="D85" s="44" t="n">
        <f aca="false">SUM(G85:BX85)</f>
        <v>29.88</v>
      </c>
      <c r="E85" s="1"/>
      <c r="F85" s="1"/>
      <c r="G85" s="48" t="n">
        <f aca="false">IF(AND(G38=1,G39&lt;=ROUNDUP(1/Input!$H$143,0)),MIN($D$48*Input!$H$136*Input!$H$143,MAX($D$48*Input!$H$136-$D$48*Input!$H$136*Input!$H$143*(G39-1),0)),0)</f>
        <v>0</v>
      </c>
      <c r="H85" s="48" t="n">
        <f aca="false">IF(AND(H38=1,H39&lt;=ROUNDUP(1/Input!$H$143,0)),MIN($D$48*Input!$H$136*Input!$H$143,MAX($D$48*Input!$H$136-$D$48*Input!$H$136*Input!$H$143*(H39-1),0)),0)</f>
        <v>0</v>
      </c>
      <c r="I85" s="48" t="n">
        <f aca="false">IF(AND(I38=1,I39&lt;=ROUNDUP(1/Input!$H$143,0)),MIN($D$48*Input!$H$136*Input!$H$143,MAX($D$48*Input!$H$136-$D$48*Input!$H$136*Input!$H$143*(I39-1),0)),0)</f>
        <v>0</v>
      </c>
      <c r="J85" s="48" t="n">
        <f aca="false">IF(AND(J38=1,J39&lt;=ROUNDUP(1/Input!$H$143,0)),MIN($D$48*Input!$H$136*Input!$H$143,MAX($D$48*Input!$H$136-$D$48*Input!$H$136*Input!$H$143*(J39-1),0)),0)</f>
        <v>0</v>
      </c>
      <c r="K85" s="48" t="n">
        <f aca="false">IF(AND(K38=1,K39&lt;=ROUNDUP(1/Input!$H$143,0)),MIN($D$48*Input!$H$136*Input!$H$143,MAX($D$48*Input!$H$136-$D$48*Input!$H$136*Input!$H$143*(K39-1),0)),0)</f>
        <v>1.3446</v>
      </c>
      <c r="L85" s="48" t="n">
        <f aca="false">IF(AND(L38=1,L39&lt;=ROUNDUP(1/Input!$H$143,0)),MIN($D$48*Input!$H$136*Input!$H$143,MAX($D$48*Input!$H$136-$D$48*Input!$H$136*Input!$H$143*(L39-1),0)),0)</f>
        <v>1.3446</v>
      </c>
      <c r="M85" s="48" t="n">
        <f aca="false">IF(AND(M38=1,M39&lt;=ROUNDUP(1/Input!$H$143,0)),MIN($D$48*Input!$H$136*Input!$H$143,MAX($D$48*Input!$H$136-$D$48*Input!$H$136*Input!$H$143*(M39-1),0)),0)</f>
        <v>1.3446</v>
      </c>
      <c r="N85" s="48" t="n">
        <f aca="false">IF(AND(N38=1,N39&lt;=ROUNDUP(1/Input!$H$143,0)),MIN($D$48*Input!$H$136*Input!$H$143,MAX($D$48*Input!$H$136-$D$48*Input!$H$136*Input!$H$143*(N39-1),0)),0)</f>
        <v>1.3446</v>
      </c>
      <c r="O85" s="48" t="n">
        <f aca="false">IF(AND(O38=1,O39&lt;=ROUNDUP(1/Input!$H$143,0)),MIN($D$48*Input!$H$136*Input!$H$143,MAX($D$48*Input!$H$136-$D$48*Input!$H$136*Input!$H$143*(O39-1),0)),0)</f>
        <v>1.3446</v>
      </c>
      <c r="P85" s="48" t="n">
        <f aca="false">IF(AND(P38=1,P39&lt;=ROUNDUP(1/Input!$H$143,0)),MIN($D$48*Input!$H$136*Input!$H$143,MAX($D$48*Input!$H$136-$D$48*Input!$H$136*Input!$H$143*(P39-1),0)),0)</f>
        <v>1.3446</v>
      </c>
      <c r="Q85" s="48" t="n">
        <f aca="false">IF(AND(Q38=1,Q39&lt;=ROUNDUP(1/Input!$H$143,0)),MIN($D$48*Input!$H$136*Input!$H$143,MAX($D$48*Input!$H$136-$D$48*Input!$H$136*Input!$H$143*(Q39-1),0)),0)</f>
        <v>1.3446</v>
      </c>
      <c r="R85" s="48" t="n">
        <f aca="false">IF(AND(R38=1,R39&lt;=ROUNDUP(1/Input!$H$143,0)),MIN($D$48*Input!$H$136*Input!$H$143,MAX($D$48*Input!$H$136-$D$48*Input!$H$136*Input!$H$143*(R39-1),0)),0)</f>
        <v>1.3446</v>
      </c>
      <c r="S85" s="48" t="n">
        <f aca="false">IF(AND(S38=1,S39&lt;=ROUNDUP(1/Input!$H$143,0)),MIN($D$48*Input!$H$136*Input!$H$143,MAX($D$48*Input!$H$136-$D$48*Input!$H$136*Input!$H$143*(S39-1),0)),0)</f>
        <v>1.3446</v>
      </c>
      <c r="T85" s="48" t="n">
        <f aca="false">IF(AND(T38=1,T39&lt;=ROUNDUP(1/Input!$H$143,0)),MIN($D$48*Input!$H$136*Input!$H$143,MAX($D$48*Input!$H$136-$D$48*Input!$H$136*Input!$H$143*(T39-1),0)),0)</f>
        <v>1.3446</v>
      </c>
      <c r="U85" s="48" t="n">
        <f aca="false">IF(AND(U38=1,U39&lt;=ROUNDUP(1/Input!$H$143,0)),MIN($D$48*Input!$H$136*Input!$H$143,MAX($D$48*Input!$H$136-$D$48*Input!$H$136*Input!$H$143*(U39-1),0)),0)</f>
        <v>1.3446</v>
      </c>
      <c r="V85" s="48" t="n">
        <f aca="false">IF(AND(V38=1,V39&lt;=ROUNDUP(1/Input!$H$143,0)),MIN($D$48*Input!$H$136*Input!$H$143,MAX($D$48*Input!$H$136-$D$48*Input!$H$136*Input!$H$143*(V39-1),0)),0)</f>
        <v>1.3446</v>
      </c>
      <c r="W85" s="48" t="n">
        <f aca="false">IF(AND(W38=1,W39&lt;=ROUNDUP(1/Input!$H$143,0)),MIN($D$48*Input!$H$136*Input!$H$143,MAX($D$48*Input!$H$136-$D$48*Input!$H$136*Input!$H$143*(W39-1),0)),0)</f>
        <v>1.3446</v>
      </c>
      <c r="X85" s="48" t="n">
        <f aca="false">IF(AND(X38=1,X39&lt;=ROUNDUP(1/Input!$H$143,0)),MIN($D$48*Input!$H$136*Input!$H$143,MAX($D$48*Input!$H$136-$D$48*Input!$H$136*Input!$H$143*(X39-1),0)),0)</f>
        <v>1.3446</v>
      </c>
      <c r="Y85" s="48" t="n">
        <f aca="false">IF(AND(Y38=1,Y39&lt;=ROUNDUP(1/Input!$H$143,0)),MIN($D$48*Input!$H$136*Input!$H$143,MAX($D$48*Input!$H$136-$D$48*Input!$H$136*Input!$H$143*(Y39-1),0)),0)</f>
        <v>1.3446</v>
      </c>
      <c r="Z85" s="48" t="n">
        <f aca="false">IF(AND(Z38=1,Z39&lt;=ROUNDUP(1/Input!$H$143,0)),MIN($D$48*Input!$H$136*Input!$H$143,MAX($D$48*Input!$H$136-$D$48*Input!$H$136*Input!$H$143*(Z39-1),0)),0)</f>
        <v>1.3446</v>
      </c>
      <c r="AA85" s="48" t="n">
        <f aca="false">IF(AND(AA38=1,AA39&lt;=ROUNDUP(1/Input!$H$143,0)),MIN($D$48*Input!$H$136*Input!$H$143,MAX($D$48*Input!$H$136-$D$48*Input!$H$136*Input!$H$143*(AA39-1),0)),0)</f>
        <v>1.3446</v>
      </c>
      <c r="AB85" s="48" t="n">
        <f aca="false">IF(AND(AB38=1,AB39&lt;=ROUNDUP(1/Input!$H$143,0)),MIN($D$48*Input!$H$136*Input!$H$143,MAX($D$48*Input!$H$136-$D$48*Input!$H$136*Input!$H$143*(AB39-1),0)),0)</f>
        <v>1.3446</v>
      </c>
      <c r="AC85" s="48" t="n">
        <f aca="false">IF(AND(AC38=1,AC39&lt;=ROUNDUP(1/Input!$H$143,0)),MIN($D$48*Input!$H$136*Input!$H$143,MAX($D$48*Input!$H$136-$D$48*Input!$H$136*Input!$H$143*(AC39-1),0)),0)</f>
        <v>1.3446</v>
      </c>
      <c r="AD85" s="48" t="n">
        <f aca="false">IF(AND(AD38=1,AD39&lt;=ROUNDUP(1/Input!$H$143,0)),MIN($D$48*Input!$H$136*Input!$H$143,MAX($D$48*Input!$H$136-$D$48*Input!$H$136*Input!$H$143*(AD39-1),0)),0)</f>
        <v>1.3446</v>
      </c>
      <c r="AE85" s="48" t="n">
        <f aca="false">IF(AND(AE38=1,AE39&lt;=ROUNDUP(1/Input!$H$143,0)),MIN($D$48*Input!$H$136*Input!$H$143,MAX($D$48*Input!$H$136-$D$48*Input!$H$136*Input!$H$143*(AE39-1),0)),0)</f>
        <v>1.3446</v>
      </c>
      <c r="AF85" s="48" t="n">
        <f aca="false">IF(AND(AF38=1,AF39&lt;=ROUNDUP(1/Input!$H$143,0)),MIN($D$48*Input!$H$136*Input!$H$143,MAX($D$48*Input!$H$136-$D$48*Input!$H$136*Input!$H$143*(AF39-1),0)),0)</f>
        <v>1.3446</v>
      </c>
      <c r="AG85" s="48" t="n">
        <f aca="false">IF(AND(AG38=1,AG39&lt;=ROUNDUP(1/Input!$H$143,0)),MIN($D$48*Input!$H$136*Input!$H$143,MAX($D$48*Input!$H$136-$D$48*Input!$H$136*Input!$H$143*(AG39-1),0)),0)</f>
        <v>0.298800000000004</v>
      </c>
      <c r="AH85" s="48" t="n">
        <f aca="false">IF(AND(AH38=1,AH39&lt;=ROUNDUP(1/Input!$H$143,0)),MIN($D$48*Input!$H$136*Input!$H$143,MAX($D$48*Input!$H$136-$D$48*Input!$H$136*Input!$H$143*(AH39-1),0)),0)</f>
        <v>0</v>
      </c>
      <c r="AI85" s="48" t="n">
        <f aca="false">IF(AND(AI38=1,AI39&lt;=ROUNDUP(1/Input!$H$143,0)),MIN($D$48*Input!$H$136*Input!$H$143,MAX($D$48*Input!$H$136-$D$48*Input!$H$136*Input!$H$143*(AI39-1),0)),0)</f>
        <v>0</v>
      </c>
      <c r="AJ85" s="48" t="n">
        <f aca="false">IF(AND(AJ38=1,AJ39&lt;=ROUNDUP(1/Input!$H$143,0)),MIN($D$48*Input!$H$136*Input!$H$143,MAX($D$48*Input!$H$136-$D$48*Input!$H$136*Input!$H$143*(AJ39-1),0)),0)</f>
        <v>0</v>
      </c>
      <c r="AK85" s="48" t="n">
        <f aca="false">IF(AND(AK38=1,AK39&lt;=ROUNDUP(1/Input!$H$143,0)),MIN($D$48*Input!$H$136*Input!$H$143,MAX($D$48*Input!$H$136-$D$48*Input!$H$136*Input!$H$143*(AK39-1),0)),0)</f>
        <v>0</v>
      </c>
      <c r="AL85" s="48" t="n">
        <f aca="false">IF(AND(AL38=1,AL39&lt;=ROUNDUP(1/Input!$H$143,0)),MIN($D$48*Input!$H$136*Input!$H$143,MAX($D$48*Input!$H$136-$D$48*Input!$H$136*Input!$H$143*(AL39-1),0)),0)</f>
        <v>0</v>
      </c>
      <c r="AM85" s="48" t="n">
        <f aca="false">IF(AND(AM38=1,AM39&lt;=ROUNDUP(1/Input!$H$143,0)),MIN($D$48*Input!$H$136*Input!$H$143,MAX($D$48*Input!$H$136-$D$48*Input!$H$136*Input!$H$143*(AM39-1),0)),0)</f>
        <v>0</v>
      </c>
      <c r="AN85" s="48" t="n">
        <f aca="false">IF(AND(AN38=1,AN39&lt;=ROUNDUP(1/Input!$H$143,0)),MIN($D$48*Input!$H$136*Input!$H$143,MAX($D$48*Input!$H$136-$D$48*Input!$H$136*Input!$H$143*(AN39-1),0)),0)</f>
        <v>0</v>
      </c>
      <c r="AO85" s="48" t="n">
        <f aca="false">IF(AND(AO38=1,AO39&lt;=ROUNDUP(1/Input!$H$143,0)),MIN($D$48*Input!$H$136*Input!$H$143,MAX($D$48*Input!$H$136-$D$48*Input!$H$136*Input!$H$143*(AO39-1),0)),0)</f>
        <v>0</v>
      </c>
      <c r="AP85" s="48" t="n">
        <f aca="false">IF(AND(AP38=1,AP39&lt;=ROUNDUP(1/Input!$H$143,0)),MIN($D$48*Input!$H$136*Input!$H$143,MAX($D$48*Input!$H$136-$D$48*Input!$H$136*Input!$H$143*(AP39-1),0)),0)</f>
        <v>0</v>
      </c>
      <c r="AQ85" s="48" t="n">
        <f aca="false">IF(AND(AQ38=1,AQ39&lt;=ROUNDUP(1/Input!$H$143,0)),MIN($D$48*Input!$H$136*Input!$H$143,MAX($D$48*Input!$H$136-$D$48*Input!$H$136*Input!$H$143*(AQ39-1),0)),0)</f>
        <v>0</v>
      </c>
      <c r="AR85" s="48" t="n">
        <f aca="false">IF(AND(AR38=1,AR39&lt;=ROUNDUP(1/Input!$H$143,0)),MIN($D$48*Input!$H$136*Input!$H$143,MAX($D$48*Input!$H$136-$D$48*Input!$H$136*Input!$H$143*(AR39-1),0)),0)</f>
        <v>0</v>
      </c>
      <c r="AS85" s="48" t="n">
        <f aca="false">IF(AND(AS38=1,AS39&lt;=ROUNDUP(1/Input!$H$143,0)),MIN($D$48*Input!$H$136*Input!$H$143,MAX($D$48*Input!$H$136-$D$48*Input!$H$136*Input!$H$143*(AS39-1),0)),0)</f>
        <v>0</v>
      </c>
      <c r="AT85" s="48" t="n">
        <f aca="false">IF(AND(AT38=1,AT39&lt;=ROUNDUP(1/Input!$H$143,0)),MIN($D$48*Input!$H$136*Input!$H$143,MAX($D$48*Input!$H$136-$D$48*Input!$H$136*Input!$H$143*(AT39-1),0)),0)</f>
        <v>0</v>
      </c>
      <c r="AU85" s="48" t="n">
        <f aca="false">IF(AND(AU38=1,AU39&lt;=ROUNDUP(1/Input!$H$143,0)),MIN($D$48*Input!$H$136*Input!$H$143,MAX($D$48*Input!$H$136-$D$48*Input!$H$136*Input!$H$143*(AU39-1),0)),0)</f>
        <v>0</v>
      </c>
      <c r="AV85" s="48" t="n">
        <f aca="false">IF(AND(AV38=1,AV39&lt;=ROUNDUP(1/Input!$H$143,0)),MIN($D$48*Input!$H$136*Input!$H$143,MAX($D$48*Input!$H$136-$D$48*Input!$H$136*Input!$H$143*(AV39-1),0)),0)</f>
        <v>0</v>
      </c>
      <c r="AW85" s="48" t="n">
        <f aca="false">IF(AND(AW38=1,AW39&lt;=ROUNDUP(1/Input!$H$143,0)),MIN($D$48*Input!$H$136*Input!$H$143,MAX($D$48*Input!$H$136-$D$48*Input!$H$136*Input!$H$143*(AW39-1),0)),0)</f>
        <v>0</v>
      </c>
      <c r="AX85" s="48" t="n">
        <f aca="false">IF(AND(AX38=1,AX39&lt;=ROUNDUP(1/Input!$H$143,0)),MIN($D$48*Input!$H$136*Input!$H$143,MAX($D$48*Input!$H$136-$D$48*Input!$H$136*Input!$H$143*(AX39-1),0)),0)</f>
        <v>0</v>
      </c>
      <c r="AY85" s="48" t="n">
        <f aca="false">IF(AND(AY38=1,AY39&lt;=ROUNDUP(1/Input!$H$143,0)),MIN($D$48*Input!$H$136*Input!$H$143,MAX($D$48*Input!$H$136-$D$48*Input!$H$136*Input!$H$143*(AY39-1),0)),0)</f>
        <v>0</v>
      </c>
      <c r="AZ85" s="48" t="n">
        <f aca="false">IF(AND(AZ38=1,AZ39&lt;=ROUNDUP(1/Input!$H$143,0)),MIN($D$48*Input!$H$136*Input!$H$143,MAX($D$48*Input!$H$136-$D$48*Input!$H$136*Input!$H$143*(AZ39-1),0)),0)</f>
        <v>0</v>
      </c>
      <c r="BA85" s="48" t="n">
        <f aca="false">IF(AND(BA38=1,BA39&lt;=ROUNDUP(1/Input!$H$143,0)),MIN($D$48*Input!$H$136*Input!$H$143,MAX($D$48*Input!$H$136-$D$48*Input!$H$136*Input!$H$143*(BA39-1),0)),0)</f>
        <v>0</v>
      </c>
      <c r="BB85" s="48" t="n">
        <f aca="false">IF(AND(BB38=1,BB39&lt;=ROUNDUP(1/Input!$H$143,0)),MIN($D$48*Input!$H$136*Input!$H$143,MAX($D$48*Input!$H$136-$D$48*Input!$H$136*Input!$H$143*(BB39-1),0)),0)</f>
        <v>0</v>
      </c>
      <c r="BC85" s="48" t="n">
        <f aca="false">IF(AND(BC38=1,BC39&lt;=ROUNDUP(1/Input!$H$143,0)),MIN($D$48*Input!$H$136*Input!$H$143,MAX($D$48*Input!$H$136-$D$48*Input!$H$136*Input!$H$143*(BC39-1),0)),0)</f>
        <v>0</v>
      </c>
      <c r="BD85" s="48" t="n">
        <f aca="false">IF(AND(BD38=1,BD39&lt;=ROUNDUP(1/Input!$H$143,0)),MIN($D$48*Input!$H$136*Input!$H$143,MAX($D$48*Input!$H$136-$D$48*Input!$H$136*Input!$H$143*(BD39-1),0)),0)</f>
        <v>0</v>
      </c>
      <c r="BE85" s="48" t="n">
        <f aca="false">IF(AND(BE38=1,BE39&lt;=ROUNDUP(1/Input!$H$143,0)),MIN($D$48*Input!$H$136*Input!$H$143,MAX($D$48*Input!$H$136-$D$48*Input!$H$136*Input!$H$143*(BE39-1),0)),0)</f>
        <v>0</v>
      </c>
      <c r="BF85" s="48" t="n">
        <f aca="false">IF(AND(BF38=1,BF39&lt;=ROUNDUP(1/Input!$H$143,0)),MIN($D$48*Input!$H$136*Input!$H$143,MAX($D$48*Input!$H$136-$D$48*Input!$H$136*Input!$H$143*(BF39-1),0)),0)</f>
        <v>0</v>
      </c>
      <c r="BG85" s="48" t="n">
        <f aca="false">IF(AND(BG38=1,BG39&lt;=ROUNDUP(1/Input!$H$143,0)),MIN($D$48*Input!$H$136*Input!$H$143,MAX($D$48*Input!$H$136-$D$48*Input!$H$136*Input!$H$143*(BG39-1),0)),0)</f>
        <v>0</v>
      </c>
      <c r="BH85" s="48" t="n">
        <f aca="false">IF(AND(BH38=1,BH39&lt;=ROUNDUP(1/Input!$H$143,0)),MIN($D$48*Input!$H$136*Input!$H$143,MAX($D$48*Input!$H$136-$D$48*Input!$H$136*Input!$H$143*(BH39-1),0)),0)</f>
        <v>0</v>
      </c>
      <c r="BI85" s="48" t="n">
        <f aca="false">IF(AND(BI38=1,BI39&lt;=ROUNDUP(1/Input!$H$143,0)),MIN($D$48*Input!$H$136*Input!$H$143,MAX($D$48*Input!$H$136-$D$48*Input!$H$136*Input!$H$143*(BI39-1),0)),0)</f>
        <v>0</v>
      </c>
      <c r="BJ85" s="48" t="n">
        <f aca="false">IF(AND(BJ38=1,BJ39&lt;=ROUNDUP(1/Input!$H$143,0)),MIN($D$48*Input!$H$136*Input!$H$143,MAX($D$48*Input!$H$136-$D$48*Input!$H$136*Input!$H$143*(BJ39-1),0)),0)</f>
        <v>0</v>
      </c>
      <c r="BK85" s="48" t="n">
        <f aca="false">IF(AND(BK38=1,BK39&lt;=ROUNDUP(1/Input!$H$143,0)),MIN($D$48*Input!$H$136*Input!$H$143,MAX($D$48*Input!$H$136-$D$48*Input!$H$136*Input!$H$143*(BK39-1),0)),0)</f>
        <v>0</v>
      </c>
      <c r="BL85" s="48" t="n">
        <f aca="false">IF(AND(BL38=1,BL39&lt;=ROUNDUP(1/Input!$H$143,0)),MIN($D$48*Input!$H$136*Input!$H$143,MAX($D$48*Input!$H$136-$D$48*Input!$H$136*Input!$H$143*(BL39-1),0)),0)</f>
        <v>0</v>
      </c>
      <c r="BM85" s="48" t="n">
        <f aca="false">IF(AND(BM38=1,BM39&lt;=ROUNDUP(1/Input!$H$143,0)),MIN($D$48*Input!$H$136*Input!$H$143,MAX($D$48*Input!$H$136-$D$48*Input!$H$136*Input!$H$143*(BM39-1),0)),0)</f>
        <v>0</v>
      </c>
      <c r="BN85" s="48" t="n">
        <f aca="false">IF(AND(BN38=1,BN39&lt;=ROUNDUP(1/Input!$H$143,0)),MIN($D$48*Input!$H$136*Input!$H$143,MAX($D$48*Input!$H$136-$D$48*Input!$H$136*Input!$H$143*(BN39-1),0)),0)</f>
        <v>0</v>
      </c>
      <c r="BO85" s="48" t="n">
        <f aca="false">IF(AND(BO38=1,BO39&lt;=ROUNDUP(1/Input!$H$143,0)),MIN($D$48*Input!$H$136*Input!$H$143,MAX($D$48*Input!$H$136-$D$48*Input!$H$136*Input!$H$143*(BO39-1),0)),0)</f>
        <v>0</v>
      </c>
      <c r="BP85" s="48" t="n">
        <f aca="false">IF(AND(BP38=1,BP39&lt;=ROUNDUP(1/Input!$H$143,0)),MIN($D$48*Input!$H$136*Input!$H$143,MAX($D$48*Input!$H$136-$D$48*Input!$H$136*Input!$H$143*(BP39-1),0)),0)</f>
        <v>0</v>
      </c>
      <c r="BQ85" s="48" t="n">
        <f aca="false">IF(AND(BQ38=1,BQ39&lt;=ROUNDUP(1/Input!$H$143,0)),MIN($D$48*Input!$H$136*Input!$H$143,MAX($D$48*Input!$H$136-$D$48*Input!$H$136*Input!$H$143*(BQ39-1),0)),0)</f>
        <v>0</v>
      </c>
      <c r="BR85" s="48" t="n">
        <f aca="false">IF(AND(BR38=1,BR39&lt;=ROUNDUP(1/Input!$H$143,0)),MIN($D$48*Input!$H$136*Input!$H$143,MAX($D$48*Input!$H$136-$D$48*Input!$H$136*Input!$H$143*(BR39-1),0)),0)</f>
        <v>0</v>
      </c>
      <c r="BS85" s="48" t="n">
        <f aca="false">IF(AND(BS38=1,BS39&lt;=ROUNDUP(1/Input!$H$143,0)),MIN($D$48*Input!$H$136*Input!$H$143,MAX($D$48*Input!$H$136-$D$48*Input!$H$136*Input!$H$143*(BS39-1),0)),0)</f>
        <v>0</v>
      </c>
      <c r="BT85" s="48" t="n">
        <f aca="false">IF(AND(BT38=1,BT39&lt;=ROUNDUP(1/Input!$H$143,0)),MIN($D$48*Input!$H$136*Input!$H$143,MAX($D$48*Input!$H$136-$D$48*Input!$H$136*Input!$H$143*(BT39-1),0)),0)</f>
        <v>0</v>
      </c>
      <c r="BU85" s="48" t="n">
        <f aca="false">IF(AND(BU38=1,BU39&lt;=ROUNDUP(1/Input!$H$143,0)),MIN($D$48*Input!$H$136*Input!$H$143,MAX($D$48*Input!$H$136-$D$48*Input!$H$136*Input!$H$143*(BU39-1),0)),0)</f>
        <v>0</v>
      </c>
      <c r="BV85" s="48" t="n">
        <f aca="false">IF(AND(BV38=1,BV39&lt;=ROUNDUP(1/Input!$H$143,0)),MIN($D$48*Input!$H$136*Input!$H$143,MAX($D$48*Input!$H$136-$D$48*Input!$H$136*Input!$H$143*(BV39-1),0)),0)</f>
        <v>0</v>
      </c>
      <c r="BW85" s="48" t="n">
        <f aca="false">IF(AND(BW38=1,BW39&lt;=ROUNDUP(1/Input!$H$143,0)),MIN($D$48*Input!$H$136*Input!$H$143,MAX($D$48*Input!$H$136-$D$48*Input!$H$136*Input!$H$143*(BW39-1),0)),0)</f>
        <v>0</v>
      </c>
      <c r="BX85" s="48" t="n">
        <f aca="false">IF(AND(BX38=1,BX39&lt;=ROUNDUP(1/Input!$H$143,0)),MIN($D$48*Input!$H$136*Input!$H$143,MAX($D$48*Input!$H$136-$D$48*Input!$H$136*Input!$H$143*(BX39-1),0)),0)</f>
        <v>0</v>
      </c>
    </row>
    <row r="86" customFormat="false" ht="15" hidden="false" customHeight="false" outlineLevel="0" collapsed="false">
      <c r="A86" s="1"/>
      <c r="B86" s="8" t="s">
        <v>351</v>
      </c>
      <c r="C86" s="8" t="s">
        <v>126</v>
      </c>
      <c r="D86" s="44" t="n">
        <f aca="false">SUM(G86:BX86)</f>
        <v>194.22</v>
      </c>
      <c r="E86" s="1"/>
      <c r="F86" s="1"/>
      <c r="G86" s="48" t="n">
        <f aca="false">IF(AND(G38=1,G39&lt;=ROUNDUP(1/Input!$H$145,0)),MIN($D$48*Input!$H$137*Input!$H$145,MAX($D$48*Input!$H$137-$D$48*Input!$H$137*Input!$H$145*(G39-1),0)),0)</f>
        <v>0</v>
      </c>
      <c r="H86" s="48" t="n">
        <f aca="false">IF(AND(H38=1,H39&lt;=ROUNDUP(1/Input!$H$145,0)),MIN($D$48*Input!$H$137*Input!$H$145,MAX($D$48*Input!$H$137-$D$48*Input!$H$137*Input!$H$145*(H39-1),0)),0)</f>
        <v>0</v>
      </c>
      <c r="I86" s="48" t="n">
        <f aca="false">IF(AND(I38=1,I39&lt;=ROUNDUP(1/Input!$H$145,0)),MIN($D$48*Input!$H$137*Input!$H$145,MAX($D$48*Input!$H$137-$D$48*Input!$H$137*Input!$H$145*(I39-1),0)),0)</f>
        <v>0</v>
      </c>
      <c r="J86" s="48" t="n">
        <f aca="false">IF(AND(J38=1,J39&lt;=ROUNDUP(1/Input!$H$145,0)),MIN($D$48*Input!$H$137*Input!$H$145,MAX($D$48*Input!$H$137-$D$48*Input!$H$137*Input!$H$145*(J39-1),0)),0)</f>
        <v>0</v>
      </c>
      <c r="K86" s="48" t="n">
        <f aca="false">IF(AND(K38=1,K39&lt;=ROUNDUP(1/Input!$H$145,0)),MIN($D$48*Input!$H$137*Input!$H$145,MAX($D$48*Input!$H$137-$D$48*Input!$H$137*Input!$H$145*(K39-1),0)),0)</f>
        <v>13.5954</v>
      </c>
      <c r="L86" s="48" t="n">
        <f aca="false">IF(AND(L38=1,L39&lt;=ROUNDUP(1/Input!$H$145,0)),MIN($D$48*Input!$H$137*Input!$H$145,MAX($D$48*Input!$H$137-$D$48*Input!$H$137*Input!$H$145*(L39-1),0)),0)</f>
        <v>13.5954</v>
      </c>
      <c r="M86" s="48" t="n">
        <f aca="false">IF(AND(M38=1,M39&lt;=ROUNDUP(1/Input!$H$145,0)),MIN($D$48*Input!$H$137*Input!$H$145,MAX($D$48*Input!$H$137-$D$48*Input!$H$137*Input!$H$145*(M39-1),0)),0)</f>
        <v>13.5954</v>
      </c>
      <c r="N86" s="48" t="n">
        <f aca="false">IF(AND(N38=1,N39&lt;=ROUNDUP(1/Input!$H$145,0)),MIN($D$48*Input!$H$137*Input!$H$145,MAX($D$48*Input!$H$137-$D$48*Input!$H$137*Input!$H$145*(N39-1),0)),0)</f>
        <v>13.5954</v>
      </c>
      <c r="O86" s="48" t="n">
        <f aca="false">IF(AND(O38=1,O39&lt;=ROUNDUP(1/Input!$H$145,0)),MIN($D$48*Input!$H$137*Input!$H$145,MAX($D$48*Input!$H$137-$D$48*Input!$H$137*Input!$H$145*(O39-1),0)),0)</f>
        <v>13.5954</v>
      </c>
      <c r="P86" s="48" t="n">
        <f aca="false">IF(AND(P38=1,P39&lt;=ROUNDUP(1/Input!$H$145,0)),MIN($D$48*Input!$H$137*Input!$H$145,MAX($D$48*Input!$H$137-$D$48*Input!$H$137*Input!$H$145*(P39-1),0)),0)</f>
        <v>13.5954</v>
      </c>
      <c r="Q86" s="48" t="n">
        <f aca="false">IF(AND(Q38=1,Q39&lt;=ROUNDUP(1/Input!$H$145,0)),MIN($D$48*Input!$H$137*Input!$H$145,MAX($D$48*Input!$H$137-$D$48*Input!$H$137*Input!$H$145*(Q39-1),0)),0)</f>
        <v>13.5954</v>
      </c>
      <c r="R86" s="48" t="n">
        <f aca="false">IF(AND(R38=1,R39&lt;=ROUNDUP(1/Input!$H$145,0)),MIN($D$48*Input!$H$137*Input!$H$145,MAX($D$48*Input!$H$137-$D$48*Input!$H$137*Input!$H$145*(R39-1),0)),0)</f>
        <v>13.5954</v>
      </c>
      <c r="S86" s="48" t="n">
        <f aca="false">IF(AND(S38=1,S39&lt;=ROUNDUP(1/Input!$H$145,0)),MIN($D$48*Input!$H$137*Input!$H$145,MAX($D$48*Input!$H$137-$D$48*Input!$H$137*Input!$H$145*(S39-1),0)),0)</f>
        <v>13.5954</v>
      </c>
      <c r="T86" s="48" t="n">
        <f aca="false">IF(AND(T38=1,T39&lt;=ROUNDUP(1/Input!$H$145,0)),MIN($D$48*Input!$H$137*Input!$H$145,MAX($D$48*Input!$H$137-$D$48*Input!$H$137*Input!$H$145*(T39-1),0)),0)</f>
        <v>13.5954</v>
      </c>
      <c r="U86" s="48" t="n">
        <f aca="false">IF(AND(U38=1,U39&lt;=ROUNDUP(1/Input!$H$145,0)),MIN($D$48*Input!$H$137*Input!$H$145,MAX($D$48*Input!$H$137-$D$48*Input!$H$137*Input!$H$145*(U39-1),0)),0)</f>
        <v>13.5954</v>
      </c>
      <c r="V86" s="48" t="n">
        <f aca="false">IF(AND(V38=1,V39&lt;=ROUNDUP(1/Input!$H$145,0)),MIN($D$48*Input!$H$137*Input!$H$145,MAX($D$48*Input!$H$137-$D$48*Input!$H$137*Input!$H$145*(V39-1),0)),0)</f>
        <v>13.5954</v>
      </c>
      <c r="W86" s="48" t="n">
        <f aca="false">IF(AND(W38=1,W39&lt;=ROUNDUP(1/Input!$H$145,0)),MIN($D$48*Input!$H$137*Input!$H$145,MAX($D$48*Input!$H$137-$D$48*Input!$H$137*Input!$H$145*(W39-1),0)),0)</f>
        <v>13.5954</v>
      </c>
      <c r="X86" s="48" t="n">
        <f aca="false">IF(AND(X38=1,X39&lt;=ROUNDUP(1/Input!$H$145,0)),MIN($D$48*Input!$H$137*Input!$H$145,MAX($D$48*Input!$H$137-$D$48*Input!$H$137*Input!$H$145*(X39-1),0)),0)</f>
        <v>13.5954</v>
      </c>
      <c r="Y86" s="48" t="n">
        <f aca="false">IF(AND(Y38=1,Y39&lt;=ROUNDUP(1/Input!$H$145,0)),MIN($D$48*Input!$H$137*Input!$H$145,MAX($D$48*Input!$H$137-$D$48*Input!$H$137*Input!$H$145*(Y39-1),0)),0)</f>
        <v>3.88439999999997</v>
      </c>
      <c r="Z86" s="48" t="n">
        <f aca="false">IF(AND(Z38=1,Z39&lt;=ROUNDUP(1/Input!$H$145,0)),MIN($D$48*Input!$H$137*Input!$H$145,MAX($D$48*Input!$H$137-$D$48*Input!$H$137*Input!$H$145*(Z39-1),0)),0)</f>
        <v>0</v>
      </c>
      <c r="AA86" s="48" t="n">
        <f aca="false">IF(AND(AA38=1,AA39&lt;=ROUNDUP(1/Input!$H$145,0)),MIN($D$48*Input!$H$137*Input!$H$145,MAX($D$48*Input!$H$137-$D$48*Input!$H$137*Input!$H$145*(AA39-1),0)),0)</f>
        <v>0</v>
      </c>
      <c r="AB86" s="48" t="n">
        <f aca="false">IF(AND(AB38=1,AB39&lt;=ROUNDUP(1/Input!$H$145,0)),MIN($D$48*Input!$H$137*Input!$H$145,MAX($D$48*Input!$H$137-$D$48*Input!$H$137*Input!$H$145*(AB39-1),0)),0)</f>
        <v>0</v>
      </c>
      <c r="AC86" s="48" t="n">
        <f aca="false">IF(AND(AC38=1,AC39&lt;=ROUNDUP(1/Input!$H$145,0)),MIN($D$48*Input!$H$137*Input!$H$145,MAX($D$48*Input!$H$137-$D$48*Input!$H$137*Input!$H$145*(AC39-1),0)),0)</f>
        <v>0</v>
      </c>
      <c r="AD86" s="48" t="n">
        <f aca="false">IF(AND(AD38=1,AD39&lt;=ROUNDUP(1/Input!$H$145,0)),MIN($D$48*Input!$H$137*Input!$H$145,MAX($D$48*Input!$H$137-$D$48*Input!$H$137*Input!$H$145*(AD39-1),0)),0)</f>
        <v>0</v>
      </c>
      <c r="AE86" s="48" t="n">
        <f aca="false">IF(AND(AE38=1,AE39&lt;=ROUNDUP(1/Input!$H$145,0)),MIN($D$48*Input!$H$137*Input!$H$145,MAX($D$48*Input!$H$137-$D$48*Input!$H$137*Input!$H$145*(AE39-1),0)),0)</f>
        <v>0</v>
      </c>
      <c r="AF86" s="48" t="n">
        <f aca="false">IF(AND(AF38=1,AF39&lt;=ROUNDUP(1/Input!$H$145,0)),MIN($D$48*Input!$H$137*Input!$H$145,MAX($D$48*Input!$H$137-$D$48*Input!$H$137*Input!$H$145*(AF39-1),0)),0)</f>
        <v>0</v>
      </c>
      <c r="AG86" s="48" t="n">
        <f aca="false">IF(AND(AG38=1,AG39&lt;=ROUNDUP(1/Input!$H$145,0)),MIN($D$48*Input!$H$137*Input!$H$145,MAX($D$48*Input!$H$137-$D$48*Input!$H$137*Input!$H$145*(AG39-1),0)),0)</f>
        <v>0</v>
      </c>
      <c r="AH86" s="48" t="n">
        <f aca="false">IF(AND(AH38=1,AH39&lt;=ROUNDUP(1/Input!$H$145,0)),MIN($D$48*Input!$H$137*Input!$H$145,MAX($D$48*Input!$H$137-$D$48*Input!$H$137*Input!$H$145*(AH39-1),0)),0)</f>
        <v>0</v>
      </c>
      <c r="AI86" s="48" t="n">
        <f aca="false">IF(AND(AI38=1,AI39&lt;=ROUNDUP(1/Input!$H$145,0)),MIN($D$48*Input!$H$137*Input!$H$145,MAX($D$48*Input!$H$137-$D$48*Input!$H$137*Input!$H$145*(AI39-1),0)),0)</f>
        <v>0</v>
      </c>
      <c r="AJ86" s="48" t="n">
        <f aca="false">IF(AND(AJ38=1,AJ39&lt;=ROUNDUP(1/Input!$H$145,0)),MIN($D$48*Input!$H$137*Input!$H$145,MAX($D$48*Input!$H$137-$D$48*Input!$H$137*Input!$H$145*(AJ39-1),0)),0)</f>
        <v>0</v>
      </c>
      <c r="AK86" s="48" t="n">
        <f aca="false">IF(AND(AK38=1,AK39&lt;=ROUNDUP(1/Input!$H$145,0)),MIN($D$48*Input!$H$137*Input!$H$145,MAX($D$48*Input!$H$137-$D$48*Input!$H$137*Input!$H$145*(AK39-1),0)),0)</f>
        <v>0</v>
      </c>
      <c r="AL86" s="48" t="n">
        <f aca="false">IF(AND(AL38=1,AL39&lt;=ROUNDUP(1/Input!$H$145,0)),MIN($D$48*Input!$H$137*Input!$H$145,MAX($D$48*Input!$H$137-$D$48*Input!$H$137*Input!$H$145*(AL39-1),0)),0)</f>
        <v>0</v>
      </c>
      <c r="AM86" s="48" t="n">
        <f aca="false">IF(AND(AM38=1,AM39&lt;=ROUNDUP(1/Input!$H$145,0)),MIN($D$48*Input!$H$137*Input!$H$145,MAX($D$48*Input!$H$137-$D$48*Input!$H$137*Input!$H$145*(AM39-1),0)),0)</f>
        <v>0</v>
      </c>
      <c r="AN86" s="48" t="n">
        <f aca="false">IF(AND(AN38=1,AN39&lt;=ROUNDUP(1/Input!$H$145,0)),MIN($D$48*Input!$H$137*Input!$H$145,MAX($D$48*Input!$H$137-$D$48*Input!$H$137*Input!$H$145*(AN39-1),0)),0)</f>
        <v>0</v>
      </c>
      <c r="AO86" s="48" t="n">
        <f aca="false">IF(AND(AO38=1,AO39&lt;=ROUNDUP(1/Input!$H$145,0)),MIN($D$48*Input!$H$137*Input!$H$145,MAX($D$48*Input!$H$137-$D$48*Input!$H$137*Input!$H$145*(AO39-1),0)),0)</f>
        <v>0</v>
      </c>
      <c r="AP86" s="48" t="n">
        <f aca="false">IF(AND(AP38=1,AP39&lt;=ROUNDUP(1/Input!$H$145,0)),MIN($D$48*Input!$H$137*Input!$H$145,MAX($D$48*Input!$H$137-$D$48*Input!$H$137*Input!$H$145*(AP39-1),0)),0)</f>
        <v>0</v>
      </c>
      <c r="AQ86" s="48" t="n">
        <f aca="false">IF(AND(AQ38=1,AQ39&lt;=ROUNDUP(1/Input!$H$145,0)),MIN($D$48*Input!$H$137*Input!$H$145,MAX($D$48*Input!$H$137-$D$48*Input!$H$137*Input!$H$145*(AQ39-1),0)),0)</f>
        <v>0</v>
      </c>
      <c r="AR86" s="48" t="n">
        <f aca="false">IF(AND(AR38=1,AR39&lt;=ROUNDUP(1/Input!$H$145,0)),MIN($D$48*Input!$H$137*Input!$H$145,MAX($D$48*Input!$H$137-$D$48*Input!$H$137*Input!$H$145*(AR39-1),0)),0)</f>
        <v>0</v>
      </c>
      <c r="AS86" s="48" t="n">
        <f aca="false">IF(AND(AS38=1,AS39&lt;=ROUNDUP(1/Input!$H$145,0)),MIN($D$48*Input!$H$137*Input!$H$145,MAX($D$48*Input!$H$137-$D$48*Input!$H$137*Input!$H$145*(AS39-1),0)),0)</f>
        <v>0</v>
      </c>
      <c r="AT86" s="48" t="n">
        <f aca="false">IF(AND(AT38=1,AT39&lt;=ROUNDUP(1/Input!$H$145,0)),MIN($D$48*Input!$H$137*Input!$H$145,MAX($D$48*Input!$H$137-$D$48*Input!$H$137*Input!$H$145*(AT39-1),0)),0)</f>
        <v>0</v>
      </c>
      <c r="AU86" s="48" t="n">
        <f aca="false">IF(AND(AU38=1,AU39&lt;=ROUNDUP(1/Input!$H$145,0)),MIN($D$48*Input!$H$137*Input!$H$145,MAX($D$48*Input!$H$137-$D$48*Input!$H$137*Input!$H$145*(AU39-1),0)),0)</f>
        <v>0</v>
      </c>
      <c r="AV86" s="48" t="n">
        <f aca="false">IF(AND(AV38=1,AV39&lt;=ROUNDUP(1/Input!$H$145,0)),MIN($D$48*Input!$H$137*Input!$H$145,MAX($D$48*Input!$H$137-$D$48*Input!$H$137*Input!$H$145*(AV39-1),0)),0)</f>
        <v>0</v>
      </c>
      <c r="AW86" s="48" t="n">
        <f aca="false">IF(AND(AW38=1,AW39&lt;=ROUNDUP(1/Input!$H$145,0)),MIN($D$48*Input!$H$137*Input!$H$145,MAX($D$48*Input!$H$137-$D$48*Input!$H$137*Input!$H$145*(AW39-1),0)),0)</f>
        <v>0</v>
      </c>
      <c r="AX86" s="48" t="n">
        <f aca="false">IF(AND(AX38=1,AX39&lt;=ROUNDUP(1/Input!$H$145,0)),MIN($D$48*Input!$H$137*Input!$H$145,MAX($D$48*Input!$H$137-$D$48*Input!$H$137*Input!$H$145*(AX39-1),0)),0)</f>
        <v>0</v>
      </c>
      <c r="AY86" s="48" t="n">
        <f aca="false">IF(AND(AY38=1,AY39&lt;=ROUNDUP(1/Input!$H$145,0)),MIN($D$48*Input!$H$137*Input!$H$145,MAX($D$48*Input!$H$137-$D$48*Input!$H$137*Input!$H$145*(AY39-1),0)),0)</f>
        <v>0</v>
      </c>
      <c r="AZ86" s="48" t="n">
        <f aca="false">IF(AND(AZ38=1,AZ39&lt;=ROUNDUP(1/Input!$H$145,0)),MIN($D$48*Input!$H$137*Input!$H$145,MAX($D$48*Input!$H$137-$D$48*Input!$H$137*Input!$H$145*(AZ39-1),0)),0)</f>
        <v>0</v>
      </c>
      <c r="BA86" s="48" t="n">
        <f aca="false">IF(AND(BA38=1,BA39&lt;=ROUNDUP(1/Input!$H$145,0)),MIN($D$48*Input!$H$137*Input!$H$145,MAX($D$48*Input!$H$137-$D$48*Input!$H$137*Input!$H$145*(BA39-1),0)),0)</f>
        <v>0</v>
      </c>
      <c r="BB86" s="48" t="n">
        <f aca="false">IF(AND(BB38=1,BB39&lt;=ROUNDUP(1/Input!$H$145,0)),MIN($D$48*Input!$H$137*Input!$H$145,MAX($D$48*Input!$H$137-$D$48*Input!$H$137*Input!$H$145*(BB39-1),0)),0)</f>
        <v>0</v>
      </c>
      <c r="BC86" s="48" t="n">
        <f aca="false">IF(AND(BC38=1,BC39&lt;=ROUNDUP(1/Input!$H$145,0)),MIN($D$48*Input!$H$137*Input!$H$145,MAX($D$48*Input!$H$137-$D$48*Input!$H$137*Input!$H$145*(BC39-1),0)),0)</f>
        <v>0</v>
      </c>
      <c r="BD86" s="48" t="n">
        <f aca="false">IF(AND(BD38=1,BD39&lt;=ROUNDUP(1/Input!$H$145,0)),MIN($D$48*Input!$H$137*Input!$H$145,MAX($D$48*Input!$H$137-$D$48*Input!$H$137*Input!$H$145*(BD39-1),0)),0)</f>
        <v>0</v>
      </c>
      <c r="BE86" s="48" t="n">
        <f aca="false">IF(AND(BE38=1,BE39&lt;=ROUNDUP(1/Input!$H$145,0)),MIN($D$48*Input!$H$137*Input!$H$145,MAX($D$48*Input!$H$137-$D$48*Input!$H$137*Input!$H$145*(BE39-1),0)),0)</f>
        <v>0</v>
      </c>
      <c r="BF86" s="48" t="n">
        <f aca="false">IF(AND(BF38=1,BF39&lt;=ROUNDUP(1/Input!$H$145,0)),MIN($D$48*Input!$H$137*Input!$H$145,MAX($D$48*Input!$H$137-$D$48*Input!$H$137*Input!$H$145*(BF39-1),0)),0)</f>
        <v>0</v>
      </c>
      <c r="BG86" s="48" t="n">
        <f aca="false">IF(AND(BG38=1,BG39&lt;=ROUNDUP(1/Input!$H$145,0)),MIN($D$48*Input!$H$137*Input!$H$145,MAX($D$48*Input!$H$137-$D$48*Input!$H$137*Input!$H$145*(BG39-1),0)),0)</f>
        <v>0</v>
      </c>
      <c r="BH86" s="48" t="n">
        <f aca="false">IF(AND(BH38=1,BH39&lt;=ROUNDUP(1/Input!$H$145,0)),MIN($D$48*Input!$H$137*Input!$H$145,MAX($D$48*Input!$H$137-$D$48*Input!$H$137*Input!$H$145*(BH39-1),0)),0)</f>
        <v>0</v>
      </c>
      <c r="BI86" s="48" t="n">
        <f aca="false">IF(AND(BI38=1,BI39&lt;=ROUNDUP(1/Input!$H$145,0)),MIN($D$48*Input!$H$137*Input!$H$145,MAX($D$48*Input!$H$137-$D$48*Input!$H$137*Input!$H$145*(BI39-1),0)),0)</f>
        <v>0</v>
      </c>
      <c r="BJ86" s="48" t="n">
        <f aca="false">IF(AND(BJ38=1,BJ39&lt;=ROUNDUP(1/Input!$H$145,0)),MIN($D$48*Input!$H$137*Input!$H$145,MAX($D$48*Input!$H$137-$D$48*Input!$H$137*Input!$H$145*(BJ39-1),0)),0)</f>
        <v>0</v>
      </c>
      <c r="BK86" s="48" t="n">
        <f aca="false">IF(AND(BK38=1,BK39&lt;=ROUNDUP(1/Input!$H$145,0)),MIN($D$48*Input!$H$137*Input!$H$145,MAX($D$48*Input!$H$137-$D$48*Input!$H$137*Input!$H$145*(BK39-1),0)),0)</f>
        <v>0</v>
      </c>
      <c r="BL86" s="48" t="n">
        <f aca="false">IF(AND(BL38=1,BL39&lt;=ROUNDUP(1/Input!$H$145,0)),MIN($D$48*Input!$H$137*Input!$H$145,MAX($D$48*Input!$H$137-$D$48*Input!$H$137*Input!$H$145*(BL39-1),0)),0)</f>
        <v>0</v>
      </c>
      <c r="BM86" s="48" t="n">
        <f aca="false">IF(AND(BM38=1,BM39&lt;=ROUNDUP(1/Input!$H$145,0)),MIN($D$48*Input!$H$137*Input!$H$145,MAX($D$48*Input!$H$137-$D$48*Input!$H$137*Input!$H$145*(BM39-1),0)),0)</f>
        <v>0</v>
      </c>
      <c r="BN86" s="48" t="n">
        <f aca="false">IF(AND(BN38=1,BN39&lt;=ROUNDUP(1/Input!$H$145,0)),MIN($D$48*Input!$H$137*Input!$H$145,MAX($D$48*Input!$H$137-$D$48*Input!$H$137*Input!$H$145*(BN39-1),0)),0)</f>
        <v>0</v>
      </c>
      <c r="BO86" s="48" t="n">
        <f aca="false">IF(AND(BO38=1,BO39&lt;=ROUNDUP(1/Input!$H$145,0)),MIN($D$48*Input!$H$137*Input!$H$145,MAX($D$48*Input!$H$137-$D$48*Input!$H$137*Input!$H$145*(BO39-1),0)),0)</f>
        <v>0</v>
      </c>
      <c r="BP86" s="48" t="n">
        <f aca="false">IF(AND(BP38=1,BP39&lt;=ROUNDUP(1/Input!$H$145,0)),MIN($D$48*Input!$H$137*Input!$H$145,MAX($D$48*Input!$H$137-$D$48*Input!$H$137*Input!$H$145*(BP39-1),0)),0)</f>
        <v>0</v>
      </c>
      <c r="BQ86" s="48" t="n">
        <f aca="false">IF(AND(BQ38=1,BQ39&lt;=ROUNDUP(1/Input!$H$145,0)),MIN($D$48*Input!$H$137*Input!$H$145,MAX($D$48*Input!$H$137-$D$48*Input!$H$137*Input!$H$145*(BQ39-1),0)),0)</f>
        <v>0</v>
      </c>
      <c r="BR86" s="48" t="n">
        <f aca="false">IF(AND(BR38=1,BR39&lt;=ROUNDUP(1/Input!$H$145,0)),MIN($D$48*Input!$H$137*Input!$H$145,MAX($D$48*Input!$H$137-$D$48*Input!$H$137*Input!$H$145*(BR39-1),0)),0)</f>
        <v>0</v>
      </c>
      <c r="BS86" s="48" t="n">
        <f aca="false">IF(AND(BS38=1,BS39&lt;=ROUNDUP(1/Input!$H$145,0)),MIN($D$48*Input!$H$137*Input!$H$145,MAX($D$48*Input!$H$137-$D$48*Input!$H$137*Input!$H$145*(BS39-1),0)),0)</f>
        <v>0</v>
      </c>
      <c r="BT86" s="48" t="n">
        <f aca="false">IF(AND(BT38=1,BT39&lt;=ROUNDUP(1/Input!$H$145,0)),MIN($D$48*Input!$H$137*Input!$H$145,MAX($D$48*Input!$H$137-$D$48*Input!$H$137*Input!$H$145*(BT39-1),0)),0)</f>
        <v>0</v>
      </c>
      <c r="BU86" s="48" t="n">
        <f aca="false">IF(AND(BU38=1,BU39&lt;=ROUNDUP(1/Input!$H$145,0)),MIN($D$48*Input!$H$137*Input!$H$145,MAX($D$48*Input!$H$137-$D$48*Input!$H$137*Input!$H$145*(BU39-1),0)),0)</f>
        <v>0</v>
      </c>
      <c r="BV86" s="48" t="n">
        <f aca="false">IF(AND(BV38=1,BV39&lt;=ROUNDUP(1/Input!$H$145,0)),MIN($D$48*Input!$H$137*Input!$H$145,MAX($D$48*Input!$H$137-$D$48*Input!$H$137*Input!$H$145*(BV39-1),0)),0)</f>
        <v>0</v>
      </c>
      <c r="BW86" s="48" t="n">
        <f aca="false">IF(AND(BW38=1,BW39&lt;=ROUNDUP(1/Input!$H$145,0)),MIN($D$48*Input!$H$137*Input!$H$145,MAX($D$48*Input!$H$137-$D$48*Input!$H$137*Input!$H$145*(BW39-1),0)),0)</f>
        <v>0</v>
      </c>
      <c r="BX86" s="48" t="n">
        <f aca="false">IF(AND(BX38=1,BX39&lt;=ROUNDUP(1/Input!$H$145,0)),MIN($D$48*Input!$H$137*Input!$H$145,MAX($D$48*Input!$H$137-$D$48*Input!$H$137*Input!$H$145*(BX39-1),0)),0)</f>
        <v>0</v>
      </c>
    </row>
    <row r="87" customFormat="false" ht="15" hidden="false" customHeight="false" outlineLevel="0" collapsed="false">
      <c r="A87" s="1"/>
      <c r="B87" s="8" t="s">
        <v>352</v>
      </c>
      <c r="C87" s="8" t="s">
        <v>126</v>
      </c>
      <c r="D87" s="44" t="n">
        <f aca="false">SUM(G87:BX87)</f>
        <v>44.82</v>
      </c>
      <c r="E87" s="1"/>
      <c r="F87" s="1"/>
      <c r="G87" s="48" t="n">
        <f aca="false">IF(AND(G38=1,G39&lt;=ROUNDUP(1/Input!$H$146,0)),MIN($D$48*Input!$H$138*Input!$H$146,MAX($D$48*Input!$H$138-$D$48*Input!$H$138*Input!$H$146*(G39-1),0)),0)</f>
        <v>0</v>
      </c>
      <c r="H87" s="48" t="n">
        <f aca="false">IF(AND(H38=1,H39&lt;=ROUNDUP(1/Input!$H$146,0)),MIN($D$48*Input!$H$138*Input!$H$146,MAX($D$48*Input!$H$138-$D$48*Input!$H$138*Input!$H$146*(H39-1),0)),0)</f>
        <v>0</v>
      </c>
      <c r="I87" s="48" t="n">
        <f aca="false">IF(AND(I38=1,I39&lt;=ROUNDUP(1/Input!$H$146,0)),MIN($D$48*Input!$H$138*Input!$H$146,MAX($D$48*Input!$H$138-$D$48*Input!$H$138*Input!$H$146*(I39-1),0)),0)</f>
        <v>0</v>
      </c>
      <c r="J87" s="48" t="n">
        <f aca="false">IF(AND(J38=1,J39&lt;=ROUNDUP(1/Input!$H$146,0)),MIN($D$48*Input!$H$138*Input!$H$146,MAX($D$48*Input!$H$138-$D$48*Input!$H$138*Input!$H$146*(J39-1),0)),0)</f>
        <v>0</v>
      </c>
      <c r="K87" s="48" t="n">
        <f aca="false">IF(AND(K38=1,K39&lt;=ROUNDUP(1/Input!$H$146,0)),MIN($D$48*Input!$H$138*Input!$H$146,MAX($D$48*Input!$H$138-$D$48*Input!$H$138*Input!$H$146*(K39-1),0)),0)</f>
        <v>4.482</v>
      </c>
      <c r="L87" s="48" t="n">
        <f aca="false">IF(AND(L38=1,L39&lt;=ROUNDUP(1/Input!$H$146,0)),MIN($D$48*Input!$H$138*Input!$H$146,MAX($D$48*Input!$H$138-$D$48*Input!$H$138*Input!$H$146*(L39-1),0)),0)</f>
        <v>4.482</v>
      </c>
      <c r="M87" s="48" t="n">
        <f aca="false">IF(AND(M38=1,M39&lt;=ROUNDUP(1/Input!$H$146,0)),MIN($D$48*Input!$H$138*Input!$H$146,MAX($D$48*Input!$H$138-$D$48*Input!$H$138*Input!$H$146*(M39-1),0)),0)</f>
        <v>4.482</v>
      </c>
      <c r="N87" s="48" t="n">
        <f aca="false">IF(AND(N38=1,N39&lt;=ROUNDUP(1/Input!$H$146,0)),MIN($D$48*Input!$H$138*Input!$H$146,MAX($D$48*Input!$H$138-$D$48*Input!$H$138*Input!$H$146*(N39-1),0)),0)</f>
        <v>4.482</v>
      </c>
      <c r="O87" s="48" t="n">
        <f aca="false">IF(AND(O38=1,O39&lt;=ROUNDUP(1/Input!$H$146,0)),MIN($D$48*Input!$H$138*Input!$H$146,MAX($D$48*Input!$H$138-$D$48*Input!$H$138*Input!$H$146*(O39-1),0)),0)</f>
        <v>4.482</v>
      </c>
      <c r="P87" s="48" t="n">
        <f aca="false">IF(AND(P38=1,P39&lt;=ROUNDUP(1/Input!$H$146,0)),MIN($D$48*Input!$H$138*Input!$H$146,MAX($D$48*Input!$H$138-$D$48*Input!$H$138*Input!$H$146*(P39-1),0)),0)</f>
        <v>4.482</v>
      </c>
      <c r="Q87" s="48" t="n">
        <f aca="false">IF(AND(Q38=1,Q39&lt;=ROUNDUP(1/Input!$H$146,0)),MIN($D$48*Input!$H$138*Input!$H$146,MAX($D$48*Input!$H$138-$D$48*Input!$H$138*Input!$H$146*(Q39-1),0)),0)</f>
        <v>4.482</v>
      </c>
      <c r="R87" s="48" t="n">
        <f aca="false">IF(AND(R38=1,R39&lt;=ROUNDUP(1/Input!$H$146,0)),MIN($D$48*Input!$H$138*Input!$H$146,MAX($D$48*Input!$H$138-$D$48*Input!$H$138*Input!$H$146*(R39-1),0)),0)</f>
        <v>4.482</v>
      </c>
      <c r="S87" s="48" t="n">
        <f aca="false">IF(AND(S38=1,S39&lt;=ROUNDUP(1/Input!$H$146,0)),MIN($D$48*Input!$H$138*Input!$H$146,MAX($D$48*Input!$H$138-$D$48*Input!$H$138*Input!$H$146*(S39-1),0)),0)</f>
        <v>4.482</v>
      </c>
      <c r="T87" s="48" t="n">
        <f aca="false">IF(AND(T38=1,T39&lt;=ROUNDUP(1/Input!$H$146,0)),MIN($D$48*Input!$H$138*Input!$H$146,MAX($D$48*Input!$H$138-$D$48*Input!$H$138*Input!$H$146*(T39-1),0)),0)</f>
        <v>4.482</v>
      </c>
      <c r="U87" s="48" t="n">
        <f aca="false">IF(AND(U38=1,U39&lt;=ROUNDUP(1/Input!$H$146,0)),MIN($D$48*Input!$H$138*Input!$H$146,MAX($D$48*Input!$H$138-$D$48*Input!$H$138*Input!$H$146*(U39-1),0)),0)</f>
        <v>0</v>
      </c>
      <c r="V87" s="48" t="n">
        <f aca="false">IF(AND(V38=1,V39&lt;=ROUNDUP(1/Input!$H$146,0)),MIN($D$48*Input!$H$138*Input!$H$146,MAX($D$48*Input!$H$138-$D$48*Input!$H$138*Input!$H$146*(V39-1),0)),0)</f>
        <v>0</v>
      </c>
      <c r="W87" s="48" t="n">
        <f aca="false">IF(AND(W38=1,W39&lt;=ROUNDUP(1/Input!$H$146,0)),MIN($D$48*Input!$H$138*Input!$H$146,MAX($D$48*Input!$H$138-$D$48*Input!$H$138*Input!$H$146*(W39-1),0)),0)</f>
        <v>0</v>
      </c>
      <c r="X87" s="48" t="n">
        <f aca="false">IF(AND(X38=1,X39&lt;=ROUNDUP(1/Input!$H$146,0)),MIN($D$48*Input!$H$138*Input!$H$146,MAX($D$48*Input!$H$138-$D$48*Input!$H$138*Input!$H$146*(X39-1),0)),0)</f>
        <v>0</v>
      </c>
      <c r="Y87" s="48" t="n">
        <f aca="false">IF(AND(Y38=1,Y39&lt;=ROUNDUP(1/Input!$H$146,0)),MIN($D$48*Input!$H$138*Input!$H$146,MAX($D$48*Input!$H$138-$D$48*Input!$H$138*Input!$H$146*(Y39-1),0)),0)</f>
        <v>0</v>
      </c>
      <c r="Z87" s="48" t="n">
        <f aca="false">IF(AND(Z38=1,Z39&lt;=ROUNDUP(1/Input!$H$146,0)),MIN($D$48*Input!$H$138*Input!$H$146,MAX($D$48*Input!$H$138-$D$48*Input!$H$138*Input!$H$146*(Z39-1),0)),0)</f>
        <v>0</v>
      </c>
      <c r="AA87" s="48" t="n">
        <f aca="false">IF(AND(AA38=1,AA39&lt;=ROUNDUP(1/Input!$H$146,0)),MIN($D$48*Input!$H$138*Input!$H$146,MAX($D$48*Input!$H$138-$D$48*Input!$H$138*Input!$H$146*(AA39-1),0)),0)</f>
        <v>0</v>
      </c>
      <c r="AB87" s="48" t="n">
        <f aca="false">IF(AND(AB38=1,AB39&lt;=ROUNDUP(1/Input!$H$146,0)),MIN($D$48*Input!$H$138*Input!$H$146,MAX($D$48*Input!$H$138-$D$48*Input!$H$138*Input!$H$146*(AB39-1),0)),0)</f>
        <v>0</v>
      </c>
      <c r="AC87" s="48" t="n">
        <f aca="false">IF(AND(AC38=1,AC39&lt;=ROUNDUP(1/Input!$H$146,0)),MIN($D$48*Input!$H$138*Input!$H$146,MAX($D$48*Input!$H$138-$D$48*Input!$H$138*Input!$H$146*(AC39-1),0)),0)</f>
        <v>0</v>
      </c>
      <c r="AD87" s="48" t="n">
        <f aca="false">IF(AND(AD38=1,AD39&lt;=ROUNDUP(1/Input!$H$146,0)),MIN($D$48*Input!$H$138*Input!$H$146,MAX($D$48*Input!$H$138-$D$48*Input!$H$138*Input!$H$146*(AD39-1),0)),0)</f>
        <v>0</v>
      </c>
      <c r="AE87" s="48" t="n">
        <f aca="false">IF(AND(AE38=1,AE39&lt;=ROUNDUP(1/Input!$H$146,0)),MIN($D$48*Input!$H$138*Input!$H$146,MAX($D$48*Input!$H$138-$D$48*Input!$H$138*Input!$H$146*(AE39-1),0)),0)</f>
        <v>0</v>
      </c>
      <c r="AF87" s="48" t="n">
        <f aca="false">IF(AND(AF38=1,AF39&lt;=ROUNDUP(1/Input!$H$146,0)),MIN($D$48*Input!$H$138*Input!$H$146,MAX($D$48*Input!$H$138-$D$48*Input!$H$138*Input!$H$146*(AF39-1),0)),0)</f>
        <v>0</v>
      </c>
      <c r="AG87" s="48" t="n">
        <f aca="false">IF(AND(AG38=1,AG39&lt;=ROUNDUP(1/Input!$H$146,0)),MIN($D$48*Input!$H$138*Input!$H$146,MAX($D$48*Input!$H$138-$D$48*Input!$H$138*Input!$H$146*(AG39-1),0)),0)</f>
        <v>0</v>
      </c>
      <c r="AH87" s="48" t="n">
        <f aca="false">IF(AND(AH38=1,AH39&lt;=ROUNDUP(1/Input!$H$146,0)),MIN($D$48*Input!$H$138*Input!$H$146,MAX($D$48*Input!$H$138-$D$48*Input!$H$138*Input!$H$146*(AH39-1),0)),0)</f>
        <v>0</v>
      </c>
      <c r="AI87" s="48" t="n">
        <f aca="false">IF(AND(AI38=1,AI39&lt;=ROUNDUP(1/Input!$H$146,0)),MIN($D$48*Input!$H$138*Input!$H$146,MAX($D$48*Input!$H$138-$D$48*Input!$H$138*Input!$H$146*(AI39-1),0)),0)</f>
        <v>0</v>
      </c>
      <c r="AJ87" s="48" t="n">
        <f aca="false">IF(AND(AJ38=1,AJ39&lt;=ROUNDUP(1/Input!$H$146,0)),MIN($D$48*Input!$H$138*Input!$H$146,MAX($D$48*Input!$H$138-$D$48*Input!$H$138*Input!$H$146*(AJ39-1),0)),0)</f>
        <v>0</v>
      </c>
      <c r="AK87" s="48" t="n">
        <f aca="false">IF(AND(AK38=1,AK39&lt;=ROUNDUP(1/Input!$H$146,0)),MIN($D$48*Input!$H$138*Input!$H$146,MAX($D$48*Input!$H$138-$D$48*Input!$H$138*Input!$H$146*(AK39-1),0)),0)</f>
        <v>0</v>
      </c>
      <c r="AL87" s="48" t="n">
        <f aca="false">IF(AND(AL38=1,AL39&lt;=ROUNDUP(1/Input!$H$146,0)),MIN($D$48*Input!$H$138*Input!$H$146,MAX($D$48*Input!$H$138-$D$48*Input!$H$138*Input!$H$146*(AL39-1),0)),0)</f>
        <v>0</v>
      </c>
      <c r="AM87" s="48" t="n">
        <f aca="false">IF(AND(AM38=1,AM39&lt;=ROUNDUP(1/Input!$H$146,0)),MIN($D$48*Input!$H$138*Input!$H$146,MAX($D$48*Input!$H$138-$D$48*Input!$H$138*Input!$H$146*(AM39-1),0)),0)</f>
        <v>0</v>
      </c>
      <c r="AN87" s="48" t="n">
        <f aca="false">IF(AND(AN38=1,AN39&lt;=ROUNDUP(1/Input!$H$146,0)),MIN($D$48*Input!$H$138*Input!$H$146,MAX($D$48*Input!$H$138-$D$48*Input!$H$138*Input!$H$146*(AN39-1),0)),0)</f>
        <v>0</v>
      </c>
      <c r="AO87" s="48" t="n">
        <f aca="false">IF(AND(AO38=1,AO39&lt;=ROUNDUP(1/Input!$H$146,0)),MIN($D$48*Input!$H$138*Input!$H$146,MAX($D$48*Input!$H$138-$D$48*Input!$H$138*Input!$H$146*(AO39-1),0)),0)</f>
        <v>0</v>
      </c>
      <c r="AP87" s="48" t="n">
        <f aca="false">IF(AND(AP38=1,AP39&lt;=ROUNDUP(1/Input!$H$146,0)),MIN($D$48*Input!$H$138*Input!$H$146,MAX($D$48*Input!$H$138-$D$48*Input!$H$138*Input!$H$146*(AP39-1),0)),0)</f>
        <v>0</v>
      </c>
      <c r="AQ87" s="48" t="n">
        <f aca="false">IF(AND(AQ38=1,AQ39&lt;=ROUNDUP(1/Input!$H$146,0)),MIN($D$48*Input!$H$138*Input!$H$146,MAX($D$48*Input!$H$138-$D$48*Input!$H$138*Input!$H$146*(AQ39-1),0)),0)</f>
        <v>0</v>
      </c>
      <c r="AR87" s="48" t="n">
        <f aca="false">IF(AND(AR38=1,AR39&lt;=ROUNDUP(1/Input!$H$146,0)),MIN($D$48*Input!$H$138*Input!$H$146,MAX($D$48*Input!$H$138-$D$48*Input!$H$138*Input!$H$146*(AR39-1),0)),0)</f>
        <v>0</v>
      </c>
      <c r="AS87" s="48" t="n">
        <f aca="false">IF(AND(AS38=1,AS39&lt;=ROUNDUP(1/Input!$H$146,0)),MIN($D$48*Input!$H$138*Input!$H$146,MAX($D$48*Input!$H$138-$D$48*Input!$H$138*Input!$H$146*(AS39-1),0)),0)</f>
        <v>0</v>
      </c>
      <c r="AT87" s="48" t="n">
        <f aca="false">IF(AND(AT38=1,AT39&lt;=ROUNDUP(1/Input!$H$146,0)),MIN($D$48*Input!$H$138*Input!$H$146,MAX($D$48*Input!$H$138-$D$48*Input!$H$138*Input!$H$146*(AT39-1),0)),0)</f>
        <v>0</v>
      </c>
      <c r="AU87" s="48" t="n">
        <f aca="false">IF(AND(AU38=1,AU39&lt;=ROUNDUP(1/Input!$H$146,0)),MIN($D$48*Input!$H$138*Input!$H$146,MAX($D$48*Input!$H$138-$D$48*Input!$H$138*Input!$H$146*(AU39-1),0)),0)</f>
        <v>0</v>
      </c>
      <c r="AV87" s="48" t="n">
        <f aca="false">IF(AND(AV38=1,AV39&lt;=ROUNDUP(1/Input!$H$146,0)),MIN($D$48*Input!$H$138*Input!$H$146,MAX($D$48*Input!$H$138-$D$48*Input!$H$138*Input!$H$146*(AV39-1),0)),0)</f>
        <v>0</v>
      </c>
      <c r="AW87" s="48" t="n">
        <f aca="false">IF(AND(AW38=1,AW39&lt;=ROUNDUP(1/Input!$H$146,0)),MIN($D$48*Input!$H$138*Input!$H$146,MAX($D$48*Input!$H$138-$D$48*Input!$H$138*Input!$H$146*(AW39-1),0)),0)</f>
        <v>0</v>
      </c>
      <c r="AX87" s="48" t="n">
        <f aca="false">IF(AND(AX38=1,AX39&lt;=ROUNDUP(1/Input!$H$146,0)),MIN($D$48*Input!$H$138*Input!$H$146,MAX($D$48*Input!$H$138-$D$48*Input!$H$138*Input!$H$146*(AX39-1),0)),0)</f>
        <v>0</v>
      </c>
      <c r="AY87" s="48" t="n">
        <f aca="false">IF(AND(AY38=1,AY39&lt;=ROUNDUP(1/Input!$H$146,0)),MIN($D$48*Input!$H$138*Input!$H$146,MAX($D$48*Input!$H$138-$D$48*Input!$H$138*Input!$H$146*(AY39-1),0)),0)</f>
        <v>0</v>
      </c>
      <c r="AZ87" s="48" t="n">
        <f aca="false">IF(AND(AZ38=1,AZ39&lt;=ROUNDUP(1/Input!$H$146,0)),MIN($D$48*Input!$H$138*Input!$H$146,MAX($D$48*Input!$H$138-$D$48*Input!$H$138*Input!$H$146*(AZ39-1),0)),0)</f>
        <v>0</v>
      </c>
      <c r="BA87" s="48" t="n">
        <f aca="false">IF(AND(BA38=1,BA39&lt;=ROUNDUP(1/Input!$H$146,0)),MIN($D$48*Input!$H$138*Input!$H$146,MAX($D$48*Input!$H$138-$D$48*Input!$H$138*Input!$H$146*(BA39-1),0)),0)</f>
        <v>0</v>
      </c>
      <c r="BB87" s="48" t="n">
        <f aca="false">IF(AND(BB38=1,BB39&lt;=ROUNDUP(1/Input!$H$146,0)),MIN($D$48*Input!$H$138*Input!$H$146,MAX($D$48*Input!$H$138-$D$48*Input!$H$138*Input!$H$146*(BB39-1),0)),0)</f>
        <v>0</v>
      </c>
      <c r="BC87" s="48" t="n">
        <f aca="false">IF(AND(BC38=1,BC39&lt;=ROUNDUP(1/Input!$H$146,0)),MIN($D$48*Input!$H$138*Input!$H$146,MAX($D$48*Input!$H$138-$D$48*Input!$H$138*Input!$H$146*(BC39-1),0)),0)</f>
        <v>0</v>
      </c>
      <c r="BD87" s="48" t="n">
        <f aca="false">IF(AND(BD38=1,BD39&lt;=ROUNDUP(1/Input!$H$146,0)),MIN($D$48*Input!$H$138*Input!$H$146,MAX($D$48*Input!$H$138-$D$48*Input!$H$138*Input!$H$146*(BD39-1),0)),0)</f>
        <v>0</v>
      </c>
      <c r="BE87" s="48" t="n">
        <f aca="false">IF(AND(BE38=1,BE39&lt;=ROUNDUP(1/Input!$H$146,0)),MIN($D$48*Input!$H$138*Input!$H$146,MAX($D$48*Input!$H$138-$D$48*Input!$H$138*Input!$H$146*(BE39-1),0)),0)</f>
        <v>0</v>
      </c>
      <c r="BF87" s="48" t="n">
        <f aca="false">IF(AND(BF38=1,BF39&lt;=ROUNDUP(1/Input!$H$146,0)),MIN($D$48*Input!$H$138*Input!$H$146,MAX($D$48*Input!$H$138-$D$48*Input!$H$138*Input!$H$146*(BF39-1),0)),0)</f>
        <v>0</v>
      </c>
      <c r="BG87" s="48" t="n">
        <f aca="false">IF(AND(BG38=1,BG39&lt;=ROUNDUP(1/Input!$H$146,0)),MIN($D$48*Input!$H$138*Input!$H$146,MAX($D$48*Input!$H$138-$D$48*Input!$H$138*Input!$H$146*(BG39-1),0)),0)</f>
        <v>0</v>
      </c>
      <c r="BH87" s="48" t="n">
        <f aca="false">IF(AND(BH38=1,BH39&lt;=ROUNDUP(1/Input!$H$146,0)),MIN($D$48*Input!$H$138*Input!$H$146,MAX($D$48*Input!$H$138-$D$48*Input!$H$138*Input!$H$146*(BH39-1),0)),0)</f>
        <v>0</v>
      </c>
      <c r="BI87" s="48" t="n">
        <f aca="false">IF(AND(BI38=1,BI39&lt;=ROUNDUP(1/Input!$H$146,0)),MIN($D$48*Input!$H$138*Input!$H$146,MAX($D$48*Input!$H$138-$D$48*Input!$H$138*Input!$H$146*(BI39-1),0)),0)</f>
        <v>0</v>
      </c>
      <c r="BJ87" s="48" t="n">
        <f aca="false">IF(AND(BJ38=1,BJ39&lt;=ROUNDUP(1/Input!$H$146,0)),MIN($D$48*Input!$H$138*Input!$H$146,MAX($D$48*Input!$H$138-$D$48*Input!$H$138*Input!$H$146*(BJ39-1),0)),0)</f>
        <v>0</v>
      </c>
      <c r="BK87" s="48" t="n">
        <f aca="false">IF(AND(BK38=1,BK39&lt;=ROUNDUP(1/Input!$H$146,0)),MIN($D$48*Input!$H$138*Input!$H$146,MAX($D$48*Input!$H$138-$D$48*Input!$H$138*Input!$H$146*(BK39-1),0)),0)</f>
        <v>0</v>
      </c>
      <c r="BL87" s="48" t="n">
        <f aca="false">IF(AND(BL38=1,BL39&lt;=ROUNDUP(1/Input!$H$146,0)),MIN($D$48*Input!$H$138*Input!$H$146,MAX($D$48*Input!$H$138-$D$48*Input!$H$138*Input!$H$146*(BL39-1),0)),0)</f>
        <v>0</v>
      </c>
      <c r="BM87" s="48" t="n">
        <f aca="false">IF(AND(BM38=1,BM39&lt;=ROUNDUP(1/Input!$H$146,0)),MIN($D$48*Input!$H$138*Input!$H$146,MAX($D$48*Input!$H$138-$D$48*Input!$H$138*Input!$H$146*(BM39-1),0)),0)</f>
        <v>0</v>
      </c>
      <c r="BN87" s="48" t="n">
        <f aca="false">IF(AND(BN38=1,BN39&lt;=ROUNDUP(1/Input!$H$146,0)),MIN($D$48*Input!$H$138*Input!$H$146,MAX($D$48*Input!$H$138-$D$48*Input!$H$138*Input!$H$146*(BN39-1),0)),0)</f>
        <v>0</v>
      </c>
      <c r="BO87" s="48" t="n">
        <f aca="false">IF(AND(BO38=1,BO39&lt;=ROUNDUP(1/Input!$H$146,0)),MIN($D$48*Input!$H$138*Input!$H$146,MAX($D$48*Input!$H$138-$D$48*Input!$H$138*Input!$H$146*(BO39-1),0)),0)</f>
        <v>0</v>
      </c>
      <c r="BP87" s="48" t="n">
        <f aca="false">IF(AND(BP38=1,BP39&lt;=ROUNDUP(1/Input!$H$146,0)),MIN($D$48*Input!$H$138*Input!$H$146,MAX($D$48*Input!$H$138-$D$48*Input!$H$138*Input!$H$146*(BP39-1),0)),0)</f>
        <v>0</v>
      </c>
      <c r="BQ87" s="48" t="n">
        <f aca="false">IF(AND(BQ38=1,BQ39&lt;=ROUNDUP(1/Input!$H$146,0)),MIN($D$48*Input!$H$138*Input!$H$146,MAX($D$48*Input!$H$138-$D$48*Input!$H$138*Input!$H$146*(BQ39-1),0)),0)</f>
        <v>0</v>
      </c>
      <c r="BR87" s="48" t="n">
        <f aca="false">IF(AND(BR38=1,BR39&lt;=ROUNDUP(1/Input!$H$146,0)),MIN($D$48*Input!$H$138*Input!$H$146,MAX($D$48*Input!$H$138-$D$48*Input!$H$138*Input!$H$146*(BR39-1),0)),0)</f>
        <v>0</v>
      </c>
      <c r="BS87" s="48" t="n">
        <f aca="false">IF(AND(BS38=1,BS39&lt;=ROUNDUP(1/Input!$H$146,0)),MIN($D$48*Input!$H$138*Input!$H$146,MAX($D$48*Input!$H$138-$D$48*Input!$H$138*Input!$H$146*(BS39-1),0)),0)</f>
        <v>0</v>
      </c>
      <c r="BT87" s="48" t="n">
        <f aca="false">IF(AND(BT38=1,BT39&lt;=ROUNDUP(1/Input!$H$146,0)),MIN($D$48*Input!$H$138*Input!$H$146,MAX($D$48*Input!$H$138-$D$48*Input!$H$138*Input!$H$146*(BT39-1),0)),0)</f>
        <v>0</v>
      </c>
      <c r="BU87" s="48" t="n">
        <f aca="false">IF(AND(BU38=1,BU39&lt;=ROUNDUP(1/Input!$H$146,0)),MIN($D$48*Input!$H$138*Input!$H$146,MAX($D$48*Input!$H$138-$D$48*Input!$H$138*Input!$H$146*(BU39-1),0)),0)</f>
        <v>0</v>
      </c>
      <c r="BV87" s="48" t="n">
        <f aca="false">IF(AND(BV38=1,BV39&lt;=ROUNDUP(1/Input!$H$146,0)),MIN($D$48*Input!$H$138*Input!$H$146,MAX($D$48*Input!$H$138-$D$48*Input!$H$138*Input!$H$146*(BV39-1),0)),0)</f>
        <v>0</v>
      </c>
      <c r="BW87" s="48" t="n">
        <f aca="false">IF(AND(BW38=1,BW39&lt;=ROUNDUP(1/Input!$H$146,0)),MIN($D$48*Input!$H$138*Input!$H$146,MAX($D$48*Input!$H$138-$D$48*Input!$H$138*Input!$H$146*(BW39-1),0)),0)</f>
        <v>0</v>
      </c>
      <c r="BX87" s="48" t="n">
        <f aca="false">IF(AND(BX38=1,BX39&lt;=ROUNDUP(1/Input!$H$146,0)),MIN($D$48*Input!$H$138*Input!$H$146,MAX($D$48*Input!$H$138-$D$48*Input!$H$138*Input!$H$146*(BX39-1),0)),0)</f>
        <v>0</v>
      </c>
    </row>
    <row r="88" customFormat="false" ht="15" hidden="false" customHeight="false" outlineLevel="0" collapsed="false">
      <c r="A88" s="1"/>
      <c r="B88" s="4" t="s">
        <v>353</v>
      </c>
      <c r="C88" s="8" t="s">
        <v>126</v>
      </c>
      <c r="D88" s="44" t="n">
        <f aca="false">SUM(G88:BX88)</f>
        <v>287.595</v>
      </c>
      <c r="E88" s="1"/>
      <c r="F88" s="1"/>
      <c r="G88" s="44" t="n">
        <f aca="false">G84+G85+G86+G87</f>
        <v>0</v>
      </c>
      <c r="H88" s="44" t="n">
        <f aca="false">H84+H85+H86+H87</f>
        <v>0</v>
      </c>
      <c r="I88" s="44" t="n">
        <f aca="false">I84+I85+I86+I87</f>
        <v>0</v>
      </c>
      <c r="J88" s="44" t="n">
        <f aca="false">J84+J85+J86+J87</f>
        <v>0</v>
      </c>
      <c r="K88" s="44" t="n">
        <f aca="false">K84+K85+K86+K87</f>
        <v>20.169</v>
      </c>
      <c r="L88" s="44" t="n">
        <f aca="false">L84+L85+L86+L87</f>
        <v>20.169</v>
      </c>
      <c r="M88" s="44" t="n">
        <f aca="false">M84+M85+M86+M87</f>
        <v>20.169</v>
      </c>
      <c r="N88" s="44" t="n">
        <f aca="false">N84+N85+N86+N87</f>
        <v>20.169</v>
      </c>
      <c r="O88" s="44" t="n">
        <f aca="false">O84+O85+O86+O87</f>
        <v>20.169</v>
      </c>
      <c r="P88" s="44" t="n">
        <f aca="false">P84+P85+P86+P87</f>
        <v>20.169</v>
      </c>
      <c r="Q88" s="44" t="n">
        <f aca="false">Q84+Q85+Q86+Q87</f>
        <v>20.169</v>
      </c>
      <c r="R88" s="44" t="n">
        <f aca="false">R84+R85+R86+R87</f>
        <v>20.169</v>
      </c>
      <c r="S88" s="44" t="n">
        <f aca="false">S84+S85+S86+S87</f>
        <v>20.169</v>
      </c>
      <c r="T88" s="44" t="n">
        <f aca="false">T84+T85+T86+T87</f>
        <v>20.169</v>
      </c>
      <c r="U88" s="44" t="n">
        <f aca="false">U84+U85+U86+U87</f>
        <v>15.687</v>
      </c>
      <c r="V88" s="44" t="n">
        <f aca="false">V84+V85+V86+V87</f>
        <v>15.687</v>
      </c>
      <c r="W88" s="44" t="n">
        <f aca="false">W84+W85+W86+W87</f>
        <v>15.687</v>
      </c>
      <c r="X88" s="44" t="n">
        <f aca="false">X84+X85+X86+X87</f>
        <v>15.687</v>
      </c>
      <c r="Y88" s="44" t="n">
        <f aca="false">Y84+Y85+Y86+Y87</f>
        <v>5.97599999999997</v>
      </c>
      <c r="Z88" s="44" t="n">
        <f aca="false">Z84+Z85+Z86+Z87</f>
        <v>2.0916</v>
      </c>
      <c r="AA88" s="44" t="n">
        <f aca="false">AA84+AA85+AA86+AA87</f>
        <v>2.0916</v>
      </c>
      <c r="AB88" s="44" t="n">
        <f aca="false">AB84+AB85+AB86+AB87</f>
        <v>2.0916</v>
      </c>
      <c r="AC88" s="44" t="n">
        <f aca="false">AC84+AC85+AC86+AC87</f>
        <v>2.0916</v>
      </c>
      <c r="AD88" s="44" t="n">
        <f aca="false">AD84+AD85+AD86+AD87</f>
        <v>2.0916</v>
      </c>
      <c r="AE88" s="44" t="n">
        <f aca="false">AE84+AE85+AE86+AE87</f>
        <v>2.0916</v>
      </c>
      <c r="AF88" s="44" t="n">
        <f aca="false">AF84+AF85+AF86+AF87</f>
        <v>2.0916</v>
      </c>
      <c r="AG88" s="44" t="n">
        <f aca="false">AG84+AG85+AG86+AG87</f>
        <v>1.0458</v>
      </c>
      <c r="AH88" s="44" t="n">
        <f aca="false">AH84+AH85+AH86+AH87</f>
        <v>0.747</v>
      </c>
      <c r="AI88" s="44" t="n">
        <f aca="false">AI84+AI85+AI86+AI87</f>
        <v>0.747</v>
      </c>
      <c r="AJ88" s="44" t="n">
        <f aca="false">AJ84+AJ85+AJ86+AJ87</f>
        <v>0</v>
      </c>
      <c r="AK88" s="44" t="n">
        <f aca="false">AK84+AK85+AK86+AK87</f>
        <v>0</v>
      </c>
      <c r="AL88" s="44" t="n">
        <f aca="false">AL84+AL85+AL86+AL87</f>
        <v>0</v>
      </c>
      <c r="AM88" s="44" t="n">
        <f aca="false">AM84+AM85+AM86+AM87</f>
        <v>0</v>
      </c>
      <c r="AN88" s="44" t="n">
        <f aca="false">AN84+AN85+AN86+AN87</f>
        <v>0</v>
      </c>
      <c r="AO88" s="44" t="n">
        <f aca="false">AO84+AO85+AO86+AO87</f>
        <v>0</v>
      </c>
      <c r="AP88" s="44" t="n">
        <f aca="false">AP84+AP85+AP86+AP87</f>
        <v>0</v>
      </c>
      <c r="AQ88" s="44" t="n">
        <f aca="false">AQ84+AQ85+AQ86+AQ87</f>
        <v>0</v>
      </c>
      <c r="AR88" s="44" t="n">
        <f aca="false">AR84+AR85+AR86+AR87</f>
        <v>0</v>
      </c>
      <c r="AS88" s="44" t="n">
        <f aca="false">AS84+AS85+AS86+AS87</f>
        <v>0</v>
      </c>
      <c r="AT88" s="44" t="n">
        <f aca="false">AT84+AT85+AT86+AT87</f>
        <v>0</v>
      </c>
      <c r="AU88" s="44" t="n">
        <f aca="false">AU84+AU85+AU86+AU87</f>
        <v>0</v>
      </c>
      <c r="AV88" s="44" t="n">
        <f aca="false">AV84+AV85+AV86+AV87</f>
        <v>0</v>
      </c>
      <c r="AW88" s="44" t="n">
        <f aca="false">AW84+AW85+AW86+AW87</f>
        <v>0</v>
      </c>
      <c r="AX88" s="44" t="n">
        <f aca="false">AX84+AX85+AX86+AX87</f>
        <v>0</v>
      </c>
      <c r="AY88" s="44" t="n">
        <f aca="false">AY84+AY85+AY86+AY87</f>
        <v>0</v>
      </c>
      <c r="AZ88" s="44" t="n">
        <f aca="false">AZ84+AZ85+AZ86+AZ87</f>
        <v>0</v>
      </c>
      <c r="BA88" s="44" t="n">
        <f aca="false">BA84+BA85+BA86+BA87</f>
        <v>0</v>
      </c>
      <c r="BB88" s="44" t="n">
        <f aca="false">BB84+BB85+BB86+BB87</f>
        <v>0</v>
      </c>
      <c r="BC88" s="44" t="n">
        <f aca="false">BC84+BC85+BC86+BC87</f>
        <v>0</v>
      </c>
      <c r="BD88" s="44" t="n">
        <f aca="false">BD84+BD85+BD86+BD87</f>
        <v>0</v>
      </c>
      <c r="BE88" s="44" t="n">
        <f aca="false">BE84+BE85+BE86+BE87</f>
        <v>0</v>
      </c>
      <c r="BF88" s="44" t="n">
        <f aca="false">BF84+BF85+BF86+BF87</f>
        <v>0</v>
      </c>
      <c r="BG88" s="44" t="n">
        <f aca="false">BG84+BG85+BG86+BG87</f>
        <v>0</v>
      </c>
      <c r="BH88" s="44" t="n">
        <f aca="false">BH84+BH85+BH86+BH87</f>
        <v>0</v>
      </c>
      <c r="BI88" s="44" t="n">
        <f aca="false">BI84+BI85+BI86+BI87</f>
        <v>0</v>
      </c>
      <c r="BJ88" s="44" t="n">
        <f aca="false">BJ84+BJ85+BJ86+BJ87</f>
        <v>0</v>
      </c>
      <c r="BK88" s="44" t="n">
        <f aca="false">BK84+BK85+BK86+BK87</f>
        <v>0</v>
      </c>
      <c r="BL88" s="44" t="n">
        <f aca="false">BL84+BL85+BL86+BL87</f>
        <v>0</v>
      </c>
      <c r="BM88" s="44" t="n">
        <f aca="false">BM84+BM85+BM86+BM87</f>
        <v>0</v>
      </c>
      <c r="BN88" s="44" t="n">
        <f aca="false">BN84+BN85+BN86+BN87</f>
        <v>0</v>
      </c>
      <c r="BO88" s="44" t="n">
        <f aca="false">BO84+BO85+BO86+BO87</f>
        <v>0</v>
      </c>
      <c r="BP88" s="44" t="n">
        <f aca="false">BP84+BP85+BP86+BP87</f>
        <v>0</v>
      </c>
      <c r="BQ88" s="44" t="n">
        <f aca="false">BQ84+BQ85+BQ86+BQ87</f>
        <v>0</v>
      </c>
      <c r="BR88" s="44" t="n">
        <f aca="false">BR84+BR85+BR86+BR87</f>
        <v>0</v>
      </c>
      <c r="BS88" s="44" t="n">
        <f aca="false">BS84+BS85+BS86+BS87</f>
        <v>0</v>
      </c>
      <c r="BT88" s="44" t="n">
        <f aca="false">BT84+BT85+BT86+BT87</f>
        <v>0</v>
      </c>
      <c r="BU88" s="44" t="n">
        <f aca="false">BU84+BU85+BU86+BU87</f>
        <v>0</v>
      </c>
      <c r="BV88" s="44" t="n">
        <f aca="false">BV84+BV85+BV86+BV87</f>
        <v>0</v>
      </c>
      <c r="BW88" s="44" t="n">
        <f aca="false">BW84+BW85+BW86+BW87</f>
        <v>0</v>
      </c>
      <c r="BX88" s="44" t="n">
        <f aca="false">BX84+BX85+BX86+BX87</f>
        <v>0</v>
      </c>
    </row>
    <row r="89" customFormat="false" ht="15" hidden="false" customHeight="false" outlineLevel="0" collapsed="false">
      <c r="A89" s="1"/>
      <c r="B89" s="8" t="s">
        <v>354</v>
      </c>
      <c r="C89" s="8" t="s">
        <v>126</v>
      </c>
      <c r="D89" s="44" t="n">
        <f aca="false">SUM(G89:BX89)</f>
        <v>-168.62344729768</v>
      </c>
      <c r="E89" s="1"/>
      <c r="F89" s="1"/>
      <c r="G89" s="48" t="n">
        <f aca="false">G80-G88-G81</f>
        <v>0</v>
      </c>
      <c r="H89" s="48" t="n">
        <f aca="false">H80-H88-H81</f>
        <v>0</v>
      </c>
      <c r="I89" s="48" t="n">
        <f aca="false">I80-I88-I81</f>
        <v>0</v>
      </c>
      <c r="J89" s="48" t="n">
        <f aca="false">J80-J88-J81</f>
        <v>0</v>
      </c>
      <c r="K89" s="48" t="n">
        <f aca="false">K80-K88-K81</f>
        <v>-8.96647278305199</v>
      </c>
      <c r="L89" s="48" t="n">
        <f aca="false">L80-L88-L81</f>
        <v>-10.2123025897853</v>
      </c>
      <c r="M89" s="48" t="n">
        <f aca="false">M80-M88-M81</f>
        <v>-11.3254213036087</v>
      </c>
      <c r="N89" s="48" t="n">
        <f aca="false">N80-N88-N81</f>
        <v>-12.3079914441823</v>
      </c>
      <c r="O89" s="48" t="n">
        <f aca="false">O80-O88-O81</f>
        <v>-13.2446485181176</v>
      </c>
      <c r="P89" s="48" t="n">
        <f aca="false">P80-P88-P81</f>
        <v>-13.7284163581693</v>
      </c>
      <c r="Q89" s="48" t="n">
        <f aca="false">Q80-Q88-Q81</f>
        <v>-14.1931762572485</v>
      </c>
      <c r="R89" s="48" t="n">
        <f aca="false">R80-R88-R81</f>
        <v>-14.6407929408375</v>
      </c>
      <c r="S89" s="48" t="n">
        <f aca="false">S80-S88-S81</f>
        <v>-15.0744661696165</v>
      </c>
      <c r="T89" s="48" t="n">
        <f aca="false">T80-T88-T81</f>
        <v>-15.4933612212633</v>
      </c>
      <c r="U89" s="48" t="n">
        <f aca="false">U80-U88-U81</f>
        <v>-11.1139336817726</v>
      </c>
      <c r="V89" s="48" t="n">
        <f aca="false">V80-V88-V81</f>
        <v>-11.2123311150768</v>
      </c>
      <c r="W89" s="48" t="n">
        <f aca="false">W80-W88-W81</f>
        <v>-11.3099605953203</v>
      </c>
      <c r="X89" s="48" t="n">
        <f aca="false">X80-X88-X81</f>
        <v>-11.4025403710473</v>
      </c>
      <c r="Y89" s="48" t="n">
        <f aca="false">Y80-Y88-Y81</f>
        <v>-1.7884273710682</v>
      </c>
      <c r="Z89" s="48" t="n">
        <f aca="false">Z80-Z88-Z81</f>
        <v>2.0049806028739</v>
      </c>
      <c r="AA89" s="48" t="n">
        <f aca="false">AA80-AA88-AA81</f>
        <v>1.91359744294436</v>
      </c>
      <c r="AB89" s="48" t="n">
        <f aca="false">AB80-AB88-AB81</f>
        <v>1.81678913655566</v>
      </c>
      <c r="AC89" s="48" t="n">
        <f aca="false">AC80-AC88-AC81</f>
        <v>1.72454909720906</v>
      </c>
      <c r="AD89" s="48" t="n">
        <f aca="false">AD80-AD88-AD81</f>
        <v>1.63034205578255</v>
      </c>
      <c r="AE89" s="48" t="n">
        <f aca="false">AE80-AE88-AE81</f>
        <v>1.63758376281473</v>
      </c>
      <c r="AF89" s="48" t="n">
        <f aca="false">AF80-AF88-AF81</f>
        <v>1.64430605632346</v>
      </c>
      <c r="AG89" s="48" t="n">
        <f aca="false">AG80-AG88-AG81</f>
        <v>2.69349524027708</v>
      </c>
      <c r="AH89" s="48" t="n">
        <f aca="false">AH80-AH88-AH81</f>
        <v>2.99828375229711</v>
      </c>
      <c r="AI89" s="48" t="n">
        <f aca="false">AI80-AI88-AI81</f>
        <v>-10.6731317245918</v>
      </c>
      <c r="AJ89" s="48" t="n">
        <f aca="false">AJ80-AJ88-AJ81</f>
        <v>0</v>
      </c>
      <c r="AK89" s="48" t="n">
        <f aca="false">AK80-AK88-AK81</f>
        <v>0</v>
      </c>
      <c r="AL89" s="48" t="n">
        <f aca="false">AL80-AL88-AL81</f>
        <v>0</v>
      </c>
      <c r="AM89" s="48" t="n">
        <f aca="false">AM80-AM88-AM81</f>
        <v>0</v>
      </c>
      <c r="AN89" s="48" t="n">
        <f aca="false">AN80-AN88-AN81</f>
        <v>0</v>
      </c>
      <c r="AO89" s="48" t="n">
        <f aca="false">AO80-AO88-AO81</f>
        <v>0</v>
      </c>
      <c r="AP89" s="48" t="n">
        <f aca="false">AP80-AP88-AP81</f>
        <v>0</v>
      </c>
      <c r="AQ89" s="48" t="n">
        <f aca="false">AQ80-AQ88-AQ81</f>
        <v>0</v>
      </c>
      <c r="AR89" s="48" t="n">
        <f aca="false">AR80-AR88-AR81</f>
        <v>0</v>
      </c>
      <c r="AS89" s="48" t="n">
        <f aca="false">AS80-AS88-AS81</f>
        <v>0</v>
      </c>
      <c r="AT89" s="48" t="n">
        <f aca="false">AT80-AT88-AT81</f>
        <v>0</v>
      </c>
      <c r="AU89" s="48" t="n">
        <f aca="false">AU80-AU88-AU81</f>
        <v>0</v>
      </c>
      <c r="AV89" s="48" t="n">
        <f aca="false">AV80-AV88-AV81</f>
        <v>0</v>
      </c>
      <c r="AW89" s="48" t="n">
        <f aca="false">AW80-AW88-AW81</f>
        <v>0</v>
      </c>
      <c r="AX89" s="48" t="n">
        <f aca="false">AX80-AX88-AX81</f>
        <v>0</v>
      </c>
      <c r="AY89" s="48" t="n">
        <f aca="false">AY80-AY88-AY81</f>
        <v>0</v>
      </c>
      <c r="AZ89" s="48" t="n">
        <f aca="false">AZ80-AZ88-AZ81</f>
        <v>0</v>
      </c>
      <c r="BA89" s="48" t="n">
        <f aca="false">BA80-BA88-BA81</f>
        <v>0</v>
      </c>
      <c r="BB89" s="48" t="n">
        <f aca="false">BB80-BB88-BB81</f>
        <v>0</v>
      </c>
      <c r="BC89" s="48" t="n">
        <f aca="false">BC80-BC88-BC81</f>
        <v>0</v>
      </c>
      <c r="BD89" s="48" t="n">
        <f aca="false">BD80-BD88-BD81</f>
        <v>0</v>
      </c>
      <c r="BE89" s="48" t="n">
        <f aca="false">BE80-BE88-BE81</f>
        <v>0</v>
      </c>
      <c r="BF89" s="48" t="n">
        <f aca="false">BF80-BF88-BF81</f>
        <v>0</v>
      </c>
      <c r="BG89" s="48" t="n">
        <f aca="false">BG80-BG88-BG81</f>
        <v>0</v>
      </c>
      <c r="BH89" s="48" t="n">
        <f aca="false">BH80-BH88-BH81</f>
        <v>0</v>
      </c>
      <c r="BI89" s="48" t="n">
        <f aca="false">BI80-BI88-BI81</f>
        <v>0</v>
      </c>
      <c r="BJ89" s="48" t="n">
        <f aca="false">BJ80-BJ88-BJ81</f>
        <v>0</v>
      </c>
      <c r="BK89" s="48" t="n">
        <f aca="false">BK80-BK88-BK81</f>
        <v>0</v>
      </c>
      <c r="BL89" s="48" t="n">
        <f aca="false">BL80-BL88-BL81</f>
        <v>0</v>
      </c>
      <c r="BM89" s="48" t="n">
        <f aca="false">BM80-BM88-BM81</f>
        <v>0</v>
      </c>
      <c r="BN89" s="48" t="n">
        <f aca="false">BN80-BN88-BN81</f>
        <v>0</v>
      </c>
      <c r="BO89" s="48" t="n">
        <f aca="false">BO80-BO88-BO81</f>
        <v>0</v>
      </c>
      <c r="BP89" s="48" t="n">
        <f aca="false">BP80-BP88-BP81</f>
        <v>0</v>
      </c>
      <c r="BQ89" s="48" t="n">
        <f aca="false">BQ80-BQ88-BQ81</f>
        <v>0</v>
      </c>
      <c r="BR89" s="48" t="n">
        <f aca="false">BR80-BR88-BR81</f>
        <v>0</v>
      </c>
      <c r="BS89" s="48" t="n">
        <f aca="false">BS80-BS88-BS81</f>
        <v>0</v>
      </c>
      <c r="BT89" s="48" t="n">
        <f aca="false">BT80-BT88-BT81</f>
        <v>0</v>
      </c>
      <c r="BU89" s="48" t="n">
        <f aca="false">BU80-BU88-BU81</f>
        <v>0</v>
      </c>
      <c r="BV89" s="48" t="n">
        <f aca="false">BV80-BV88-BV81</f>
        <v>0</v>
      </c>
      <c r="BW89" s="48" t="n">
        <f aca="false">BW80-BW88-BW81</f>
        <v>0</v>
      </c>
      <c r="BX89" s="48" t="n">
        <f aca="false">BX80-BX88-BX81</f>
        <v>0</v>
      </c>
    </row>
    <row r="90" customFormat="false" ht="15" hidden="false" customHeight="false" outlineLevel="0" collapsed="false">
      <c r="A90" s="1"/>
      <c r="B90" s="8" t="s">
        <v>355</v>
      </c>
      <c r="C90" s="8" t="s">
        <v>126</v>
      </c>
      <c r="D90" s="1"/>
      <c r="E90" s="1"/>
      <c r="F90" s="1"/>
      <c r="G90" s="48" t="n">
        <f aca="false">0</f>
        <v>0</v>
      </c>
      <c r="H90" s="48" t="n">
        <f aca="false">IF(H89&gt;0,MIN(G91,0.5*H89),0)</f>
        <v>0</v>
      </c>
      <c r="I90" s="48" t="n">
        <f aca="false">IF(I89&gt;0,MIN(H91,0.5*I89),0)</f>
        <v>0</v>
      </c>
      <c r="J90" s="48" t="n">
        <f aca="false">IF(J89&gt;0,MIN(I91,0.5*J89),0)</f>
        <v>0</v>
      </c>
      <c r="K90" s="48" t="n">
        <f aca="false">IF(K89&gt;0,MIN(J91,0.5*K89),0)</f>
        <v>0</v>
      </c>
      <c r="L90" s="48" t="n">
        <f aca="false">IF(L89&gt;0,MIN(K91,0.5*L89),0)</f>
        <v>0</v>
      </c>
      <c r="M90" s="48" t="n">
        <f aca="false">IF(M89&gt;0,MIN(L91,0.5*M89),0)</f>
        <v>0</v>
      </c>
      <c r="N90" s="48" t="n">
        <f aca="false">IF(N89&gt;0,MIN(M91,0.5*N89),0)</f>
        <v>0</v>
      </c>
      <c r="O90" s="48" t="n">
        <f aca="false">IF(O89&gt;0,MIN(N91,0.5*O89),0)</f>
        <v>0</v>
      </c>
      <c r="P90" s="48" t="n">
        <f aca="false">IF(P89&gt;0,MIN(O91,0.5*P89),0)</f>
        <v>0</v>
      </c>
      <c r="Q90" s="48" t="n">
        <f aca="false">IF(Q89&gt;0,MIN(P91,0.5*Q89),0)</f>
        <v>0</v>
      </c>
      <c r="R90" s="48" t="n">
        <f aca="false">IF(R89&gt;0,MIN(Q91,0.5*R89),0)</f>
        <v>0</v>
      </c>
      <c r="S90" s="48" t="n">
        <f aca="false">IF(S89&gt;0,MIN(R91,0.5*S89),0)</f>
        <v>0</v>
      </c>
      <c r="T90" s="48" t="n">
        <f aca="false">IF(T89&gt;0,MIN(S91,0.5*T89),0)</f>
        <v>0</v>
      </c>
      <c r="U90" s="48" t="n">
        <f aca="false">IF(U89&gt;0,MIN(T91,0.5*U89),0)</f>
        <v>0</v>
      </c>
      <c r="V90" s="48" t="n">
        <f aca="false">IF(V89&gt;0,MIN(U91,0.5*V89),0)</f>
        <v>0</v>
      </c>
      <c r="W90" s="48" t="n">
        <f aca="false">IF(W89&gt;0,MIN(V91,0.5*W89),0)</f>
        <v>0</v>
      </c>
      <c r="X90" s="48" t="n">
        <f aca="false">IF(X89&gt;0,MIN(W91,0.5*X89),0)</f>
        <v>0</v>
      </c>
      <c r="Y90" s="48" t="n">
        <f aca="false">IF(Y89&gt;0,MIN(X91,0.5*Y89),0)</f>
        <v>0</v>
      </c>
      <c r="Z90" s="48" t="n">
        <f aca="false">IF(Z89&gt;0,MIN(Y91,0.5*Z89),0)</f>
        <v>1.00249030143695</v>
      </c>
      <c r="AA90" s="48" t="n">
        <f aca="false">IF(AA89&gt;0,MIN(Z91,0.5*AA89),0)</f>
        <v>0.956798721472179</v>
      </c>
      <c r="AB90" s="48" t="n">
        <f aca="false">IF(AB89&gt;0,MIN(AA91,0.5*AB89),0)</f>
        <v>0.908394568277828</v>
      </c>
      <c r="AC90" s="48" t="n">
        <f aca="false">IF(AC89&gt;0,MIN(AB91,0.5*AC89),0)</f>
        <v>0.862274548604528</v>
      </c>
      <c r="AD90" s="48" t="n">
        <f aca="false">IF(AD89&gt;0,MIN(AC91,0.5*AD89),0)</f>
        <v>0.815171027891274</v>
      </c>
      <c r="AE90" s="48" t="n">
        <f aca="false">IF(AE89&gt;0,MIN(AD91,0.5*AE89),0)</f>
        <v>0.818791881407367</v>
      </c>
      <c r="AF90" s="48" t="n">
        <f aca="false">IF(AF89&gt;0,MIN(AE91,0.5*AF89),0)</f>
        <v>0.822153028161729</v>
      </c>
      <c r="AG90" s="48" t="n">
        <f aca="false">IF(AG89&gt;0,MIN(AF91,0.5*AG89),0)</f>
        <v>1.34674762013854</v>
      </c>
      <c r="AH90" s="48" t="n">
        <f aca="false">IF(AH89&gt;0,MIN(AG91,0.5*AH89),0)</f>
        <v>1.49914187614856</v>
      </c>
      <c r="AI90" s="48" t="n">
        <f aca="false">IF(AI89&gt;0,MIN(AH91,0.5*AI89),0)</f>
        <v>0</v>
      </c>
      <c r="AJ90" s="48" t="n">
        <f aca="false">IF(AJ89&gt;0,MIN(AI91,0.5*AJ89),0)</f>
        <v>0</v>
      </c>
      <c r="AK90" s="48" t="n">
        <f aca="false">IF(AK89&gt;0,MIN(AJ91,0.5*AK89),0)</f>
        <v>0</v>
      </c>
      <c r="AL90" s="48" t="n">
        <f aca="false">IF(AL89&gt;0,MIN(AK91,0.5*AL89),0)</f>
        <v>0</v>
      </c>
      <c r="AM90" s="48" t="n">
        <f aca="false">IF(AM89&gt;0,MIN(AL91,0.5*AM89),0)</f>
        <v>0</v>
      </c>
      <c r="AN90" s="48" t="n">
        <f aca="false">IF(AN89&gt;0,MIN(AM91,0.5*AN89),0)</f>
        <v>0</v>
      </c>
      <c r="AO90" s="48" t="n">
        <f aca="false">IF(AO89&gt;0,MIN(AN91,0.5*AO89),0)</f>
        <v>0</v>
      </c>
      <c r="AP90" s="48" t="n">
        <f aca="false">IF(AP89&gt;0,MIN(AO91,0.5*AP89),0)</f>
        <v>0</v>
      </c>
      <c r="AQ90" s="48" t="n">
        <f aca="false">IF(AQ89&gt;0,MIN(AP91,0.5*AQ89),0)</f>
        <v>0</v>
      </c>
      <c r="AR90" s="48" t="n">
        <f aca="false">IF(AR89&gt;0,MIN(AQ91,0.5*AR89),0)</f>
        <v>0</v>
      </c>
      <c r="AS90" s="48" t="n">
        <f aca="false">IF(AS89&gt;0,MIN(AR91,0.5*AS89),0)</f>
        <v>0</v>
      </c>
      <c r="AT90" s="48" t="n">
        <f aca="false">IF(AT89&gt;0,MIN(AS91,0.5*AT89),0)</f>
        <v>0</v>
      </c>
      <c r="AU90" s="48" t="n">
        <f aca="false">IF(AU89&gt;0,MIN(AT91,0.5*AU89),0)</f>
        <v>0</v>
      </c>
      <c r="AV90" s="48" t="n">
        <f aca="false">IF(AV89&gt;0,MIN(AU91,0.5*AV89),0)</f>
        <v>0</v>
      </c>
      <c r="AW90" s="48" t="n">
        <f aca="false">IF(AW89&gt;0,MIN(AV91,0.5*AW89),0)</f>
        <v>0</v>
      </c>
      <c r="AX90" s="48" t="n">
        <f aca="false">IF(AX89&gt;0,MIN(AW91,0.5*AX89),0)</f>
        <v>0</v>
      </c>
      <c r="AY90" s="48" t="n">
        <f aca="false">IF(AY89&gt;0,MIN(AX91,0.5*AY89),0)</f>
        <v>0</v>
      </c>
      <c r="AZ90" s="48" t="n">
        <f aca="false">IF(AZ89&gt;0,MIN(AY91,0.5*AZ89),0)</f>
        <v>0</v>
      </c>
      <c r="BA90" s="48" t="n">
        <f aca="false">IF(BA89&gt;0,MIN(AZ91,0.5*BA89),0)</f>
        <v>0</v>
      </c>
      <c r="BB90" s="48" t="n">
        <f aca="false">IF(BB89&gt;0,MIN(BA91,0.5*BB89),0)</f>
        <v>0</v>
      </c>
      <c r="BC90" s="48" t="n">
        <f aca="false">IF(BC89&gt;0,MIN(BB91,0.5*BC89),0)</f>
        <v>0</v>
      </c>
      <c r="BD90" s="48" t="n">
        <f aca="false">IF(BD89&gt;0,MIN(BC91,0.5*BD89),0)</f>
        <v>0</v>
      </c>
      <c r="BE90" s="48" t="n">
        <f aca="false">IF(BE89&gt;0,MIN(BD91,0.5*BE89),0)</f>
        <v>0</v>
      </c>
      <c r="BF90" s="48" t="n">
        <f aca="false">IF(BF89&gt;0,MIN(BE91,0.5*BF89),0)</f>
        <v>0</v>
      </c>
      <c r="BG90" s="48" t="n">
        <f aca="false">IF(BG89&gt;0,MIN(BF91,0.5*BG89),0)</f>
        <v>0</v>
      </c>
      <c r="BH90" s="48" t="n">
        <f aca="false">IF(BH89&gt;0,MIN(BG91,0.5*BH89),0)</f>
        <v>0</v>
      </c>
      <c r="BI90" s="48" t="n">
        <f aca="false">IF(BI89&gt;0,MIN(BH91,0.5*BI89),0)</f>
        <v>0</v>
      </c>
      <c r="BJ90" s="48" t="n">
        <f aca="false">IF(BJ89&gt;0,MIN(BI91,0.5*BJ89),0)</f>
        <v>0</v>
      </c>
      <c r="BK90" s="48" t="n">
        <f aca="false">IF(BK89&gt;0,MIN(BJ91,0.5*BK89),0)</f>
        <v>0</v>
      </c>
      <c r="BL90" s="48" t="n">
        <f aca="false">IF(BL89&gt;0,MIN(BK91,0.5*BL89),0)</f>
        <v>0</v>
      </c>
      <c r="BM90" s="48" t="n">
        <f aca="false">IF(BM89&gt;0,MIN(BL91,0.5*BM89),0)</f>
        <v>0</v>
      </c>
      <c r="BN90" s="48" t="n">
        <f aca="false">IF(BN89&gt;0,MIN(BM91,0.5*BN89),0)</f>
        <v>0</v>
      </c>
      <c r="BO90" s="48" t="n">
        <f aca="false">IF(BO89&gt;0,MIN(BN91,0.5*BO89),0)</f>
        <v>0</v>
      </c>
      <c r="BP90" s="48" t="n">
        <f aca="false">IF(BP89&gt;0,MIN(BO91,0.5*BP89),0)</f>
        <v>0</v>
      </c>
      <c r="BQ90" s="48" t="n">
        <f aca="false">IF(BQ89&gt;0,MIN(BP91,0.5*BQ89),0)</f>
        <v>0</v>
      </c>
      <c r="BR90" s="48" t="n">
        <f aca="false">IF(BR89&gt;0,MIN(BQ91,0.5*BR89),0)</f>
        <v>0</v>
      </c>
      <c r="BS90" s="48" t="n">
        <f aca="false">IF(BS89&gt;0,MIN(BR91,0.5*BS89),0)</f>
        <v>0</v>
      </c>
      <c r="BT90" s="48" t="n">
        <f aca="false">IF(BT89&gt;0,MIN(BS91,0.5*BT89),0)</f>
        <v>0</v>
      </c>
      <c r="BU90" s="48" t="n">
        <f aca="false">IF(BU89&gt;0,MIN(BT91,0.5*BU89),0)</f>
        <v>0</v>
      </c>
      <c r="BV90" s="48" t="n">
        <f aca="false">IF(BV89&gt;0,MIN(BU91,0.5*BV89),0)</f>
        <v>0</v>
      </c>
      <c r="BW90" s="48" t="n">
        <f aca="false">IF(BW89&gt;0,MIN(BV91,0.5*BW89),0)</f>
        <v>0</v>
      </c>
      <c r="BX90" s="48" t="n">
        <f aca="false">IF(BX89&gt;0,MIN(BW91,0.5*BX89),0)</f>
        <v>0</v>
      </c>
    </row>
    <row r="91" customFormat="false" ht="15" hidden="false" customHeight="false" outlineLevel="0" collapsed="false">
      <c r="A91" s="1"/>
      <c r="B91" s="8" t="s">
        <v>356</v>
      </c>
      <c r="C91" s="8" t="s">
        <v>126</v>
      </c>
      <c r="D91" s="1"/>
      <c r="E91" s="1"/>
      <c r="F91" s="1"/>
      <c r="G91" s="48" t="n">
        <f aca="false">MAX(-G89,0)</f>
        <v>0</v>
      </c>
      <c r="H91" s="48" t="n">
        <f aca="false">MAX(G91-H90+MAX(-H89,0),0)</f>
        <v>0</v>
      </c>
      <c r="I91" s="48" t="n">
        <f aca="false">MAX(H91-I90+MAX(-I89,0),0)</f>
        <v>0</v>
      </c>
      <c r="J91" s="48" t="n">
        <f aca="false">MAX(I91-J90+MAX(-J89,0),0)</f>
        <v>0</v>
      </c>
      <c r="K91" s="48" t="n">
        <f aca="false">MAX(J91-K90+MAX(-K89,0),0)</f>
        <v>8.96647278305199</v>
      </c>
      <c r="L91" s="48" t="n">
        <f aca="false">MAX(K91-L90+MAX(-L89,0),0)</f>
        <v>19.1787753728373</v>
      </c>
      <c r="M91" s="48" t="n">
        <f aca="false">MAX(L91-M90+MAX(-M89,0),0)</f>
        <v>30.504196676446</v>
      </c>
      <c r="N91" s="48" t="n">
        <f aca="false">MAX(M91-N90+MAX(-N89,0),0)</f>
        <v>42.8121881206283</v>
      </c>
      <c r="O91" s="48" t="n">
        <f aca="false">MAX(N91-O90+MAX(-O89,0),0)</f>
        <v>56.0568366387459</v>
      </c>
      <c r="P91" s="48" t="n">
        <f aca="false">MAX(O91-P90+MAX(-P89,0),0)</f>
        <v>69.7852529969152</v>
      </c>
      <c r="Q91" s="48" t="n">
        <f aca="false">MAX(P91-Q90+MAX(-Q89,0),0)</f>
        <v>83.9784292541638</v>
      </c>
      <c r="R91" s="48" t="n">
        <f aca="false">MAX(Q91-R90+MAX(-R89,0),0)</f>
        <v>98.6192221950013</v>
      </c>
      <c r="S91" s="48" t="n">
        <f aca="false">MAX(R91-S90+MAX(-S89,0),0)</f>
        <v>113.693688364618</v>
      </c>
      <c r="T91" s="48" t="n">
        <f aca="false">MAX(S91-T90+MAX(-T89,0),0)</f>
        <v>129.187049585881</v>
      </c>
      <c r="U91" s="48" t="n">
        <f aca="false">MAX(T91-U90+MAX(-U89,0),0)</f>
        <v>140.300983267654</v>
      </c>
      <c r="V91" s="48" t="n">
        <f aca="false">MAX(U91-V90+MAX(-V89,0),0)</f>
        <v>151.51331438273</v>
      </c>
      <c r="W91" s="48" t="n">
        <f aca="false">MAX(V91-W90+MAX(-W89,0),0)</f>
        <v>162.823274978051</v>
      </c>
      <c r="X91" s="48" t="n">
        <f aca="false">MAX(W91-X90+MAX(-X89,0),0)</f>
        <v>174.225815349098</v>
      </c>
      <c r="Y91" s="48" t="n">
        <f aca="false">MAX(X91-Y90+MAX(-Y89,0),0)</f>
        <v>176.014242720166</v>
      </c>
      <c r="Z91" s="48" t="n">
        <f aca="false">MAX(Y91-Z90+MAX(-Z89,0),0)</f>
        <v>175.011752418729</v>
      </c>
      <c r="AA91" s="48" t="n">
        <f aca="false">MAX(Z91-AA90+MAX(-AA89,0),0)</f>
        <v>174.054953697257</v>
      </c>
      <c r="AB91" s="48" t="n">
        <f aca="false">MAX(AA91-AB90+MAX(-AB89,0),0)</f>
        <v>173.146559128979</v>
      </c>
      <c r="AC91" s="48" t="n">
        <f aca="false">MAX(AB91-AC90+MAX(-AC89,0),0)</f>
        <v>172.284284580375</v>
      </c>
      <c r="AD91" s="48" t="n">
        <f aca="false">MAX(AC91-AD90+MAX(-AD89,0),0)</f>
        <v>171.469113552484</v>
      </c>
      <c r="AE91" s="48" t="n">
        <f aca="false">MAX(AD91-AE90+MAX(-AE89,0),0)</f>
        <v>170.650321671076</v>
      </c>
      <c r="AF91" s="48" t="n">
        <f aca="false">MAX(AE91-AF90+MAX(-AF89,0),0)</f>
        <v>169.828168642914</v>
      </c>
      <c r="AG91" s="48" t="n">
        <f aca="false">MAX(AF91-AG90+MAX(-AG89,0),0)</f>
        <v>168.481421022776</v>
      </c>
      <c r="AH91" s="48" t="n">
        <f aca="false">MAX(AG91-AH90+MAX(-AH89,0),0)</f>
        <v>166.982279146627</v>
      </c>
      <c r="AI91" s="48" t="n">
        <f aca="false">MAX(AH91-AI90+MAX(-AI89,0),0)</f>
        <v>177.655410871219</v>
      </c>
      <c r="AJ91" s="48" t="n">
        <f aca="false">MAX(AI91-AJ90+MAX(-AJ89,0),0)</f>
        <v>177.655410871219</v>
      </c>
      <c r="AK91" s="48" t="n">
        <f aca="false">MAX(AJ91-AK90+MAX(-AK89,0),0)</f>
        <v>177.655410871219</v>
      </c>
      <c r="AL91" s="48" t="n">
        <f aca="false">MAX(AK91-AL90+MAX(-AL89,0),0)</f>
        <v>177.655410871219</v>
      </c>
      <c r="AM91" s="48" t="n">
        <f aca="false">MAX(AL91-AM90+MAX(-AM89,0),0)</f>
        <v>177.655410871219</v>
      </c>
      <c r="AN91" s="48" t="n">
        <f aca="false">MAX(AM91-AN90+MAX(-AN89,0),0)</f>
        <v>177.655410871219</v>
      </c>
      <c r="AO91" s="48" t="n">
        <f aca="false">MAX(AN91-AO90+MAX(-AO89,0),0)</f>
        <v>177.655410871219</v>
      </c>
      <c r="AP91" s="48" t="n">
        <f aca="false">MAX(AO91-AP90+MAX(-AP89,0),0)</f>
        <v>177.655410871219</v>
      </c>
      <c r="AQ91" s="48" t="n">
        <f aca="false">MAX(AP91-AQ90+MAX(-AQ89,0),0)</f>
        <v>177.655410871219</v>
      </c>
      <c r="AR91" s="48" t="n">
        <f aca="false">MAX(AQ91-AR90+MAX(-AR89,0),0)</f>
        <v>177.655410871219</v>
      </c>
      <c r="AS91" s="48" t="n">
        <f aca="false">MAX(AR91-AS90+MAX(-AS89,0),0)</f>
        <v>177.655410871219</v>
      </c>
      <c r="AT91" s="48" t="n">
        <f aca="false">MAX(AS91-AT90+MAX(-AT89,0),0)</f>
        <v>177.655410871219</v>
      </c>
      <c r="AU91" s="48" t="n">
        <f aca="false">MAX(AT91-AU90+MAX(-AU89,0),0)</f>
        <v>177.655410871219</v>
      </c>
      <c r="AV91" s="48" t="n">
        <f aca="false">MAX(AU91-AV90+MAX(-AV89,0),0)</f>
        <v>177.655410871219</v>
      </c>
      <c r="AW91" s="48" t="n">
        <f aca="false">MAX(AV91-AW90+MAX(-AW89,0),0)</f>
        <v>177.655410871219</v>
      </c>
      <c r="AX91" s="48" t="n">
        <f aca="false">MAX(AW91-AX90+MAX(-AX89,0),0)</f>
        <v>177.655410871219</v>
      </c>
      <c r="AY91" s="48" t="n">
        <f aca="false">MAX(AX91-AY90+MAX(-AY89,0),0)</f>
        <v>177.655410871219</v>
      </c>
      <c r="AZ91" s="48" t="n">
        <f aca="false">MAX(AY91-AZ90+MAX(-AZ89,0),0)</f>
        <v>177.655410871219</v>
      </c>
      <c r="BA91" s="48" t="n">
        <f aca="false">MAX(AZ91-BA90+MAX(-BA89,0),0)</f>
        <v>177.655410871219</v>
      </c>
      <c r="BB91" s="48" t="n">
        <f aca="false">MAX(BA91-BB90+MAX(-BB89,0),0)</f>
        <v>177.655410871219</v>
      </c>
      <c r="BC91" s="48" t="n">
        <f aca="false">MAX(BB91-BC90+MAX(-BC89,0),0)</f>
        <v>177.655410871219</v>
      </c>
      <c r="BD91" s="48" t="n">
        <f aca="false">MAX(BC91-BD90+MAX(-BD89,0),0)</f>
        <v>177.655410871219</v>
      </c>
      <c r="BE91" s="48" t="n">
        <f aca="false">MAX(BD91-BE90+MAX(-BE89,0),0)</f>
        <v>177.655410871219</v>
      </c>
      <c r="BF91" s="48" t="n">
        <f aca="false">MAX(BE91-BF90+MAX(-BF89,0),0)</f>
        <v>177.655410871219</v>
      </c>
      <c r="BG91" s="48" t="n">
        <f aca="false">MAX(BF91-BG90+MAX(-BG89,0),0)</f>
        <v>177.655410871219</v>
      </c>
      <c r="BH91" s="48" t="n">
        <f aca="false">MAX(BG91-BH90+MAX(-BH89,0),0)</f>
        <v>177.655410871219</v>
      </c>
      <c r="BI91" s="48" t="n">
        <f aca="false">MAX(BH91-BI90+MAX(-BI89,0),0)</f>
        <v>177.655410871219</v>
      </c>
      <c r="BJ91" s="48" t="n">
        <f aca="false">MAX(BI91-BJ90+MAX(-BJ89,0),0)</f>
        <v>177.655410871219</v>
      </c>
      <c r="BK91" s="48" t="n">
        <f aca="false">MAX(BJ91-BK90+MAX(-BK89,0),0)</f>
        <v>177.655410871219</v>
      </c>
      <c r="BL91" s="48" t="n">
        <f aca="false">MAX(BK91-BL90+MAX(-BL89,0),0)</f>
        <v>177.655410871219</v>
      </c>
      <c r="BM91" s="48" t="n">
        <f aca="false">MAX(BL91-BM90+MAX(-BM89,0),0)</f>
        <v>177.655410871219</v>
      </c>
      <c r="BN91" s="48" t="n">
        <f aca="false">MAX(BM91-BN90+MAX(-BN89,0),0)</f>
        <v>177.655410871219</v>
      </c>
      <c r="BO91" s="48" t="n">
        <f aca="false">MAX(BN91-BO90+MAX(-BO89,0),0)</f>
        <v>177.655410871219</v>
      </c>
      <c r="BP91" s="48" t="n">
        <f aca="false">MAX(BO91-BP90+MAX(-BP89,0),0)</f>
        <v>177.655410871219</v>
      </c>
      <c r="BQ91" s="48" t="n">
        <f aca="false">MAX(BP91-BQ90+MAX(-BQ89,0),0)</f>
        <v>177.655410871219</v>
      </c>
      <c r="BR91" s="48" t="n">
        <f aca="false">MAX(BQ91-BR90+MAX(-BR89,0),0)</f>
        <v>177.655410871219</v>
      </c>
      <c r="BS91" s="48" t="n">
        <f aca="false">MAX(BR91-BS90+MAX(-BS89,0),0)</f>
        <v>177.655410871219</v>
      </c>
      <c r="BT91" s="48" t="n">
        <f aca="false">MAX(BS91-BT90+MAX(-BT89,0),0)</f>
        <v>177.655410871219</v>
      </c>
      <c r="BU91" s="48" t="n">
        <f aca="false">MAX(BT91-BU90+MAX(-BU89,0),0)</f>
        <v>177.655410871219</v>
      </c>
      <c r="BV91" s="48" t="n">
        <f aca="false">MAX(BU91-BV90+MAX(-BV89,0),0)</f>
        <v>177.655410871219</v>
      </c>
      <c r="BW91" s="48" t="n">
        <f aca="false">MAX(BV91-BW90+MAX(-BW89,0),0)</f>
        <v>177.655410871219</v>
      </c>
      <c r="BX91" s="48" t="n">
        <f aca="false">MAX(BW91-BX90+MAX(-BX89,0),0)</f>
        <v>177.655410871219</v>
      </c>
    </row>
    <row r="92" customFormat="false" ht="15" hidden="false" customHeight="false" outlineLevel="0" collapsed="false">
      <c r="A92" s="1"/>
      <c r="B92" s="8" t="s">
        <v>357</v>
      </c>
      <c r="C92" s="8" t="s">
        <v>126</v>
      </c>
      <c r="D92" s="44" t="n">
        <f aca="false">SUM(G92:BX92)</f>
        <v>9.03196357353895</v>
      </c>
      <c r="E92" s="1"/>
      <c r="F92" s="1"/>
      <c r="G92" s="48" t="n">
        <f aca="false">MAX(G89-G90,0)</f>
        <v>0</v>
      </c>
      <c r="H92" s="48" t="n">
        <f aca="false">MAX(H89-H90,0)</f>
        <v>0</v>
      </c>
      <c r="I92" s="48" t="n">
        <f aca="false">MAX(I89-I90,0)</f>
        <v>0</v>
      </c>
      <c r="J92" s="48" t="n">
        <f aca="false">MAX(J89-J90,0)</f>
        <v>0</v>
      </c>
      <c r="K92" s="48" t="n">
        <f aca="false">MAX(K89-K90,0)</f>
        <v>0</v>
      </c>
      <c r="L92" s="48" t="n">
        <f aca="false">MAX(L89-L90,0)</f>
        <v>0</v>
      </c>
      <c r="M92" s="48" t="n">
        <f aca="false">MAX(M89-M90,0)</f>
        <v>0</v>
      </c>
      <c r="N92" s="48" t="n">
        <f aca="false">MAX(N89-N90,0)</f>
        <v>0</v>
      </c>
      <c r="O92" s="48" t="n">
        <f aca="false">MAX(O89-O90,0)</f>
        <v>0</v>
      </c>
      <c r="P92" s="48" t="n">
        <f aca="false">MAX(P89-P90,0)</f>
        <v>0</v>
      </c>
      <c r="Q92" s="48" t="n">
        <f aca="false">MAX(Q89-Q90,0)</f>
        <v>0</v>
      </c>
      <c r="R92" s="48" t="n">
        <f aca="false">MAX(R89-R90,0)</f>
        <v>0</v>
      </c>
      <c r="S92" s="48" t="n">
        <f aca="false">MAX(S89-S90,0)</f>
        <v>0</v>
      </c>
      <c r="T92" s="48" t="n">
        <f aca="false">MAX(T89-T90,0)</f>
        <v>0</v>
      </c>
      <c r="U92" s="48" t="n">
        <f aca="false">MAX(U89-U90,0)</f>
        <v>0</v>
      </c>
      <c r="V92" s="48" t="n">
        <f aca="false">MAX(V89-V90,0)</f>
        <v>0</v>
      </c>
      <c r="W92" s="48" t="n">
        <f aca="false">MAX(W89-W90,0)</f>
        <v>0</v>
      </c>
      <c r="X92" s="48" t="n">
        <f aca="false">MAX(X89-X90,0)</f>
        <v>0</v>
      </c>
      <c r="Y92" s="48" t="n">
        <f aca="false">MAX(Y89-Y90,0)</f>
        <v>0</v>
      </c>
      <c r="Z92" s="48" t="n">
        <f aca="false">MAX(Z89-Z90,0)</f>
        <v>1.00249030143695</v>
      </c>
      <c r="AA92" s="48" t="n">
        <f aca="false">MAX(AA89-AA90,0)</f>
        <v>0.956798721472179</v>
      </c>
      <c r="AB92" s="48" t="n">
        <f aca="false">MAX(AB89-AB90,0)</f>
        <v>0.908394568277828</v>
      </c>
      <c r="AC92" s="48" t="n">
        <f aca="false">MAX(AC89-AC90,0)</f>
        <v>0.862274548604528</v>
      </c>
      <c r="AD92" s="48" t="n">
        <f aca="false">MAX(AD89-AD90,0)</f>
        <v>0.815171027891274</v>
      </c>
      <c r="AE92" s="48" t="n">
        <f aca="false">MAX(AE89-AE90,0)</f>
        <v>0.818791881407367</v>
      </c>
      <c r="AF92" s="48" t="n">
        <f aca="false">MAX(AF89-AF90,0)</f>
        <v>0.822153028161729</v>
      </c>
      <c r="AG92" s="48" t="n">
        <f aca="false">MAX(AG89-AG90,0)</f>
        <v>1.34674762013854</v>
      </c>
      <c r="AH92" s="48" t="n">
        <f aca="false">MAX(AH89-AH90,0)</f>
        <v>1.49914187614856</v>
      </c>
      <c r="AI92" s="48" t="n">
        <f aca="false">MAX(AI89-AI90,0)</f>
        <v>0</v>
      </c>
      <c r="AJ92" s="48" t="n">
        <f aca="false">MAX(AJ89-AJ90,0)</f>
        <v>0</v>
      </c>
      <c r="AK92" s="48" t="n">
        <f aca="false">MAX(AK89-AK90,0)</f>
        <v>0</v>
      </c>
      <c r="AL92" s="48" t="n">
        <f aca="false">MAX(AL89-AL90,0)</f>
        <v>0</v>
      </c>
      <c r="AM92" s="48" t="n">
        <f aca="false">MAX(AM89-AM90,0)</f>
        <v>0</v>
      </c>
      <c r="AN92" s="48" t="n">
        <f aca="false">MAX(AN89-AN90,0)</f>
        <v>0</v>
      </c>
      <c r="AO92" s="48" t="n">
        <f aca="false">MAX(AO89-AO90,0)</f>
        <v>0</v>
      </c>
      <c r="AP92" s="48" t="n">
        <f aca="false">MAX(AP89-AP90,0)</f>
        <v>0</v>
      </c>
      <c r="AQ92" s="48" t="n">
        <f aca="false">MAX(AQ89-AQ90,0)</f>
        <v>0</v>
      </c>
      <c r="AR92" s="48" t="n">
        <f aca="false">MAX(AR89-AR90,0)</f>
        <v>0</v>
      </c>
      <c r="AS92" s="48" t="n">
        <f aca="false">MAX(AS89-AS90,0)</f>
        <v>0</v>
      </c>
      <c r="AT92" s="48" t="n">
        <f aca="false">MAX(AT89-AT90,0)</f>
        <v>0</v>
      </c>
      <c r="AU92" s="48" t="n">
        <f aca="false">MAX(AU89-AU90,0)</f>
        <v>0</v>
      </c>
      <c r="AV92" s="48" t="n">
        <f aca="false">MAX(AV89-AV90,0)</f>
        <v>0</v>
      </c>
      <c r="AW92" s="48" t="n">
        <f aca="false">MAX(AW89-AW90,0)</f>
        <v>0</v>
      </c>
      <c r="AX92" s="48" t="n">
        <f aca="false">MAX(AX89-AX90,0)</f>
        <v>0</v>
      </c>
      <c r="AY92" s="48" t="n">
        <f aca="false">MAX(AY89-AY90,0)</f>
        <v>0</v>
      </c>
      <c r="AZ92" s="48" t="n">
        <f aca="false">MAX(AZ89-AZ90,0)</f>
        <v>0</v>
      </c>
      <c r="BA92" s="48" t="n">
        <f aca="false">MAX(BA89-BA90,0)</f>
        <v>0</v>
      </c>
      <c r="BB92" s="48" t="n">
        <f aca="false">MAX(BB89-BB90,0)</f>
        <v>0</v>
      </c>
      <c r="BC92" s="48" t="n">
        <f aca="false">MAX(BC89-BC90,0)</f>
        <v>0</v>
      </c>
      <c r="BD92" s="48" t="n">
        <f aca="false">MAX(BD89-BD90,0)</f>
        <v>0</v>
      </c>
      <c r="BE92" s="48" t="n">
        <f aca="false">MAX(BE89-BE90,0)</f>
        <v>0</v>
      </c>
      <c r="BF92" s="48" t="n">
        <f aca="false">MAX(BF89-BF90,0)</f>
        <v>0</v>
      </c>
      <c r="BG92" s="48" t="n">
        <f aca="false">MAX(BG89-BG90,0)</f>
        <v>0</v>
      </c>
      <c r="BH92" s="48" t="n">
        <f aca="false">MAX(BH89-BH90,0)</f>
        <v>0</v>
      </c>
      <c r="BI92" s="48" t="n">
        <f aca="false">MAX(BI89-BI90,0)</f>
        <v>0</v>
      </c>
      <c r="BJ92" s="48" t="n">
        <f aca="false">MAX(BJ89-BJ90,0)</f>
        <v>0</v>
      </c>
      <c r="BK92" s="48" t="n">
        <f aca="false">MAX(BK89-BK90,0)</f>
        <v>0</v>
      </c>
      <c r="BL92" s="48" t="n">
        <f aca="false">MAX(BL89-BL90,0)</f>
        <v>0</v>
      </c>
      <c r="BM92" s="48" t="n">
        <f aca="false">MAX(BM89-BM90,0)</f>
        <v>0</v>
      </c>
      <c r="BN92" s="48" t="n">
        <f aca="false">MAX(BN89-BN90,0)</f>
        <v>0</v>
      </c>
      <c r="BO92" s="48" t="n">
        <f aca="false">MAX(BO89-BO90,0)</f>
        <v>0</v>
      </c>
      <c r="BP92" s="48" t="n">
        <f aca="false">MAX(BP89-BP90,0)</f>
        <v>0</v>
      </c>
      <c r="BQ92" s="48" t="n">
        <f aca="false">MAX(BQ89-BQ90,0)</f>
        <v>0</v>
      </c>
      <c r="BR92" s="48" t="n">
        <f aca="false">MAX(BR89-BR90,0)</f>
        <v>0</v>
      </c>
      <c r="BS92" s="48" t="n">
        <f aca="false">MAX(BS89-BS90,0)</f>
        <v>0</v>
      </c>
      <c r="BT92" s="48" t="n">
        <f aca="false">MAX(BT89-BT90,0)</f>
        <v>0</v>
      </c>
      <c r="BU92" s="48" t="n">
        <f aca="false">MAX(BU89-BU90,0)</f>
        <v>0</v>
      </c>
      <c r="BV92" s="48" t="n">
        <f aca="false">MAX(BV89-BV90,0)</f>
        <v>0</v>
      </c>
      <c r="BW92" s="48" t="n">
        <f aca="false">MAX(BW89-BW90,0)</f>
        <v>0</v>
      </c>
      <c r="BX92" s="48" t="n">
        <f aca="false">MAX(BX89-BX90,0)</f>
        <v>0</v>
      </c>
    </row>
    <row r="93" customFormat="false" ht="15" hidden="false" customHeight="false" outlineLevel="0" collapsed="false">
      <c r="A93" s="1"/>
      <c r="B93" s="4" t="s">
        <v>358</v>
      </c>
      <c r="C93" s="8" t="s">
        <v>126</v>
      </c>
      <c r="D93" s="44" t="n">
        <f aca="false">SUM(G93:BX93)</f>
        <v>1.7160730789724</v>
      </c>
      <c r="E93" s="1"/>
      <c r="F93" s="1"/>
      <c r="G93" s="44" t="n">
        <f aca="false">G92*$D$17</f>
        <v>0</v>
      </c>
      <c r="H93" s="44" t="n">
        <f aca="false">H92*$D$17</f>
        <v>0</v>
      </c>
      <c r="I93" s="44" t="n">
        <f aca="false">I92*$D$17</f>
        <v>0</v>
      </c>
      <c r="J93" s="44" t="n">
        <f aca="false">J92*$D$17</f>
        <v>0</v>
      </c>
      <c r="K93" s="44" t="n">
        <f aca="false">K92*$D$17</f>
        <v>0</v>
      </c>
      <c r="L93" s="44" t="n">
        <f aca="false">L92*$D$17</f>
        <v>0</v>
      </c>
      <c r="M93" s="44" t="n">
        <f aca="false">M92*$D$17</f>
        <v>0</v>
      </c>
      <c r="N93" s="44" t="n">
        <f aca="false">N92*$D$17</f>
        <v>0</v>
      </c>
      <c r="O93" s="44" t="n">
        <f aca="false">O92*$D$17</f>
        <v>0</v>
      </c>
      <c r="P93" s="44" t="n">
        <f aca="false">P92*$D$17</f>
        <v>0</v>
      </c>
      <c r="Q93" s="44" t="n">
        <f aca="false">Q92*$D$17</f>
        <v>0</v>
      </c>
      <c r="R93" s="44" t="n">
        <f aca="false">R92*$D$17</f>
        <v>0</v>
      </c>
      <c r="S93" s="44" t="n">
        <f aca="false">S92*$D$17</f>
        <v>0</v>
      </c>
      <c r="T93" s="44" t="n">
        <f aca="false">T92*$D$17</f>
        <v>0</v>
      </c>
      <c r="U93" s="44" t="n">
        <f aca="false">U92*$D$17</f>
        <v>0</v>
      </c>
      <c r="V93" s="44" t="n">
        <f aca="false">V92*$D$17</f>
        <v>0</v>
      </c>
      <c r="W93" s="44" t="n">
        <f aca="false">W92*$D$17</f>
        <v>0</v>
      </c>
      <c r="X93" s="44" t="n">
        <f aca="false">X92*$D$17</f>
        <v>0</v>
      </c>
      <c r="Y93" s="44" t="n">
        <f aca="false">Y92*$D$17</f>
        <v>0</v>
      </c>
      <c r="Z93" s="44" t="n">
        <f aca="false">Z92*$D$17</f>
        <v>0.19047315727302</v>
      </c>
      <c r="AA93" s="44" t="n">
        <f aca="false">AA92*$D$17</f>
        <v>0.181791757079714</v>
      </c>
      <c r="AB93" s="44" t="n">
        <f aca="false">AB92*$D$17</f>
        <v>0.172594967972787</v>
      </c>
      <c r="AC93" s="44" t="n">
        <f aca="false">AC92*$D$17</f>
        <v>0.16383216423486</v>
      </c>
      <c r="AD93" s="44" t="n">
        <f aca="false">AD92*$D$17</f>
        <v>0.154882495299342</v>
      </c>
      <c r="AE93" s="44" t="n">
        <f aca="false">AE92*$D$17</f>
        <v>0.1555704574674</v>
      </c>
      <c r="AF93" s="44" t="n">
        <f aca="false">AF92*$D$17</f>
        <v>0.156209075350728</v>
      </c>
      <c r="AG93" s="44" t="n">
        <f aca="false">AG92*$D$17</f>
        <v>0.255882047826322</v>
      </c>
      <c r="AH93" s="44" t="n">
        <f aca="false">AH92*$D$17</f>
        <v>0.284836956468226</v>
      </c>
      <c r="AI93" s="44" t="n">
        <f aca="false">AI92*$D$17</f>
        <v>0</v>
      </c>
      <c r="AJ93" s="44" t="n">
        <f aca="false">AJ92*$D$17</f>
        <v>0</v>
      </c>
      <c r="AK93" s="44" t="n">
        <f aca="false">AK92*$D$17</f>
        <v>0</v>
      </c>
      <c r="AL93" s="44" t="n">
        <f aca="false">AL92*$D$17</f>
        <v>0</v>
      </c>
      <c r="AM93" s="44" t="n">
        <f aca="false">AM92*$D$17</f>
        <v>0</v>
      </c>
      <c r="AN93" s="44" t="n">
        <f aca="false">AN92*$D$17</f>
        <v>0</v>
      </c>
      <c r="AO93" s="44" t="n">
        <f aca="false">AO92*$D$17</f>
        <v>0</v>
      </c>
      <c r="AP93" s="44" t="n">
        <f aca="false">AP92*$D$17</f>
        <v>0</v>
      </c>
      <c r="AQ93" s="44" t="n">
        <f aca="false">AQ92*$D$17</f>
        <v>0</v>
      </c>
      <c r="AR93" s="44" t="n">
        <f aca="false">AR92*$D$17</f>
        <v>0</v>
      </c>
      <c r="AS93" s="44" t="n">
        <f aca="false">AS92*$D$17</f>
        <v>0</v>
      </c>
      <c r="AT93" s="44" t="n">
        <f aca="false">AT92*$D$17</f>
        <v>0</v>
      </c>
      <c r="AU93" s="44" t="n">
        <f aca="false">AU92*$D$17</f>
        <v>0</v>
      </c>
      <c r="AV93" s="44" t="n">
        <f aca="false">AV92*$D$17</f>
        <v>0</v>
      </c>
      <c r="AW93" s="44" t="n">
        <f aca="false">AW92*$D$17</f>
        <v>0</v>
      </c>
      <c r="AX93" s="44" t="n">
        <f aca="false">AX92*$D$17</f>
        <v>0</v>
      </c>
      <c r="AY93" s="44" t="n">
        <f aca="false">AY92*$D$17</f>
        <v>0</v>
      </c>
      <c r="AZ93" s="44" t="n">
        <f aca="false">AZ92*$D$17</f>
        <v>0</v>
      </c>
      <c r="BA93" s="44" t="n">
        <f aca="false">BA92*$D$17</f>
        <v>0</v>
      </c>
      <c r="BB93" s="44" t="n">
        <f aca="false">BB92*$D$17</f>
        <v>0</v>
      </c>
      <c r="BC93" s="44" t="n">
        <f aca="false">BC92*$D$17</f>
        <v>0</v>
      </c>
      <c r="BD93" s="44" t="n">
        <f aca="false">BD92*$D$17</f>
        <v>0</v>
      </c>
      <c r="BE93" s="44" t="n">
        <f aca="false">BE92*$D$17</f>
        <v>0</v>
      </c>
      <c r="BF93" s="44" t="n">
        <f aca="false">BF92*$D$17</f>
        <v>0</v>
      </c>
      <c r="BG93" s="44" t="n">
        <f aca="false">BG92*$D$17</f>
        <v>0</v>
      </c>
      <c r="BH93" s="44" t="n">
        <f aca="false">BH92*$D$17</f>
        <v>0</v>
      </c>
      <c r="BI93" s="44" t="n">
        <f aca="false">BI92*$D$17</f>
        <v>0</v>
      </c>
      <c r="BJ93" s="44" t="n">
        <f aca="false">BJ92*$D$17</f>
        <v>0</v>
      </c>
      <c r="BK93" s="44" t="n">
        <f aca="false">BK92*$D$17</f>
        <v>0</v>
      </c>
      <c r="BL93" s="44" t="n">
        <f aca="false">BL92*$D$17</f>
        <v>0</v>
      </c>
      <c r="BM93" s="44" t="n">
        <f aca="false">BM92*$D$17</f>
        <v>0</v>
      </c>
      <c r="BN93" s="44" t="n">
        <f aca="false">BN92*$D$17</f>
        <v>0</v>
      </c>
      <c r="BO93" s="44" t="n">
        <f aca="false">BO92*$D$17</f>
        <v>0</v>
      </c>
      <c r="BP93" s="44" t="n">
        <f aca="false">BP92*$D$17</f>
        <v>0</v>
      </c>
      <c r="BQ93" s="44" t="n">
        <f aca="false">BQ92*$D$17</f>
        <v>0</v>
      </c>
      <c r="BR93" s="44" t="n">
        <f aca="false">BR92*$D$17</f>
        <v>0</v>
      </c>
      <c r="BS93" s="44" t="n">
        <f aca="false">BS92*$D$17</f>
        <v>0</v>
      </c>
      <c r="BT93" s="44" t="n">
        <f aca="false">BT92*$D$17</f>
        <v>0</v>
      </c>
      <c r="BU93" s="44" t="n">
        <f aca="false">BU92*$D$17</f>
        <v>0</v>
      </c>
      <c r="BV93" s="44" t="n">
        <f aca="false">BV92*$D$17</f>
        <v>0</v>
      </c>
      <c r="BW93" s="44" t="n">
        <f aca="false">BW92*$D$17</f>
        <v>0</v>
      </c>
      <c r="BX93" s="44" t="n">
        <f aca="false">BX92*$D$17</f>
        <v>0</v>
      </c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</row>
    <row r="95" customFormat="false" ht="15" hidden="false" customHeight="false" outlineLevel="0" collapsed="false">
      <c r="A95" s="1"/>
      <c r="B95" s="13" t="s">
        <v>359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</row>
    <row r="96" customFormat="false" ht="15" hidden="false" customHeight="false" outlineLevel="0" collapsed="false">
      <c r="A96" s="1"/>
      <c r="B96" s="8" t="s">
        <v>360</v>
      </c>
      <c r="C96" s="8" t="s">
        <v>126</v>
      </c>
      <c r="D96" s="44" t="n">
        <f aca="false">SUM(G96:BX96)</f>
        <v>-179.82844729768</v>
      </c>
      <c r="E96" s="1"/>
      <c r="F96" s="1"/>
      <c r="G96" s="48" t="n">
        <f aca="false">G80-G48-G81</f>
        <v>0</v>
      </c>
      <c r="H96" s="48" t="n">
        <f aca="false">H80-H48-H81</f>
        <v>0</v>
      </c>
      <c r="I96" s="48" t="n">
        <f aca="false">I80-I48-I81</f>
        <v>-119.52</v>
      </c>
      <c r="J96" s="48" t="n">
        <f aca="false">J80-J48-J81</f>
        <v>-179.28</v>
      </c>
      <c r="K96" s="48" t="n">
        <f aca="false">K80-K48-K81</f>
        <v>11.202527216948</v>
      </c>
      <c r="L96" s="48" t="n">
        <f aca="false">L80-L48-L81</f>
        <v>9.95669741021468</v>
      </c>
      <c r="M96" s="48" t="n">
        <f aca="false">M80-M48-M81</f>
        <v>8.8435786963913</v>
      </c>
      <c r="N96" s="48" t="n">
        <f aca="false">N80-N48-N81</f>
        <v>7.8610085558177</v>
      </c>
      <c r="O96" s="48" t="n">
        <f aca="false">O80-O48-O81</f>
        <v>6.92435148188244</v>
      </c>
      <c r="P96" s="48" t="n">
        <f aca="false">P80-P48-P81</f>
        <v>6.44058364183067</v>
      </c>
      <c r="Q96" s="48" t="n">
        <f aca="false">Q80-Q48-Q81</f>
        <v>5.97582374275148</v>
      </c>
      <c r="R96" s="48" t="n">
        <f aca="false">R80-R48-R81</f>
        <v>5.52820705916249</v>
      </c>
      <c r="S96" s="48" t="n">
        <f aca="false">S80-S48-S81</f>
        <v>5.09453383038347</v>
      </c>
      <c r="T96" s="48" t="n">
        <f aca="false">T80-T48-T81</f>
        <v>4.67563877873673</v>
      </c>
      <c r="U96" s="48" t="n">
        <f aca="false">U80-U48-U81</f>
        <v>4.57306631822742</v>
      </c>
      <c r="V96" s="48" t="n">
        <f aca="false">V80-V48-V81</f>
        <v>4.47466888492322</v>
      </c>
      <c r="W96" s="48" t="n">
        <f aca="false">W80-W48-W81</f>
        <v>4.37703940467967</v>
      </c>
      <c r="X96" s="48" t="n">
        <f aca="false">X80-X48-X81</f>
        <v>4.28445962895268</v>
      </c>
      <c r="Y96" s="48" t="n">
        <f aca="false">Y80-Y48-Y81</f>
        <v>4.18757262893177</v>
      </c>
      <c r="Z96" s="48" t="n">
        <f aca="false">Z80-Z48-Z81</f>
        <v>4.0965806028739</v>
      </c>
      <c r="AA96" s="48" t="n">
        <f aca="false">AA80-AA48-AA81</f>
        <v>4.00519744294436</v>
      </c>
      <c r="AB96" s="48" t="n">
        <f aca="false">AB80-AB48-AB81</f>
        <v>3.90838913655566</v>
      </c>
      <c r="AC96" s="48" t="n">
        <f aca="false">AC80-AC48-AC81</f>
        <v>3.81614909720906</v>
      </c>
      <c r="AD96" s="48" t="n">
        <f aca="false">AD80-AD48-AD81</f>
        <v>3.72194205578255</v>
      </c>
      <c r="AE96" s="48" t="n">
        <f aca="false">AE80-AE48-AE81</f>
        <v>3.72918376281474</v>
      </c>
      <c r="AF96" s="48" t="n">
        <f aca="false">AF80-AF48-AF81</f>
        <v>3.73590605632346</v>
      </c>
      <c r="AG96" s="48" t="n">
        <f aca="false">AG80-AG48-AG81</f>
        <v>3.73929524027708</v>
      </c>
      <c r="AH96" s="48" t="n">
        <f aca="false">AH80-AH48-AH81</f>
        <v>3.74528375229711</v>
      </c>
      <c r="AI96" s="48" t="n">
        <f aca="false">AI80-AI48-AI81</f>
        <v>-9.9261317245918</v>
      </c>
      <c r="AJ96" s="48" t="n">
        <f aca="false">AJ80-AJ48-AJ81</f>
        <v>0</v>
      </c>
      <c r="AK96" s="48" t="n">
        <f aca="false">AK80-AK48-AK81</f>
        <v>0</v>
      </c>
      <c r="AL96" s="48" t="n">
        <f aca="false">AL80-AL48-AL81</f>
        <v>0</v>
      </c>
      <c r="AM96" s="48" t="n">
        <f aca="false">AM80-AM48-AM81</f>
        <v>0</v>
      </c>
      <c r="AN96" s="48" t="n">
        <f aca="false">AN80-AN48-AN81</f>
        <v>0</v>
      </c>
      <c r="AO96" s="48" t="n">
        <f aca="false">AO80-AO48-AO81</f>
        <v>0</v>
      </c>
      <c r="AP96" s="48" t="n">
        <f aca="false">AP80-AP48-AP81</f>
        <v>0</v>
      </c>
      <c r="AQ96" s="48" t="n">
        <f aca="false">AQ80-AQ48-AQ81</f>
        <v>0</v>
      </c>
      <c r="AR96" s="48" t="n">
        <f aca="false">AR80-AR48-AR81</f>
        <v>0</v>
      </c>
      <c r="AS96" s="48" t="n">
        <f aca="false">AS80-AS48-AS81</f>
        <v>0</v>
      </c>
      <c r="AT96" s="48" t="n">
        <f aca="false">AT80-AT48-AT81</f>
        <v>0</v>
      </c>
      <c r="AU96" s="48" t="n">
        <f aca="false">AU80-AU48-AU81</f>
        <v>0</v>
      </c>
      <c r="AV96" s="48" t="n">
        <f aca="false">AV80-AV48-AV81</f>
        <v>0</v>
      </c>
      <c r="AW96" s="48" t="n">
        <f aca="false">AW80-AW48-AW81</f>
        <v>0</v>
      </c>
      <c r="AX96" s="48" t="n">
        <f aca="false">AX80-AX48-AX81</f>
        <v>0</v>
      </c>
      <c r="AY96" s="48" t="n">
        <f aca="false">AY80-AY48-AY81</f>
        <v>0</v>
      </c>
      <c r="AZ96" s="48" t="n">
        <f aca="false">AZ80-AZ48-AZ81</f>
        <v>0</v>
      </c>
      <c r="BA96" s="48" t="n">
        <f aca="false">BA80-BA48-BA81</f>
        <v>0</v>
      </c>
      <c r="BB96" s="48" t="n">
        <f aca="false">BB80-BB48-BB81</f>
        <v>0</v>
      </c>
      <c r="BC96" s="48" t="n">
        <f aca="false">BC80-BC48-BC81</f>
        <v>0</v>
      </c>
      <c r="BD96" s="48" t="n">
        <f aca="false">BD80-BD48-BD81</f>
        <v>0</v>
      </c>
      <c r="BE96" s="48" t="n">
        <f aca="false">BE80-BE48-BE81</f>
        <v>0</v>
      </c>
      <c r="BF96" s="48" t="n">
        <f aca="false">BF80-BF48-BF81</f>
        <v>0</v>
      </c>
      <c r="BG96" s="48" t="n">
        <f aca="false">BG80-BG48-BG81</f>
        <v>0</v>
      </c>
      <c r="BH96" s="48" t="n">
        <f aca="false">BH80-BH48-BH81</f>
        <v>0</v>
      </c>
      <c r="BI96" s="48" t="n">
        <f aca="false">BI80-BI48-BI81</f>
        <v>0</v>
      </c>
      <c r="BJ96" s="48" t="n">
        <f aca="false">BJ80-BJ48-BJ81</f>
        <v>0</v>
      </c>
      <c r="BK96" s="48" t="n">
        <f aca="false">BK80-BK48-BK81</f>
        <v>0</v>
      </c>
      <c r="BL96" s="48" t="n">
        <f aca="false">BL80-BL48-BL81</f>
        <v>0</v>
      </c>
      <c r="BM96" s="48" t="n">
        <f aca="false">BM80-BM48-BM81</f>
        <v>0</v>
      </c>
      <c r="BN96" s="48" t="n">
        <f aca="false">BN80-BN48-BN81</f>
        <v>0</v>
      </c>
      <c r="BO96" s="48" t="n">
        <f aca="false">BO80-BO48-BO81</f>
        <v>0</v>
      </c>
      <c r="BP96" s="48" t="n">
        <f aca="false">BP80-BP48-BP81</f>
        <v>0</v>
      </c>
      <c r="BQ96" s="48" t="n">
        <f aca="false">BQ80-BQ48-BQ81</f>
        <v>0</v>
      </c>
      <c r="BR96" s="48" t="n">
        <f aca="false">BR80-BR48-BR81</f>
        <v>0</v>
      </c>
      <c r="BS96" s="48" t="n">
        <f aca="false">BS80-BS48-BS81</f>
        <v>0</v>
      </c>
      <c r="BT96" s="48" t="n">
        <f aca="false">BT80-BT48-BT81</f>
        <v>0</v>
      </c>
      <c r="BU96" s="48" t="n">
        <f aca="false">BU80-BU48-BU81</f>
        <v>0</v>
      </c>
      <c r="BV96" s="48" t="n">
        <f aca="false">BV80-BV48-BV81</f>
        <v>0</v>
      </c>
      <c r="BW96" s="48" t="n">
        <f aca="false">BW80-BW48-BW81</f>
        <v>0</v>
      </c>
      <c r="BX96" s="48" t="n">
        <f aca="false">BX80-BX48-BX81</f>
        <v>0</v>
      </c>
    </row>
    <row r="97" customFormat="false" ht="15" hidden="false" customHeight="false" outlineLevel="0" collapsed="false">
      <c r="A97" s="1"/>
      <c r="B97" s="4" t="s">
        <v>361</v>
      </c>
      <c r="C97" s="8" t="s">
        <v>126</v>
      </c>
      <c r="D97" s="44" t="n">
        <f aca="false">SUM(G97:BX97)</f>
        <v>-181.544520376653</v>
      </c>
      <c r="E97" s="1"/>
      <c r="F97" s="1"/>
      <c r="G97" s="44" t="n">
        <f aca="false">G96-G93</f>
        <v>0</v>
      </c>
      <c r="H97" s="44" t="n">
        <f aca="false">H96-H93</f>
        <v>0</v>
      </c>
      <c r="I97" s="44" t="n">
        <f aca="false">I96-I93</f>
        <v>-119.52</v>
      </c>
      <c r="J97" s="44" t="n">
        <f aca="false">J96-J93</f>
        <v>-179.28</v>
      </c>
      <c r="K97" s="44" t="n">
        <f aca="false">K96-K93</f>
        <v>11.202527216948</v>
      </c>
      <c r="L97" s="44" t="n">
        <f aca="false">L96-L93</f>
        <v>9.95669741021468</v>
      </c>
      <c r="M97" s="44" t="n">
        <f aca="false">M96-M93</f>
        <v>8.8435786963913</v>
      </c>
      <c r="N97" s="44" t="n">
        <f aca="false">N96-N93</f>
        <v>7.8610085558177</v>
      </c>
      <c r="O97" s="44" t="n">
        <f aca="false">O96-O93</f>
        <v>6.92435148188244</v>
      </c>
      <c r="P97" s="44" t="n">
        <f aca="false">P96-P93</f>
        <v>6.44058364183067</v>
      </c>
      <c r="Q97" s="44" t="n">
        <f aca="false">Q96-Q93</f>
        <v>5.97582374275148</v>
      </c>
      <c r="R97" s="44" t="n">
        <f aca="false">R96-R93</f>
        <v>5.52820705916249</v>
      </c>
      <c r="S97" s="44" t="n">
        <f aca="false">S96-S93</f>
        <v>5.09453383038347</v>
      </c>
      <c r="T97" s="44" t="n">
        <f aca="false">T96-T93</f>
        <v>4.67563877873673</v>
      </c>
      <c r="U97" s="44" t="n">
        <f aca="false">U96-U93</f>
        <v>4.57306631822742</v>
      </c>
      <c r="V97" s="44" t="n">
        <f aca="false">V96-V93</f>
        <v>4.47466888492322</v>
      </c>
      <c r="W97" s="44" t="n">
        <f aca="false">W96-W93</f>
        <v>4.37703940467967</v>
      </c>
      <c r="X97" s="44" t="n">
        <f aca="false">X96-X93</f>
        <v>4.28445962895268</v>
      </c>
      <c r="Y97" s="44" t="n">
        <f aca="false">Y96-Y93</f>
        <v>4.18757262893177</v>
      </c>
      <c r="Z97" s="44" t="n">
        <f aca="false">Z96-Z93</f>
        <v>3.90610744560088</v>
      </c>
      <c r="AA97" s="44" t="n">
        <f aca="false">AA96-AA93</f>
        <v>3.82340568586464</v>
      </c>
      <c r="AB97" s="44" t="n">
        <f aca="false">AB96-AB93</f>
        <v>3.73579416858287</v>
      </c>
      <c r="AC97" s="44" t="n">
        <f aca="false">AC96-AC93</f>
        <v>3.6523169329742</v>
      </c>
      <c r="AD97" s="44" t="n">
        <f aca="false">AD96-AD93</f>
        <v>3.56705956048321</v>
      </c>
      <c r="AE97" s="44" t="n">
        <f aca="false">AE96-AE93</f>
        <v>3.57361330534734</v>
      </c>
      <c r="AF97" s="44" t="n">
        <f aca="false">AF96-AF93</f>
        <v>3.57969698097273</v>
      </c>
      <c r="AG97" s="44" t="n">
        <f aca="false">AG96-AG93</f>
        <v>3.48341319245076</v>
      </c>
      <c r="AH97" s="44" t="n">
        <f aca="false">AH96-AH93</f>
        <v>3.46044679582889</v>
      </c>
      <c r="AI97" s="44" t="n">
        <f aca="false">AI96-AI93</f>
        <v>-9.9261317245918</v>
      </c>
      <c r="AJ97" s="44" t="n">
        <f aca="false">AJ96-AJ93</f>
        <v>0</v>
      </c>
      <c r="AK97" s="44" t="n">
        <f aca="false">AK96-AK93</f>
        <v>0</v>
      </c>
      <c r="AL97" s="44" t="n">
        <f aca="false">AL96-AL93</f>
        <v>0</v>
      </c>
      <c r="AM97" s="44" t="n">
        <f aca="false">AM96-AM93</f>
        <v>0</v>
      </c>
      <c r="AN97" s="44" t="n">
        <f aca="false">AN96-AN93</f>
        <v>0</v>
      </c>
      <c r="AO97" s="44" t="n">
        <f aca="false">AO96-AO93</f>
        <v>0</v>
      </c>
      <c r="AP97" s="44" t="n">
        <f aca="false">AP96-AP93</f>
        <v>0</v>
      </c>
      <c r="AQ97" s="44" t="n">
        <f aca="false">AQ96-AQ93</f>
        <v>0</v>
      </c>
      <c r="AR97" s="44" t="n">
        <f aca="false">AR96-AR93</f>
        <v>0</v>
      </c>
      <c r="AS97" s="44" t="n">
        <f aca="false">AS96-AS93</f>
        <v>0</v>
      </c>
      <c r="AT97" s="44" t="n">
        <f aca="false">AT96-AT93</f>
        <v>0</v>
      </c>
      <c r="AU97" s="44" t="n">
        <f aca="false">AU96-AU93</f>
        <v>0</v>
      </c>
      <c r="AV97" s="44" t="n">
        <f aca="false">AV96-AV93</f>
        <v>0</v>
      </c>
      <c r="AW97" s="44" t="n">
        <f aca="false">AW96-AW93</f>
        <v>0</v>
      </c>
      <c r="AX97" s="44" t="n">
        <f aca="false">AX96-AX93</f>
        <v>0</v>
      </c>
      <c r="AY97" s="44" t="n">
        <f aca="false">AY96-AY93</f>
        <v>0</v>
      </c>
      <c r="AZ97" s="44" t="n">
        <f aca="false">AZ96-AZ93</f>
        <v>0</v>
      </c>
      <c r="BA97" s="44" t="n">
        <f aca="false">BA96-BA93</f>
        <v>0</v>
      </c>
      <c r="BB97" s="44" t="n">
        <f aca="false">BB96-BB93</f>
        <v>0</v>
      </c>
      <c r="BC97" s="44" t="n">
        <f aca="false">BC96-BC93</f>
        <v>0</v>
      </c>
      <c r="BD97" s="44" t="n">
        <f aca="false">BD96-BD93</f>
        <v>0</v>
      </c>
      <c r="BE97" s="44" t="n">
        <f aca="false">BE96-BE93</f>
        <v>0</v>
      </c>
      <c r="BF97" s="44" t="n">
        <f aca="false">BF96-BF93</f>
        <v>0</v>
      </c>
      <c r="BG97" s="44" t="n">
        <f aca="false">BG96-BG93</f>
        <v>0</v>
      </c>
      <c r="BH97" s="44" t="n">
        <f aca="false">BH96-BH93</f>
        <v>0</v>
      </c>
      <c r="BI97" s="44" t="n">
        <f aca="false">BI96-BI93</f>
        <v>0</v>
      </c>
      <c r="BJ97" s="44" t="n">
        <f aca="false">BJ96-BJ93</f>
        <v>0</v>
      </c>
      <c r="BK97" s="44" t="n">
        <f aca="false">BK96-BK93</f>
        <v>0</v>
      </c>
      <c r="BL97" s="44" t="n">
        <f aca="false">BL96-BL93</f>
        <v>0</v>
      </c>
      <c r="BM97" s="44" t="n">
        <f aca="false">BM96-BM93</f>
        <v>0</v>
      </c>
      <c r="BN97" s="44" t="n">
        <f aca="false">BN96-BN93</f>
        <v>0</v>
      </c>
      <c r="BO97" s="44" t="n">
        <f aca="false">BO96-BO93</f>
        <v>0</v>
      </c>
      <c r="BP97" s="44" t="n">
        <f aca="false">BP96-BP93</f>
        <v>0</v>
      </c>
      <c r="BQ97" s="44" t="n">
        <f aca="false">BQ96-BQ93</f>
        <v>0</v>
      </c>
      <c r="BR97" s="44" t="n">
        <f aca="false">BR96-BR93</f>
        <v>0</v>
      </c>
      <c r="BS97" s="44" t="n">
        <f aca="false">BS96-BS93</f>
        <v>0</v>
      </c>
      <c r="BT97" s="44" t="n">
        <f aca="false">BT96-BT93</f>
        <v>0</v>
      </c>
      <c r="BU97" s="44" t="n">
        <f aca="false">BU96-BU93</f>
        <v>0</v>
      </c>
      <c r="BV97" s="44" t="n">
        <f aca="false">BV96-BV93</f>
        <v>0</v>
      </c>
      <c r="BW97" s="44" t="n">
        <f aca="false">BW96-BW93</f>
        <v>0</v>
      </c>
      <c r="BX97" s="44" t="n">
        <f aca="false">BX96-BX93</f>
        <v>0</v>
      </c>
    </row>
    <row r="98" customFormat="false" ht="15" hidden="false" customHeight="false" outlineLevel="0" collapsed="false">
      <c r="A98" s="1"/>
      <c r="B98" s="8" t="s">
        <v>362</v>
      </c>
      <c r="C98" s="8" t="s">
        <v>126</v>
      </c>
      <c r="D98" s="1"/>
      <c r="E98" s="1"/>
      <c r="F98" s="1"/>
      <c r="G98" s="48" t="n">
        <f aca="false">G97</f>
        <v>0</v>
      </c>
      <c r="H98" s="48" t="n">
        <f aca="false">G98+H97</f>
        <v>0</v>
      </c>
      <c r="I98" s="48" t="n">
        <f aca="false">H98+I97</f>
        <v>-119.52</v>
      </c>
      <c r="J98" s="48" t="n">
        <f aca="false">I98+J97</f>
        <v>-298.8</v>
      </c>
      <c r="K98" s="48" t="n">
        <f aca="false">J98+K97</f>
        <v>-287.597472783052</v>
      </c>
      <c r="L98" s="48" t="n">
        <f aca="false">K98+L97</f>
        <v>-277.640775372837</v>
      </c>
      <c r="M98" s="48" t="n">
        <f aca="false">L98+M97</f>
        <v>-268.797196676446</v>
      </c>
      <c r="N98" s="48" t="n">
        <f aca="false">M98+N97</f>
        <v>-260.936188120628</v>
      </c>
      <c r="O98" s="48" t="n">
        <f aca="false">N98+O97</f>
        <v>-254.011836638746</v>
      </c>
      <c r="P98" s="48" t="n">
        <f aca="false">O98+P97</f>
        <v>-247.571252996915</v>
      </c>
      <c r="Q98" s="48" t="n">
        <f aca="false">P98+Q97</f>
        <v>-241.595429254164</v>
      </c>
      <c r="R98" s="48" t="n">
        <f aca="false">Q98+R97</f>
        <v>-236.067222195001</v>
      </c>
      <c r="S98" s="48" t="n">
        <f aca="false">R98+S97</f>
        <v>-230.972688364618</v>
      </c>
      <c r="T98" s="48" t="n">
        <f aca="false">S98+T97</f>
        <v>-226.297049585881</v>
      </c>
      <c r="U98" s="48" t="n">
        <f aca="false">T98+U97</f>
        <v>-221.723983267654</v>
      </c>
      <c r="V98" s="48" t="n">
        <f aca="false">U98+V97</f>
        <v>-217.24931438273</v>
      </c>
      <c r="W98" s="48" t="n">
        <f aca="false">V98+W97</f>
        <v>-212.872274978051</v>
      </c>
      <c r="X98" s="48" t="n">
        <f aca="false">W98+X97</f>
        <v>-208.587815349098</v>
      </c>
      <c r="Y98" s="48" t="n">
        <f aca="false">X98+Y97</f>
        <v>-204.400242720166</v>
      </c>
      <c r="Z98" s="48" t="n">
        <f aca="false">Y98+Z97</f>
        <v>-200.494135274565</v>
      </c>
      <c r="AA98" s="48" t="n">
        <f aca="false">Z98+AA97</f>
        <v>-196.670729588701</v>
      </c>
      <c r="AB98" s="48" t="n">
        <f aca="false">AA98+AB97</f>
        <v>-192.934935420118</v>
      </c>
      <c r="AC98" s="48" t="n">
        <f aca="false">AB98+AC97</f>
        <v>-189.282618487144</v>
      </c>
      <c r="AD98" s="48" t="n">
        <f aca="false">AC98+AD97</f>
        <v>-185.71555892666</v>
      </c>
      <c r="AE98" s="48" t="n">
        <f aca="false">AD98+AE97</f>
        <v>-182.141945621313</v>
      </c>
      <c r="AF98" s="48" t="n">
        <f aca="false">AE98+AF97</f>
        <v>-178.56224864034</v>
      </c>
      <c r="AG98" s="48" t="n">
        <f aca="false">AF98+AG97</f>
        <v>-175.07883544789</v>
      </c>
      <c r="AH98" s="48" t="n">
        <f aca="false">AG98+AH97</f>
        <v>-171.618388652061</v>
      </c>
      <c r="AI98" s="48" t="n">
        <f aca="false">AH98+AI97</f>
        <v>-181.544520376653</v>
      </c>
      <c r="AJ98" s="48" t="n">
        <f aca="false">AI98+AJ97</f>
        <v>-181.544520376653</v>
      </c>
      <c r="AK98" s="48" t="n">
        <f aca="false">AJ98+AK97</f>
        <v>-181.544520376653</v>
      </c>
      <c r="AL98" s="48" t="n">
        <f aca="false">AK98+AL97</f>
        <v>-181.544520376653</v>
      </c>
      <c r="AM98" s="48" t="n">
        <f aca="false">AL98+AM97</f>
        <v>-181.544520376653</v>
      </c>
      <c r="AN98" s="48" t="n">
        <f aca="false">AM98+AN97</f>
        <v>-181.544520376653</v>
      </c>
      <c r="AO98" s="48" t="n">
        <f aca="false">AN98+AO97</f>
        <v>-181.544520376653</v>
      </c>
      <c r="AP98" s="48" t="n">
        <f aca="false">AO98+AP97</f>
        <v>-181.544520376653</v>
      </c>
      <c r="AQ98" s="48" t="n">
        <f aca="false">AP98+AQ97</f>
        <v>-181.544520376653</v>
      </c>
      <c r="AR98" s="48" t="n">
        <f aca="false">AQ98+AR97</f>
        <v>-181.544520376653</v>
      </c>
      <c r="AS98" s="48" t="n">
        <f aca="false">AR98+AS97</f>
        <v>-181.544520376653</v>
      </c>
      <c r="AT98" s="48" t="n">
        <f aca="false">AS98+AT97</f>
        <v>-181.544520376653</v>
      </c>
      <c r="AU98" s="48" t="n">
        <f aca="false">AT98+AU97</f>
        <v>-181.544520376653</v>
      </c>
      <c r="AV98" s="48" t="n">
        <f aca="false">AU98+AV97</f>
        <v>-181.544520376653</v>
      </c>
      <c r="AW98" s="48" t="n">
        <f aca="false">AV98+AW97</f>
        <v>-181.544520376653</v>
      </c>
      <c r="AX98" s="48" t="n">
        <f aca="false">AW98+AX97</f>
        <v>-181.544520376653</v>
      </c>
      <c r="AY98" s="48" t="n">
        <f aca="false">AX98+AY97</f>
        <v>-181.544520376653</v>
      </c>
      <c r="AZ98" s="48" t="n">
        <f aca="false">AY98+AZ97</f>
        <v>-181.544520376653</v>
      </c>
      <c r="BA98" s="48" t="n">
        <f aca="false">AZ98+BA97</f>
        <v>-181.544520376653</v>
      </c>
      <c r="BB98" s="48" t="n">
        <f aca="false">BA98+BB97</f>
        <v>-181.544520376653</v>
      </c>
      <c r="BC98" s="48" t="n">
        <f aca="false">BB98+BC97</f>
        <v>-181.544520376653</v>
      </c>
      <c r="BD98" s="48" t="n">
        <f aca="false">BC98+BD97</f>
        <v>-181.544520376653</v>
      </c>
      <c r="BE98" s="48" t="n">
        <f aca="false">BD98+BE97</f>
        <v>-181.544520376653</v>
      </c>
      <c r="BF98" s="48" t="n">
        <f aca="false">BE98+BF97</f>
        <v>-181.544520376653</v>
      </c>
      <c r="BG98" s="48" t="n">
        <f aca="false">BF98+BG97</f>
        <v>-181.544520376653</v>
      </c>
      <c r="BH98" s="48" t="n">
        <f aca="false">BG98+BH97</f>
        <v>-181.544520376653</v>
      </c>
      <c r="BI98" s="48" t="n">
        <f aca="false">BH98+BI97</f>
        <v>-181.544520376653</v>
      </c>
      <c r="BJ98" s="48" t="n">
        <f aca="false">BI98+BJ97</f>
        <v>-181.544520376653</v>
      </c>
      <c r="BK98" s="48" t="n">
        <f aca="false">BJ98+BK97</f>
        <v>-181.544520376653</v>
      </c>
      <c r="BL98" s="48" t="n">
        <f aca="false">BK98+BL97</f>
        <v>-181.544520376653</v>
      </c>
      <c r="BM98" s="48" t="n">
        <f aca="false">BL98+BM97</f>
        <v>-181.544520376653</v>
      </c>
      <c r="BN98" s="48" t="n">
        <f aca="false">BM98+BN97</f>
        <v>-181.544520376653</v>
      </c>
      <c r="BO98" s="48" t="n">
        <f aca="false">BN98+BO97</f>
        <v>-181.544520376653</v>
      </c>
      <c r="BP98" s="48" t="n">
        <f aca="false">BO98+BP97</f>
        <v>-181.544520376653</v>
      </c>
      <c r="BQ98" s="48" t="n">
        <f aca="false">BP98+BQ97</f>
        <v>-181.544520376653</v>
      </c>
      <c r="BR98" s="48" t="n">
        <f aca="false">BQ98+BR97</f>
        <v>-181.544520376653</v>
      </c>
      <c r="BS98" s="48" t="n">
        <f aca="false">BR98+BS97</f>
        <v>-181.544520376653</v>
      </c>
      <c r="BT98" s="48" t="n">
        <f aca="false">BS98+BT97</f>
        <v>-181.544520376653</v>
      </c>
      <c r="BU98" s="48" t="n">
        <f aca="false">BT98+BU97</f>
        <v>-181.544520376653</v>
      </c>
      <c r="BV98" s="48" t="n">
        <f aca="false">BU98+BV97</f>
        <v>-181.544520376653</v>
      </c>
      <c r="BW98" s="48" t="n">
        <f aca="false">BV98+BW97</f>
        <v>-181.544520376653</v>
      </c>
      <c r="BX98" s="48" t="n">
        <f aca="false">BW98+BX97</f>
        <v>-181.544520376653</v>
      </c>
    </row>
    <row r="99" customFormat="false" ht="15" hidden="false" customHeight="false" outlineLevel="0" collapsed="false">
      <c r="A99" s="1"/>
      <c r="B99" s="8" t="s">
        <v>363</v>
      </c>
      <c r="C99" s="8" t="s">
        <v>126</v>
      </c>
      <c r="D99" s="44" t="n">
        <f aca="false">SUM(G99:BX99)</f>
        <v>-221.947462510669</v>
      </c>
      <c r="E99" s="1"/>
      <c r="F99" s="1"/>
      <c r="G99" s="48" t="n">
        <f aca="false">G97*G41</f>
        <v>0</v>
      </c>
      <c r="H99" s="48" t="n">
        <f aca="false">H97*H41</f>
        <v>0</v>
      </c>
      <c r="I99" s="48" t="n">
        <f aca="false">I97*I41</f>
        <v>-119.52</v>
      </c>
      <c r="J99" s="48" t="n">
        <f aca="false">J97*J41</f>
        <v>-167.551401869159</v>
      </c>
      <c r="K99" s="48" t="n">
        <f aca="false">K97*K41</f>
        <v>9.78472112581711</v>
      </c>
      <c r="L99" s="48" t="n">
        <f aca="false">L97*L41</f>
        <v>8.12763095680289</v>
      </c>
      <c r="M99" s="48" t="n">
        <f aca="false">M97*M41</f>
        <v>6.74672384484241</v>
      </c>
      <c r="N99" s="48" t="n">
        <f aca="false">N97*N41</f>
        <v>5.60479045710089</v>
      </c>
      <c r="O99" s="48" t="n">
        <f aca="false">O97*O41</f>
        <v>4.61398776492471</v>
      </c>
      <c r="P99" s="48" t="n">
        <f aca="false">P97*P41</f>
        <v>4.01087180053617</v>
      </c>
      <c r="Q99" s="48" t="n">
        <f aca="false">Q97*Q41</f>
        <v>3.47798382555728</v>
      </c>
      <c r="R99" s="48" t="n">
        <f aca="false">R97*R41</f>
        <v>3.00697835547036</v>
      </c>
      <c r="S99" s="48" t="n">
        <f aca="false">S97*S41</f>
        <v>2.58980266643181</v>
      </c>
      <c r="T99" s="48" t="n">
        <f aca="false">T97*T41</f>
        <v>2.22136230228827</v>
      </c>
      <c r="U99" s="48" t="n">
        <f aca="false">U97*U41</f>
        <v>2.03049613569397</v>
      </c>
      <c r="V99" s="48" t="n">
        <f aca="false">V97*V41</f>
        <v>1.85682850331618</v>
      </c>
      <c r="W99" s="48" t="n">
        <f aca="false">W97*W41</f>
        <v>1.69749134574698</v>
      </c>
      <c r="X99" s="48" t="n">
        <f aca="false">X97*X41</f>
        <v>1.55288533883228</v>
      </c>
      <c r="Y99" s="48" t="n">
        <f aca="false">Y97*Y41</f>
        <v>1.41847573020524</v>
      </c>
      <c r="Z99" s="48" t="n">
        <f aca="false">Z97*Z41</f>
        <v>1.23657358367842</v>
      </c>
      <c r="AA99" s="48" t="n">
        <f aca="false">AA97*AA41</f>
        <v>1.13120777990618</v>
      </c>
      <c r="AB99" s="48" t="n">
        <f aca="false">AB97*AB41</f>
        <v>1.03297821802646</v>
      </c>
      <c r="AC99" s="48" t="n">
        <f aca="false">AC97*AC41</f>
        <v>0.943828099779398</v>
      </c>
      <c r="AD99" s="48" t="n">
        <f aca="false">AD97*AD41</f>
        <v>0.861491565044622</v>
      </c>
      <c r="AE99" s="48" t="n">
        <f aca="false">AE97*AE41</f>
        <v>0.806611570277081</v>
      </c>
      <c r="AF99" s="48" t="n">
        <f aca="false">AF97*AF41</f>
        <v>0.755125921456462</v>
      </c>
      <c r="AG99" s="48" t="n">
        <f aca="false">AG97*AG41</f>
        <v>0.686743136776712</v>
      </c>
      <c r="AH99" s="48" t="n">
        <f aca="false">AH97*AH41</f>
        <v>0.637584475990941</v>
      </c>
      <c r="AI99" s="48" t="n">
        <f aca="false">AI97*AI41</f>
        <v>-1.70923514601257</v>
      </c>
      <c r="AJ99" s="48" t="n">
        <f aca="false">AJ97*AJ41</f>
        <v>0</v>
      </c>
      <c r="AK99" s="48" t="n">
        <f aca="false">AK97*AK41</f>
        <v>0</v>
      </c>
      <c r="AL99" s="48" t="n">
        <f aca="false">AL97*AL41</f>
        <v>0</v>
      </c>
      <c r="AM99" s="48" t="n">
        <f aca="false">AM97*AM41</f>
        <v>0</v>
      </c>
      <c r="AN99" s="48" t="n">
        <f aca="false">AN97*AN41</f>
        <v>0</v>
      </c>
      <c r="AO99" s="48" t="n">
        <f aca="false">AO97*AO41</f>
        <v>0</v>
      </c>
      <c r="AP99" s="48" t="n">
        <f aca="false">AP97*AP41</f>
        <v>0</v>
      </c>
      <c r="AQ99" s="48" t="n">
        <f aca="false">AQ97*AQ41</f>
        <v>0</v>
      </c>
      <c r="AR99" s="48" t="n">
        <f aca="false">AR97*AR41</f>
        <v>0</v>
      </c>
      <c r="AS99" s="48" t="n">
        <f aca="false">AS97*AS41</f>
        <v>0</v>
      </c>
      <c r="AT99" s="48" t="n">
        <f aca="false">AT97*AT41</f>
        <v>0</v>
      </c>
      <c r="AU99" s="48" t="n">
        <f aca="false">AU97*AU41</f>
        <v>0</v>
      </c>
      <c r="AV99" s="48" t="n">
        <f aca="false">AV97*AV41</f>
        <v>0</v>
      </c>
      <c r="AW99" s="48" t="n">
        <f aca="false">AW97*AW41</f>
        <v>0</v>
      </c>
      <c r="AX99" s="48" t="n">
        <f aca="false">AX97*AX41</f>
        <v>0</v>
      </c>
      <c r="AY99" s="48" t="n">
        <f aca="false">AY97*AY41</f>
        <v>0</v>
      </c>
      <c r="AZ99" s="48" t="n">
        <f aca="false">AZ97*AZ41</f>
        <v>0</v>
      </c>
      <c r="BA99" s="48" t="n">
        <f aca="false">BA97*BA41</f>
        <v>0</v>
      </c>
      <c r="BB99" s="48" t="n">
        <f aca="false">BB97*BB41</f>
        <v>0</v>
      </c>
      <c r="BC99" s="48" t="n">
        <f aca="false">BC97*BC41</f>
        <v>0</v>
      </c>
      <c r="BD99" s="48" t="n">
        <f aca="false">BD97*BD41</f>
        <v>0</v>
      </c>
      <c r="BE99" s="48" t="n">
        <f aca="false">BE97*BE41</f>
        <v>0</v>
      </c>
      <c r="BF99" s="48" t="n">
        <f aca="false">BF97*BF41</f>
        <v>0</v>
      </c>
      <c r="BG99" s="48" t="n">
        <f aca="false">BG97*BG41</f>
        <v>0</v>
      </c>
      <c r="BH99" s="48" t="n">
        <f aca="false">BH97*BH41</f>
        <v>0</v>
      </c>
      <c r="BI99" s="48" t="n">
        <f aca="false">BI97*BI41</f>
        <v>0</v>
      </c>
      <c r="BJ99" s="48" t="n">
        <f aca="false">BJ97*BJ41</f>
        <v>0</v>
      </c>
      <c r="BK99" s="48" t="n">
        <f aca="false">BK97*BK41</f>
        <v>0</v>
      </c>
      <c r="BL99" s="48" t="n">
        <f aca="false">BL97*BL41</f>
        <v>0</v>
      </c>
      <c r="BM99" s="48" t="n">
        <f aca="false">BM97*BM41</f>
        <v>0</v>
      </c>
      <c r="BN99" s="48" t="n">
        <f aca="false">BN97*BN41</f>
        <v>0</v>
      </c>
      <c r="BO99" s="48" t="n">
        <f aca="false">BO97*BO41</f>
        <v>0</v>
      </c>
      <c r="BP99" s="48" t="n">
        <f aca="false">BP97*BP41</f>
        <v>0</v>
      </c>
      <c r="BQ99" s="48" t="n">
        <f aca="false">BQ97*BQ41</f>
        <v>0</v>
      </c>
      <c r="BR99" s="48" t="n">
        <f aca="false">BR97*BR41</f>
        <v>0</v>
      </c>
      <c r="BS99" s="48" t="n">
        <f aca="false">BS97*BS41</f>
        <v>0</v>
      </c>
      <c r="BT99" s="48" t="n">
        <f aca="false">BT97*BT41</f>
        <v>0</v>
      </c>
      <c r="BU99" s="48" t="n">
        <f aca="false">BU97*BU41</f>
        <v>0</v>
      </c>
      <c r="BV99" s="48" t="n">
        <f aca="false">BV97*BV41</f>
        <v>0</v>
      </c>
      <c r="BW99" s="48" t="n">
        <f aca="false">BW97*BW41</f>
        <v>0</v>
      </c>
      <c r="BX99" s="48" t="n">
        <f aca="false">BX97*BX41</f>
        <v>0</v>
      </c>
    </row>
    <row r="100" customFormat="false" ht="15" hidden="false" customHeight="false" outlineLevel="0" collapsed="false">
      <c r="A100" s="1"/>
      <c r="B100" s="4" t="s">
        <v>364</v>
      </c>
      <c r="C100" s="1"/>
      <c r="D100" s="44" t="n">
        <f aca="false">SUMPRODUCT($G$97:$BX$97,$G$41:$BX$41)</f>
        <v>-221.947462510669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</row>
    <row r="101" customFormat="false" ht="15" hidden="false" customHeight="false" outlineLevel="0" collapsed="false">
      <c r="A101" s="1"/>
      <c r="B101" s="4" t="s">
        <v>365</v>
      </c>
      <c r="C101" s="1"/>
      <c r="D101" s="44" t="n">
        <f aca="false">SUMPRODUCT($G$96:$BX$96,$G$41:$BX$41)</f>
        <v>-221.534917151137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</row>
    <row r="102" customFormat="false" ht="15" hidden="false" customHeight="false" outlineLevel="0" collapsed="false">
      <c r="A102" s="1"/>
      <c r="B102" s="4" t="s">
        <v>366</v>
      </c>
      <c r="C102" s="1"/>
      <c r="D102" s="50" t="n">
        <f aca="true">IFERROR(IRR(OFFSET(G97,0,$D$12-2027,1,$D$11+$D$9),0.05),"n/a")</f>
        <v>-0.264656212342734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</row>
    <row r="103" customFormat="false" ht="15" hidden="false" customHeight="false" outlineLevel="0" collapsed="false">
      <c r="A103" s="1"/>
      <c r="B103" s="4" t="s">
        <v>367</v>
      </c>
      <c r="C103" s="1"/>
      <c r="D103" s="44" t="n">
        <f aca="false">SUMPRODUCT($G$57:$BX$57,$G$41:$BX$41)</f>
        <v>733764.612348835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</row>
    <row r="104" customFormat="false" ht="15" hidden="false" customHeight="false" outlineLevel="0" collapsed="false">
      <c r="A104" s="1"/>
      <c r="B104" s="4" t="s">
        <v>368</v>
      </c>
      <c r="C104" s="1"/>
      <c r="D104" s="44" t="n">
        <f aca="false">SUMPRODUCT($G$48:$BX$48,$G$41:$BX$41)+SUMPRODUCT($G$79:$BX$79,$G$41:$BX$41)+SUMPRODUCT($G$81:$BX$81,$G$41:$BX$41)</f>
        <v>806.368362630284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</row>
    <row r="105" customFormat="false" ht="15" hidden="false" customHeight="false" outlineLevel="0" collapsed="false">
      <c r="A105" s="1"/>
      <c r="B105" s="8" t="s">
        <v>369</v>
      </c>
      <c r="C105" s="1"/>
      <c r="D105" s="48" t="n">
        <f aca="false">SUMPRODUCT($G$48:$BX$48,$G$41:$BX$41)</f>
        <v>287.071401869159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</row>
    <row r="106" customFormat="false" ht="15" hidden="false" customHeight="false" outlineLevel="0" collapsed="false">
      <c r="A106" s="1"/>
      <c r="B106" s="8" t="s">
        <v>370</v>
      </c>
      <c r="C106" s="1"/>
      <c r="D106" s="48" t="n">
        <f aca="false">SUMPRODUCT($G$73:$BX$73,$G$41:$BX$41)</f>
        <v>58.8124758528692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</row>
    <row r="107" customFormat="false" ht="15" hidden="false" customHeight="false" outlineLevel="0" collapsed="false">
      <c r="A107" s="1"/>
      <c r="B107" s="8" t="s">
        <v>371</v>
      </c>
      <c r="C107" s="1"/>
      <c r="D107" s="48" t="n">
        <f aca="false">SUMPRODUCT($G$67:$BX$67,$G$41:$BX$41)</f>
        <v>206.097292886638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</row>
    <row r="108" customFormat="false" ht="15" hidden="false" customHeight="false" outlineLevel="0" collapsed="false">
      <c r="A108" s="1"/>
      <c r="B108" s="8" t="s">
        <v>372</v>
      </c>
      <c r="C108" s="1"/>
      <c r="D108" s="48" t="n">
        <f aca="false">SUMPRODUCT($G$69:$BX$69,$G$41:$BX$41)</f>
        <v>185.638602284247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</row>
    <row r="109" customFormat="false" ht="15" hidden="false" customHeight="false" outlineLevel="0" collapsed="false">
      <c r="A109" s="1"/>
      <c r="B109" s="8" t="s">
        <v>373</v>
      </c>
      <c r="C109" s="1"/>
      <c r="D109" s="48" t="n">
        <f aca="false">SUMPRODUCT($G$70:$BX$70,$G$41:$BX$41)+SUMPRODUCT($G$71:$BX$71,$G$41:$BX$41)</f>
        <v>28.8713690371981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</row>
    <row r="110" customFormat="false" ht="15" hidden="false" customHeight="false" outlineLevel="0" collapsed="false">
      <c r="A110" s="1"/>
      <c r="B110" s="8" t="s">
        <v>374</v>
      </c>
      <c r="C110" s="1"/>
      <c r="D110" s="48" t="n">
        <f aca="false">SUMPRODUCT($G$72:$BX$72,$G$41:$BX$41)+SUMPRODUCT($G$81:$BX$81,$G$41:$BX$41)</f>
        <v>2.35563434439648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</row>
    <row r="111" customFormat="false" ht="15" hidden="false" customHeight="false" outlineLevel="0" collapsed="false">
      <c r="A111" s="1"/>
      <c r="B111" s="8" t="s">
        <v>375</v>
      </c>
      <c r="C111" s="1"/>
      <c r="D111" s="48" t="n">
        <f aca="false">SUMPRODUCT($G$75:$BX$75,$G$41:$BX$41)</f>
        <v>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</row>
    <row r="112" customFormat="false" ht="15" hidden="false" customHeight="false" outlineLevel="0" collapsed="false">
      <c r="A112" s="1"/>
      <c r="B112" s="8" t="s">
        <v>376</v>
      </c>
      <c r="C112" s="1"/>
      <c r="D112" s="48" t="n">
        <f aca="false">SUMPRODUCT($G$77:$BX$77,$G$41:$BX$41)+SUMPRODUCT($G$78:$BX$78,$G$41:$BX$41)+SUMPRODUCT($G$76:$BX$76,$G$41:$BX$41)</f>
        <v>37.5215863557769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</row>
    <row r="113" customFormat="false" ht="15" hidden="false" customHeight="false" outlineLevel="0" collapsed="false">
      <c r="A113" s="1"/>
      <c r="B113" s="4" t="s">
        <v>377</v>
      </c>
      <c r="C113" s="1"/>
      <c r="D113" s="44" t="n">
        <f aca="false">SUMPRODUCT($G$63:$BX$63,$G$41:$BX$41)</f>
        <v>584.833445479147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</row>
    <row r="114" customFormat="false" ht="15" hidden="false" customHeight="false" outlineLevel="0" collapsed="false">
      <c r="A114" s="1"/>
      <c r="B114" s="4" t="s">
        <v>10</v>
      </c>
      <c r="C114" s="1"/>
      <c r="D114" s="46" t="n">
        <f aca="false">IFERROR($D$104*1000000/$D$103,0)</f>
        <v>1098.94692256831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</row>
    <row r="115" customFormat="false" ht="15" hidden="false" customHeight="false" outlineLevel="0" collapsed="false">
      <c r="A115" s="1"/>
      <c r="B115" s="4" t="s">
        <v>11</v>
      </c>
      <c r="C115" s="1"/>
      <c r="D115" s="46" t="n">
        <f aca="false">IFERROR($D$113*1000000/$D$103,0)</f>
        <v>797.031412576646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</row>
    <row r="116" customFormat="false" ht="15" hidden="false" customHeight="false" outlineLevel="0" collapsed="false">
      <c r="A116" s="1"/>
      <c r="B116" s="4" t="s">
        <v>378</v>
      </c>
      <c r="C116" s="1"/>
      <c r="D116" s="50" t="n">
        <f aca="false">IFERROR(AVERAGEIF($G$38:$BX$38,1,$G$56:$BX$56),0)</f>
        <v>0.0965573059360731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</row>
    <row r="117" customFormat="false" ht="15" hidden="false" customHeight="false" outlineLevel="0" collapsed="false">
      <c r="A117" s="1"/>
      <c r="B117" s="4" t="s">
        <v>379</v>
      </c>
      <c r="C117" s="1"/>
      <c r="D117" s="44" t="n">
        <f aca="false">SUMPRODUCT($G$60:$BX$60,$G$41:$BX$41)+SUMPRODUCT($G$61:$BX$61,$G$41:$BX$41)</f>
        <v>0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</row>
    <row r="118" customFormat="false" ht="15" hidden="false" customHeight="false" outlineLevel="0" collapsed="false">
      <c r="A118" s="1"/>
      <c r="B118" s="4" t="s">
        <v>409</v>
      </c>
      <c r="C118" s="1"/>
      <c r="D118" s="46" t="n">
        <f aca="false">-$D$100/((1-$D$17)*$D$103/1000000)</f>
        <v>373.429310114875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</row>
    <row r="120" customFormat="false" ht="15" hidden="false" customHeight="false" outlineLevel="0" collapsed="false">
      <c r="A120" s="1"/>
      <c r="B120" s="13" t="s">
        <v>381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</row>
    <row r="121" customFormat="false" ht="15" hidden="false" customHeight="false" outlineLevel="0" collapsed="false">
      <c r="A121" s="1"/>
      <c r="B121" s="8" t="s">
        <v>382</v>
      </c>
      <c r="C121" s="8" t="s">
        <v>126</v>
      </c>
      <c r="D121" s="44" t="n">
        <f aca="false">SUM(G121:BX121)</f>
        <v>16.416</v>
      </c>
      <c r="E121" s="1"/>
      <c r="F121" s="1"/>
      <c r="G121" s="48" t="n">
        <f aca="false">G77*$D$23</f>
        <v>0</v>
      </c>
      <c r="H121" s="48" t="n">
        <f aca="false">H77*$D$23</f>
        <v>0</v>
      </c>
      <c r="I121" s="48" t="n">
        <f aca="false">I77*$D$23</f>
        <v>0</v>
      </c>
      <c r="J121" s="48" t="n">
        <f aca="false">J77*$D$23</f>
        <v>0</v>
      </c>
      <c r="K121" s="48" t="n">
        <f aca="false">K77*$D$23</f>
        <v>0.65664</v>
      </c>
      <c r="L121" s="48" t="n">
        <f aca="false">L77*$D$23</f>
        <v>0.65664</v>
      </c>
      <c r="M121" s="48" t="n">
        <f aca="false">M77*$D$23</f>
        <v>0.65664</v>
      </c>
      <c r="N121" s="48" t="n">
        <f aca="false">N77*$D$23</f>
        <v>0.65664</v>
      </c>
      <c r="O121" s="48" t="n">
        <f aca="false">O77*$D$23</f>
        <v>0.65664</v>
      </c>
      <c r="P121" s="48" t="n">
        <f aca="false">P77*$D$23</f>
        <v>0.65664</v>
      </c>
      <c r="Q121" s="48" t="n">
        <f aca="false">Q77*$D$23</f>
        <v>0.65664</v>
      </c>
      <c r="R121" s="48" t="n">
        <f aca="false">R77*$D$23</f>
        <v>0.65664</v>
      </c>
      <c r="S121" s="48" t="n">
        <f aca="false">S77*$D$23</f>
        <v>0.65664</v>
      </c>
      <c r="T121" s="48" t="n">
        <f aca="false">T77*$D$23</f>
        <v>0.65664</v>
      </c>
      <c r="U121" s="48" t="n">
        <f aca="false">U77*$D$23</f>
        <v>0.65664</v>
      </c>
      <c r="V121" s="48" t="n">
        <f aca="false">V77*$D$23</f>
        <v>0.65664</v>
      </c>
      <c r="W121" s="48" t="n">
        <f aca="false">W77*$D$23</f>
        <v>0.65664</v>
      </c>
      <c r="X121" s="48" t="n">
        <f aca="false">X77*$D$23</f>
        <v>0.65664</v>
      </c>
      <c r="Y121" s="48" t="n">
        <f aca="false">Y77*$D$23</f>
        <v>0.65664</v>
      </c>
      <c r="Z121" s="48" t="n">
        <f aca="false">Z77*$D$23</f>
        <v>0.65664</v>
      </c>
      <c r="AA121" s="48" t="n">
        <f aca="false">AA77*$D$23</f>
        <v>0.65664</v>
      </c>
      <c r="AB121" s="48" t="n">
        <f aca="false">AB77*$D$23</f>
        <v>0.65664</v>
      </c>
      <c r="AC121" s="48" t="n">
        <f aca="false">AC77*$D$23</f>
        <v>0.65664</v>
      </c>
      <c r="AD121" s="48" t="n">
        <f aca="false">AD77*$D$23</f>
        <v>0.65664</v>
      </c>
      <c r="AE121" s="48" t="n">
        <f aca="false">AE77*$D$23</f>
        <v>0.65664</v>
      </c>
      <c r="AF121" s="48" t="n">
        <f aca="false">AF77*$D$23</f>
        <v>0.65664</v>
      </c>
      <c r="AG121" s="48" t="n">
        <f aca="false">AG77*$D$23</f>
        <v>0.65664</v>
      </c>
      <c r="AH121" s="48" t="n">
        <f aca="false">AH77*$D$23</f>
        <v>0.65664</v>
      </c>
      <c r="AI121" s="48" t="n">
        <f aca="false">AI77*$D$23</f>
        <v>0.65664</v>
      </c>
      <c r="AJ121" s="48" t="n">
        <f aca="false">AJ77*$D$23</f>
        <v>0</v>
      </c>
      <c r="AK121" s="48" t="n">
        <f aca="false">AK77*$D$23</f>
        <v>0</v>
      </c>
      <c r="AL121" s="48" t="n">
        <f aca="false">AL77*$D$23</f>
        <v>0</v>
      </c>
      <c r="AM121" s="48" t="n">
        <f aca="false">AM77*$D$23</f>
        <v>0</v>
      </c>
      <c r="AN121" s="48" t="n">
        <f aca="false">AN77*$D$23</f>
        <v>0</v>
      </c>
      <c r="AO121" s="48" t="n">
        <f aca="false">AO77*$D$23</f>
        <v>0</v>
      </c>
      <c r="AP121" s="48" t="n">
        <f aca="false">AP77*$D$23</f>
        <v>0</v>
      </c>
      <c r="AQ121" s="48" t="n">
        <f aca="false">AQ77*$D$23</f>
        <v>0</v>
      </c>
      <c r="AR121" s="48" t="n">
        <f aca="false">AR77*$D$23</f>
        <v>0</v>
      </c>
      <c r="AS121" s="48" t="n">
        <f aca="false">AS77*$D$23</f>
        <v>0</v>
      </c>
      <c r="AT121" s="48" t="n">
        <f aca="false">AT77*$D$23</f>
        <v>0</v>
      </c>
      <c r="AU121" s="48" t="n">
        <f aca="false">AU77*$D$23</f>
        <v>0</v>
      </c>
      <c r="AV121" s="48" t="n">
        <f aca="false">AV77*$D$23</f>
        <v>0</v>
      </c>
      <c r="AW121" s="48" t="n">
        <f aca="false">AW77*$D$23</f>
        <v>0</v>
      </c>
      <c r="AX121" s="48" t="n">
        <f aca="false">AX77*$D$23</f>
        <v>0</v>
      </c>
      <c r="AY121" s="48" t="n">
        <f aca="false">AY77*$D$23</f>
        <v>0</v>
      </c>
      <c r="AZ121" s="48" t="n">
        <f aca="false">AZ77*$D$23</f>
        <v>0</v>
      </c>
      <c r="BA121" s="48" t="n">
        <f aca="false">BA77*$D$23</f>
        <v>0</v>
      </c>
      <c r="BB121" s="48" t="n">
        <f aca="false">BB77*$D$23</f>
        <v>0</v>
      </c>
      <c r="BC121" s="48" t="n">
        <f aca="false">BC77*$D$23</f>
        <v>0</v>
      </c>
      <c r="BD121" s="48" t="n">
        <f aca="false">BD77*$D$23</f>
        <v>0</v>
      </c>
      <c r="BE121" s="48" t="n">
        <f aca="false">BE77*$D$23</f>
        <v>0</v>
      </c>
      <c r="BF121" s="48" t="n">
        <f aca="false">BF77*$D$23</f>
        <v>0</v>
      </c>
      <c r="BG121" s="48" t="n">
        <f aca="false">BG77*$D$23</f>
        <v>0</v>
      </c>
      <c r="BH121" s="48" t="n">
        <f aca="false">BH77*$D$23</f>
        <v>0</v>
      </c>
      <c r="BI121" s="48" t="n">
        <f aca="false">BI77*$D$23</f>
        <v>0</v>
      </c>
      <c r="BJ121" s="48" t="n">
        <f aca="false">BJ77*$D$23</f>
        <v>0</v>
      </c>
      <c r="BK121" s="48" t="n">
        <f aca="false">BK77*$D$23</f>
        <v>0</v>
      </c>
      <c r="BL121" s="48" t="n">
        <f aca="false">BL77*$D$23</f>
        <v>0</v>
      </c>
      <c r="BM121" s="48" t="n">
        <f aca="false">BM77*$D$23</f>
        <v>0</v>
      </c>
      <c r="BN121" s="48" t="n">
        <f aca="false">BN77*$D$23</f>
        <v>0</v>
      </c>
      <c r="BO121" s="48" t="n">
        <f aca="false">BO77*$D$23</f>
        <v>0</v>
      </c>
      <c r="BP121" s="48" t="n">
        <f aca="false">BP77*$D$23</f>
        <v>0</v>
      </c>
      <c r="BQ121" s="48" t="n">
        <f aca="false">BQ77*$D$23</f>
        <v>0</v>
      </c>
      <c r="BR121" s="48" t="n">
        <f aca="false">BR77*$D$23</f>
        <v>0</v>
      </c>
      <c r="BS121" s="48" t="n">
        <f aca="false">BS77*$D$23</f>
        <v>0</v>
      </c>
      <c r="BT121" s="48" t="n">
        <f aca="false">BT77*$D$23</f>
        <v>0</v>
      </c>
      <c r="BU121" s="48" t="n">
        <f aca="false">BU77*$D$23</f>
        <v>0</v>
      </c>
      <c r="BV121" s="48" t="n">
        <f aca="false">BV77*$D$23</f>
        <v>0</v>
      </c>
      <c r="BW121" s="48" t="n">
        <f aca="false">BW77*$D$23</f>
        <v>0</v>
      </c>
      <c r="BX121" s="48" t="n">
        <f aca="false">BX77*$D$23</f>
        <v>0</v>
      </c>
    </row>
    <row r="122" customFormat="false" ht="15" hidden="false" customHeight="false" outlineLevel="0" collapsed="false">
      <c r="A122" s="1"/>
      <c r="B122" s="8" t="s">
        <v>383</v>
      </c>
      <c r="C122" s="8" t="s">
        <v>126</v>
      </c>
      <c r="D122" s="44" t="n">
        <f aca="false">SUM(G122:BX122)</f>
        <v>0</v>
      </c>
      <c r="E122" s="1"/>
      <c r="F122" s="1"/>
      <c r="G122" s="48" t="n">
        <f aca="false">G77*(1-$D$23)</f>
        <v>0</v>
      </c>
      <c r="H122" s="48" t="n">
        <f aca="false">H77*(1-$D$23)</f>
        <v>0</v>
      </c>
      <c r="I122" s="48" t="n">
        <f aca="false">I77*(1-$D$23)</f>
        <v>0</v>
      </c>
      <c r="J122" s="48" t="n">
        <f aca="false">J77*(1-$D$23)</f>
        <v>0</v>
      </c>
      <c r="K122" s="48" t="n">
        <f aca="false">K77*(1-$D$23)</f>
        <v>0</v>
      </c>
      <c r="L122" s="48" t="n">
        <f aca="false">L77*(1-$D$23)</f>
        <v>0</v>
      </c>
      <c r="M122" s="48" t="n">
        <f aca="false">M77*(1-$D$23)</f>
        <v>0</v>
      </c>
      <c r="N122" s="48" t="n">
        <f aca="false">N77*(1-$D$23)</f>
        <v>0</v>
      </c>
      <c r="O122" s="48" t="n">
        <f aca="false">O77*(1-$D$23)</f>
        <v>0</v>
      </c>
      <c r="P122" s="48" t="n">
        <f aca="false">P77*(1-$D$23)</f>
        <v>0</v>
      </c>
      <c r="Q122" s="48" t="n">
        <f aca="false">Q77*(1-$D$23)</f>
        <v>0</v>
      </c>
      <c r="R122" s="48" t="n">
        <f aca="false">R77*(1-$D$23)</f>
        <v>0</v>
      </c>
      <c r="S122" s="48" t="n">
        <f aca="false">S77*(1-$D$23)</f>
        <v>0</v>
      </c>
      <c r="T122" s="48" t="n">
        <f aca="false">T77*(1-$D$23)</f>
        <v>0</v>
      </c>
      <c r="U122" s="48" t="n">
        <f aca="false">U77*(1-$D$23)</f>
        <v>0</v>
      </c>
      <c r="V122" s="48" t="n">
        <f aca="false">V77*(1-$D$23)</f>
        <v>0</v>
      </c>
      <c r="W122" s="48" t="n">
        <f aca="false">W77*(1-$D$23)</f>
        <v>0</v>
      </c>
      <c r="X122" s="48" t="n">
        <f aca="false">X77*(1-$D$23)</f>
        <v>0</v>
      </c>
      <c r="Y122" s="48" t="n">
        <f aca="false">Y77*(1-$D$23)</f>
        <v>0</v>
      </c>
      <c r="Z122" s="48" t="n">
        <f aca="false">Z77*(1-$D$23)</f>
        <v>0</v>
      </c>
      <c r="AA122" s="48" t="n">
        <f aca="false">AA77*(1-$D$23)</f>
        <v>0</v>
      </c>
      <c r="AB122" s="48" t="n">
        <f aca="false">AB77*(1-$D$23)</f>
        <v>0</v>
      </c>
      <c r="AC122" s="48" t="n">
        <f aca="false">AC77*(1-$D$23)</f>
        <v>0</v>
      </c>
      <c r="AD122" s="48" t="n">
        <f aca="false">AD77*(1-$D$23)</f>
        <v>0</v>
      </c>
      <c r="AE122" s="48" t="n">
        <f aca="false">AE77*(1-$D$23)</f>
        <v>0</v>
      </c>
      <c r="AF122" s="48" t="n">
        <f aca="false">AF77*(1-$D$23)</f>
        <v>0</v>
      </c>
      <c r="AG122" s="48" t="n">
        <f aca="false">AG77*(1-$D$23)</f>
        <v>0</v>
      </c>
      <c r="AH122" s="48" t="n">
        <f aca="false">AH77*(1-$D$23)</f>
        <v>0</v>
      </c>
      <c r="AI122" s="48" t="n">
        <f aca="false">AI77*(1-$D$23)</f>
        <v>0</v>
      </c>
      <c r="AJ122" s="48" t="n">
        <f aca="false">AJ77*(1-$D$23)</f>
        <v>0</v>
      </c>
      <c r="AK122" s="48" t="n">
        <f aca="false">AK77*(1-$D$23)</f>
        <v>0</v>
      </c>
      <c r="AL122" s="48" t="n">
        <f aca="false">AL77*(1-$D$23)</f>
        <v>0</v>
      </c>
      <c r="AM122" s="48" t="n">
        <f aca="false">AM77*(1-$D$23)</f>
        <v>0</v>
      </c>
      <c r="AN122" s="48" t="n">
        <f aca="false">AN77*(1-$D$23)</f>
        <v>0</v>
      </c>
      <c r="AO122" s="48" t="n">
        <f aca="false">AO77*(1-$D$23)</f>
        <v>0</v>
      </c>
      <c r="AP122" s="48" t="n">
        <f aca="false">AP77*(1-$D$23)</f>
        <v>0</v>
      </c>
      <c r="AQ122" s="48" t="n">
        <f aca="false">AQ77*(1-$D$23)</f>
        <v>0</v>
      </c>
      <c r="AR122" s="48" t="n">
        <f aca="false">AR77*(1-$D$23)</f>
        <v>0</v>
      </c>
      <c r="AS122" s="48" t="n">
        <f aca="false">AS77*(1-$D$23)</f>
        <v>0</v>
      </c>
      <c r="AT122" s="48" t="n">
        <f aca="false">AT77*(1-$D$23)</f>
        <v>0</v>
      </c>
      <c r="AU122" s="48" t="n">
        <f aca="false">AU77*(1-$D$23)</f>
        <v>0</v>
      </c>
      <c r="AV122" s="48" t="n">
        <f aca="false">AV77*(1-$D$23)</f>
        <v>0</v>
      </c>
      <c r="AW122" s="48" t="n">
        <f aca="false">AW77*(1-$D$23)</f>
        <v>0</v>
      </c>
      <c r="AX122" s="48" t="n">
        <f aca="false">AX77*(1-$D$23)</f>
        <v>0</v>
      </c>
      <c r="AY122" s="48" t="n">
        <f aca="false">AY77*(1-$D$23)</f>
        <v>0</v>
      </c>
      <c r="AZ122" s="48" t="n">
        <f aca="false">AZ77*(1-$D$23)</f>
        <v>0</v>
      </c>
      <c r="BA122" s="48" t="n">
        <f aca="false">BA77*(1-$D$23)</f>
        <v>0</v>
      </c>
      <c r="BB122" s="48" t="n">
        <f aca="false">BB77*(1-$D$23)</f>
        <v>0</v>
      </c>
      <c r="BC122" s="48" t="n">
        <f aca="false">BC77*(1-$D$23)</f>
        <v>0</v>
      </c>
      <c r="BD122" s="48" t="n">
        <f aca="false">BD77*(1-$D$23)</f>
        <v>0</v>
      </c>
      <c r="BE122" s="48" t="n">
        <f aca="false">BE77*(1-$D$23)</f>
        <v>0</v>
      </c>
      <c r="BF122" s="48" t="n">
        <f aca="false">BF77*(1-$D$23)</f>
        <v>0</v>
      </c>
      <c r="BG122" s="48" t="n">
        <f aca="false">BG77*(1-$D$23)</f>
        <v>0</v>
      </c>
      <c r="BH122" s="48" t="n">
        <f aca="false">BH77*(1-$D$23)</f>
        <v>0</v>
      </c>
      <c r="BI122" s="48" t="n">
        <f aca="false">BI77*(1-$D$23)</f>
        <v>0</v>
      </c>
      <c r="BJ122" s="48" t="n">
        <f aca="false">BJ77*(1-$D$23)</f>
        <v>0</v>
      </c>
      <c r="BK122" s="48" t="n">
        <f aca="false">BK77*(1-$D$23)</f>
        <v>0</v>
      </c>
      <c r="BL122" s="48" t="n">
        <f aca="false">BL77*(1-$D$23)</f>
        <v>0</v>
      </c>
      <c r="BM122" s="48" t="n">
        <f aca="false">BM77*(1-$D$23)</f>
        <v>0</v>
      </c>
      <c r="BN122" s="48" t="n">
        <f aca="false">BN77*(1-$D$23)</f>
        <v>0</v>
      </c>
      <c r="BO122" s="48" t="n">
        <f aca="false">BO77*(1-$D$23)</f>
        <v>0</v>
      </c>
      <c r="BP122" s="48" t="n">
        <f aca="false">BP77*(1-$D$23)</f>
        <v>0</v>
      </c>
      <c r="BQ122" s="48" t="n">
        <f aca="false">BQ77*(1-$D$23)</f>
        <v>0</v>
      </c>
      <c r="BR122" s="48" t="n">
        <f aca="false">BR77*(1-$D$23)</f>
        <v>0</v>
      </c>
      <c r="BS122" s="48" t="n">
        <f aca="false">BS77*(1-$D$23)</f>
        <v>0</v>
      </c>
      <c r="BT122" s="48" t="n">
        <f aca="false">BT77*(1-$D$23)</f>
        <v>0</v>
      </c>
      <c r="BU122" s="48" t="n">
        <f aca="false">BU77*(1-$D$23)</f>
        <v>0</v>
      </c>
      <c r="BV122" s="48" t="n">
        <f aca="false">BV77*(1-$D$23)</f>
        <v>0</v>
      </c>
      <c r="BW122" s="48" t="n">
        <f aca="false">BW77*(1-$D$23)</f>
        <v>0</v>
      </c>
      <c r="BX122" s="48" t="n">
        <f aca="false">BX77*(1-$D$23)</f>
        <v>0</v>
      </c>
    </row>
    <row r="123" customFormat="false" ht="15" hidden="false" customHeight="false" outlineLevel="0" collapsed="false">
      <c r="A123" s="1"/>
      <c r="B123" s="8" t="s">
        <v>384</v>
      </c>
      <c r="C123" s="8" t="s">
        <v>126</v>
      </c>
      <c r="D123" s="44" t="n">
        <f aca="false">SUM(G123:BX123)</f>
        <v>0.144511417176623</v>
      </c>
      <c r="E123" s="1"/>
      <c r="F123" s="1"/>
      <c r="G123" s="48" t="n">
        <f aca="false">G92*Input!$H$147</f>
        <v>0</v>
      </c>
      <c r="H123" s="48" t="n">
        <f aca="false">H92*Input!$H$147</f>
        <v>0</v>
      </c>
      <c r="I123" s="48" t="n">
        <f aca="false">I92*Input!$H$147</f>
        <v>0</v>
      </c>
      <c r="J123" s="48" t="n">
        <f aca="false">J92*Input!$H$147</f>
        <v>0</v>
      </c>
      <c r="K123" s="48" t="n">
        <f aca="false">K92*Input!$H$147</f>
        <v>0</v>
      </c>
      <c r="L123" s="48" t="n">
        <f aca="false">L92*Input!$H$147</f>
        <v>0</v>
      </c>
      <c r="M123" s="48" t="n">
        <f aca="false">M92*Input!$H$147</f>
        <v>0</v>
      </c>
      <c r="N123" s="48" t="n">
        <f aca="false">N92*Input!$H$147</f>
        <v>0</v>
      </c>
      <c r="O123" s="48" t="n">
        <f aca="false">O92*Input!$H$147</f>
        <v>0</v>
      </c>
      <c r="P123" s="48" t="n">
        <f aca="false">P92*Input!$H$147</f>
        <v>0</v>
      </c>
      <c r="Q123" s="48" t="n">
        <f aca="false">Q92*Input!$H$147</f>
        <v>0</v>
      </c>
      <c r="R123" s="48" t="n">
        <f aca="false">R92*Input!$H$147</f>
        <v>0</v>
      </c>
      <c r="S123" s="48" t="n">
        <f aca="false">S92*Input!$H$147</f>
        <v>0</v>
      </c>
      <c r="T123" s="48" t="n">
        <f aca="false">T92*Input!$H$147</f>
        <v>0</v>
      </c>
      <c r="U123" s="48" t="n">
        <f aca="false">U92*Input!$H$147</f>
        <v>0</v>
      </c>
      <c r="V123" s="48" t="n">
        <f aca="false">V92*Input!$H$147</f>
        <v>0</v>
      </c>
      <c r="W123" s="48" t="n">
        <f aca="false">W92*Input!$H$147</f>
        <v>0</v>
      </c>
      <c r="X123" s="48" t="n">
        <f aca="false">X92*Input!$H$147</f>
        <v>0</v>
      </c>
      <c r="Y123" s="48" t="n">
        <f aca="false">Y92*Input!$H$147</f>
        <v>0</v>
      </c>
      <c r="Z123" s="48" t="n">
        <f aca="false">Z92*Input!$H$147</f>
        <v>0.0160398448229912</v>
      </c>
      <c r="AA123" s="48" t="n">
        <f aca="false">AA92*Input!$H$147</f>
        <v>0.0153087795435549</v>
      </c>
      <c r="AB123" s="48" t="n">
        <f aca="false">AB92*Input!$H$147</f>
        <v>0.0145343130924452</v>
      </c>
      <c r="AC123" s="48" t="n">
        <f aca="false">AC92*Input!$H$147</f>
        <v>0.0137963927776724</v>
      </c>
      <c r="AD123" s="48" t="n">
        <f aca="false">AD92*Input!$H$147</f>
        <v>0.0130427364462604</v>
      </c>
      <c r="AE123" s="48" t="n">
        <f aca="false">AE92*Input!$H$147</f>
        <v>0.0131006701025179</v>
      </c>
      <c r="AF123" s="48" t="n">
        <f aca="false">AF92*Input!$H$147</f>
        <v>0.0131544484505877</v>
      </c>
      <c r="AG123" s="48" t="n">
        <f aca="false">AG92*Input!$H$147</f>
        <v>0.0215479619222166</v>
      </c>
      <c r="AH123" s="48" t="n">
        <f aca="false">AH92*Input!$H$147</f>
        <v>0.0239862700183769</v>
      </c>
      <c r="AI123" s="48" t="n">
        <f aca="false">AI92*Input!$H$147</f>
        <v>0</v>
      </c>
      <c r="AJ123" s="48" t="n">
        <f aca="false">AJ92*Input!$H$147</f>
        <v>0</v>
      </c>
      <c r="AK123" s="48" t="n">
        <f aca="false">AK92*Input!$H$147</f>
        <v>0</v>
      </c>
      <c r="AL123" s="48" t="n">
        <f aca="false">AL92*Input!$H$147</f>
        <v>0</v>
      </c>
      <c r="AM123" s="48" t="n">
        <f aca="false">AM92*Input!$H$147</f>
        <v>0</v>
      </c>
      <c r="AN123" s="48" t="n">
        <f aca="false">AN92*Input!$H$147</f>
        <v>0</v>
      </c>
      <c r="AO123" s="48" t="n">
        <f aca="false">AO92*Input!$H$147</f>
        <v>0</v>
      </c>
      <c r="AP123" s="48" t="n">
        <f aca="false">AP92*Input!$H$147</f>
        <v>0</v>
      </c>
      <c r="AQ123" s="48" t="n">
        <f aca="false">AQ92*Input!$H$147</f>
        <v>0</v>
      </c>
      <c r="AR123" s="48" t="n">
        <f aca="false">AR92*Input!$H$147</f>
        <v>0</v>
      </c>
      <c r="AS123" s="48" t="n">
        <f aca="false">AS92*Input!$H$147</f>
        <v>0</v>
      </c>
      <c r="AT123" s="48" t="n">
        <f aca="false">AT92*Input!$H$147</f>
        <v>0</v>
      </c>
      <c r="AU123" s="48" t="n">
        <f aca="false">AU92*Input!$H$147</f>
        <v>0</v>
      </c>
      <c r="AV123" s="48" t="n">
        <f aca="false">AV92*Input!$H$147</f>
        <v>0</v>
      </c>
      <c r="AW123" s="48" t="n">
        <f aca="false">AW92*Input!$H$147</f>
        <v>0</v>
      </c>
      <c r="AX123" s="48" t="n">
        <f aca="false">AX92*Input!$H$147</f>
        <v>0</v>
      </c>
      <c r="AY123" s="48" t="n">
        <f aca="false">AY92*Input!$H$147</f>
        <v>0</v>
      </c>
      <c r="AZ123" s="48" t="n">
        <f aca="false">AZ92*Input!$H$147</f>
        <v>0</v>
      </c>
      <c r="BA123" s="48" t="n">
        <f aca="false">BA92*Input!$H$147</f>
        <v>0</v>
      </c>
      <c r="BB123" s="48" t="n">
        <f aca="false">BB92*Input!$H$147</f>
        <v>0</v>
      </c>
      <c r="BC123" s="48" t="n">
        <f aca="false">BC92*Input!$H$147</f>
        <v>0</v>
      </c>
      <c r="BD123" s="48" t="n">
        <f aca="false">BD92*Input!$H$147</f>
        <v>0</v>
      </c>
      <c r="BE123" s="48" t="n">
        <f aca="false">BE92*Input!$H$147</f>
        <v>0</v>
      </c>
      <c r="BF123" s="48" t="n">
        <f aca="false">BF92*Input!$H$147</f>
        <v>0</v>
      </c>
      <c r="BG123" s="48" t="n">
        <f aca="false">BG92*Input!$H$147</f>
        <v>0</v>
      </c>
      <c r="BH123" s="48" t="n">
        <f aca="false">BH92*Input!$H$147</f>
        <v>0</v>
      </c>
      <c r="BI123" s="48" t="n">
        <f aca="false">BI92*Input!$H$147</f>
        <v>0</v>
      </c>
      <c r="BJ123" s="48" t="n">
        <f aca="false">BJ92*Input!$H$147</f>
        <v>0</v>
      </c>
      <c r="BK123" s="48" t="n">
        <f aca="false">BK92*Input!$H$147</f>
        <v>0</v>
      </c>
      <c r="BL123" s="48" t="n">
        <f aca="false">BL92*Input!$H$147</f>
        <v>0</v>
      </c>
      <c r="BM123" s="48" t="n">
        <f aca="false">BM92*Input!$H$147</f>
        <v>0</v>
      </c>
      <c r="BN123" s="48" t="n">
        <f aca="false">BN92*Input!$H$147</f>
        <v>0</v>
      </c>
      <c r="BO123" s="48" t="n">
        <f aca="false">BO92*Input!$H$147</f>
        <v>0</v>
      </c>
      <c r="BP123" s="48" t="n">
        <f aca="false">BP92*Input!$H$147</f>
        <v>0</v>
      </c>
      <c r="BQ123" s="48" t="n">
        <f aca="false">BQ92*Input!$H$147</f>
        <v>0</v>
      </c>
      <c r="BR123" s="48" t="n">
        <f aca="false">BR92*Input!$H$147</f>
        <v>0</v>
      </c>
      <c r="BS123" s="48" t="n">
        <f aca="false">BS92*Input!$H$147</f>
        <v>0</v>
      </c>
      <c r="BT123" s="48" t="n">
        <f aca="false">BT92*Input!$H$147</f>
        <v>0</v>
      </c>
      <c r="BU123" s="48" t="n">
        <f aca="false">BU92*Input!$H$147</f>
        <v>0</v>
      </c>
      <c r="BV123" s="48" t="n">
        <f aca="false">BV92*Input!$H$147</f>
        <v>0</v>
      </c>
      <c r="BW123" s="48" t="n">
        <f aca="false">BW92*Input!$H$147</f>
        <v>0</v>
      </c>
      <c r="BX123" s="48" t="n">
        <f aca="false">BX92*Input!$H$147</f>
        <v>0</v>
      </c>
    </row>
    <row r="124" customFormat="false" ht="15" hidden="false" customHeight="false" outlineLevel="0" collapsed="false">
      <c r="A124" s="1"/>
      <c r="B124" s="8" t="s">
        <v>385</v>
      </c>
      <c r="C124" s="8" t="s">
        <v>126</v>
      </c>
      <c r="D124" s="44" t="n">
        <f aca="false">SUM(G124:BX124)</f>
        <v>0.153543380750162</v>
      </c>
      <c r="E124" s="1"/>
      <c r="F124" s="1"/>
      <c r="G124" s="48" t="n">
        <f aca="false">G92*Input!$H$148</f>
        <v>0</v>
      </c>
      <c r="H124" s="48" t="n">
        <f aca="false">H92*Input!$H$148</f>
        <v>0</v>
      </c>
      <c r="I124" s="48" t="n">
        <f aca="false">I92*Input!$H$148</f>
        <v>0</v>
      </c>
      <c r="J124" s="48" t="n">
        <f aca="false">J92*Input!$H$148</f>
        <v>0</v>
      </c>
      <c r="K124" s="48" t="n">
        <f aca="false">K92*Input!$H$148</f>
        <v>0</v>
      </c>
      <c r="L124" s="48" t="n">
        <f aca="false">L92*Input!$H$148</f>
        <v>0</v>
      </c>
      <c r="M124" s="48" t="n">
        <f aca="false">M92*Input!$H$148</f>
        <v>0</v>
      </c>
      <c r="N124" s="48" t="n">
        <f aca="false">N92*Input!$H$148</f>
        <v>0</v>
      </c>
      <c r="O124" s="48" t="n">
        <f aca="false">O92*Input!$H$148</f>
        <v>0</v>
      </c>
      <c r="P124" s="48" t="n">
        <f aca="false">P92*Input!$H$148</f>
        <v>0</v>
      </c>
      <c r="Q124" s="48" t="n">
        <f aca="false">Q92*Input!$H$148</f>
        <v>0</v>
      </c>
      <c r="R124" s="48" t="n">
        <f aca="false">R92*Input!$H$148</f>
        <v>0</v>
      </c>
      <c r="S124" s="48" t="n">
        <f aca="false">S92*Input!$H$148</f>
        <v>0</v>
      </c>
      <c r="T124" s="48" t="n">
        <f aca="false">T92*Input!$H$148</f>
        <v>0</v>
      </c>
      <c r="U124" s="48" t="n">
        <f aca="false">U92*Input!$H$148</f>
        <v>0</v>
      </c>
      <c r="V124" s="48" t="n">
        <f aca="false">V92*Input!$H$148</f>
        <v>0</v>
      </c>
      <c r="W124" s="48" t="n">
        <f aca="false">W92*Input!$H$148</f>
        <v>0</v>
      </c>
      <c r="X124" s="48" t="n">
        <f aca="false">X92*Input!$H$148</f>
        <v>0</v>
      </c>
      <c r="Y124" s="48" t="n">
        <f aca="false">Y92*Input!$H$148</f>
        <v>0</v>
      </c>
      <c r="Z124" s="48" t="n">
        <f aca="false">Z92*Input!$H$148</f>
        <v>0.0170423351244281</v>
      </c>
      <c r="AA124" s="48" t="n">
        <f aca="false">AA92*Input!$H$148</f>
        <v>0.016265578265027</v>
      </c>
      <c r="AB124" s="48" t="n">
        <f aca="false">AB92*Input!$H$148</f>
        <v>0.0154427076607231</v>
      </c>
      <c r="AC124" s="48" t="n">
        <f aca="false">AC92*Input!$H$148</f>
        <v>0.014658667326277</v>
      </c>
      <c r="AD124" s="48" t="n">
        <f aca="false">AD92*Input!$H$148</f>
        <v>0.0138579074741517</v>
      </c>
      <c r="AE124" s="48" t="n">
        <f aca="false">AE92*Input!$H$148</f>
        <v>0.0139194619839252</v>
      </c>
      <c r="AF124" s="48" t="n">
        <f aca="false">AF92*Input!$H$148</f>
        <v>0.0139766014787494</v>
      </c>
      <c r="AG124" s="48" t="n">
        <f aca="false">AG92*Input!$H$148</f>
        <v>0.0228947095423552</v>
      </c>
      <c r="AH124" s="48" t="n">
        <f aca="false">AH92*Input!$H$148</f>
        <v>0.0254854118945255</v>
      </c>
      <c r="AI124" s="48" t="n">
        <f aca="false">AI92*Input!$H$148</f>
        <v>0</v>
      </c>
      <c r="AJ124" s="48" t="n">
        <f aca="false">AJ92*Input!$H$148</f>
        <v>0</v>
      </c>
      <c r="AK124" s="48" t="n">
        <f aca="false">AK92*Input!$H$148</f>
        <v>0</v>
      </c>
      <c r="AL124" s="48" t="n">
        <f aca="false">AL92*Input!$H$148</f>
        <v>0</v>
      </c>
      <c r="AM124" s="48" t="n">
        <f aca="false">AM92*Input!$H$148</f>
        <v>0</v>
      </c>
      <c r="AN124" s="48" t="n">
        <f aca="false">AN92*Input!$H$148</f>
        <v>0</v>
      </c>
      <c r="AO124" s="48" t="n">
        <f aca="false">AO92*Input!$H$148</f>
        <v>0</v>
      </c>
      <c r="AP124" s="48" t="n">
        <f aca="false">AP92*Input!$H$148</f>
        <v>0</v>
      </c>
      <c r="AQ124" s="48" t="n">
        <f aca="false">AQ92*Input!$H$148</f>
        <v>0</v>
      </c>
      <c r="AR124" s="48" t="n">
        <f aca="false">AR92*Input!$H$148</f>
        <v>0</v>
      </c>
      <c r="AS124" s="48" t="n">
        <f aca="false">AS92*Input!$H$148</f>
        <v>0</v>
      </c>
      <c r="AT124" s="48" t="n">
        <f aca="false">AT92*Input!$H$148</f>
        <v>0</v>
      </c>
      <c r="AU124" s="48" t="n">
        <f aca="false">AU92*Input!$H$148</f>
        <v>0</v>
      </c>
      <c r="AV124" s="48" t="n">
        <f aca="false">AV92*Input!$H$148</f>
        <v>0</v>
      </c>
      <c r="AW124" s="48" t="n">
        <f aca="false">AW92*Input!$H$148</f>
        <v>0</v>
      </c>
      <c r="AX124" s="48" t="n">
        <f aca="false">AX92*Input!$H$148</f>
        <v>0</v>
      </c>
      <c r="AY124" s="48" t="n">
        <f aca="false">AY92*Input!$H$148</f>
        <v>0</v>
      </c>
      <c r="AZ124" s="48" t="n">
        <f aca="false">AZ92*Input!$H$148</f>
        <v>0</v>
      </c>
      <c r="BA124" s="48" t="n">
        <f aca="false">BA92*Input!$H$148</f>
        <v>0</v>
      </c>
      <c r="BB124" s="48" t="n">
        <f aca="false">BB92*Input!$H$148</f>
        <v>0</v>
      </c>
      <c r="BC124" s="48" t="n">
        <f aca="false">BC92*Input!$H$148</f>
        <v>0</v>
      </c>
      <c r="BD124" s="48" t="n">
        <f aca="false">BD92*Input!$H$148</f>
        <v>0</v>
      </c>
      <c r="BE124" s="48" t="n">
        <f aca="false">BE92*Input!$H$148</f>
        <v>0</v>
      </c>
      <c r="BF124" s="48" t="n">
        <f aca="false">BF92*Input!$H$148</f>
        <v>0</v>
      </c>
      <c r="BG124" s="48" t="n">
        <f aca="false">BG92*Input!$H$148</f>
        <v>0</v>
      </c>
      <c r="BH124" s="48" t="n">
        <f aca="false">BH92*Input!$H$148</f>
        <v>0</v>
      </c>
      <c r="BI124" s="48" t="n">
        <f aca="false">BI92*Input!$H$148</f>
        <v>0</v>
      </c>
      <c r="BJ124" s="48" t="n">
        <f aca="false">BJ92*Input!$H$148</f>
        <v>0</v>
      </c>
      <c r="BK124" s="48" t="n">
        <f aca="false">BK92*Input!$H$148</f>
        <v>0</v>
      </c>
      <c r="BL124" s="48" t="n">
        <f aca="false">BL92*Input!$H$148</f>
        <v>0</v>
      </c>
      <c r="BM124" s="48" t="n">
        <f aca="false">BM92*Input!$H$148</f>
        <v>0</v>
      </c>
      <c r="BN124" s="48" t="n">
        <f aca="false">BN92*Input!$H$148</f>
        <v>0</v>
      </c>
      <c r="BO124" s="48" t="n">
        <f aca="false">BO92*Input!$H$148</f>
        <v>0</v>
      </c>
      <c r="BP124" s="48" t="n">
        <f aca="false">BP92*Input!$H$148</f>
        <v>0</v>
      </c>
      <c r="BQ124" s="48" t="n">
        <f aca="false">BQ92*Input!$H$148</f>
        <v>0</v>
      </c>
      <c r="BR124" s="48" t="n">
        <f aca="false">BR92*Input!$H$148</f>
        <v>0</v>
      </c>
      <c r="BS124" s="48" t="n">
        <f aca="false">BS92*Input!$H$148</f>
        <v>0</v>
      </c>
      <c r="BT124" s="48" t="n">
        <f aca="false">BT92*Input!$H$148</f>
        <v>0</v>
      </c>
      <c r="BU124" s="48" t="n">
        <f aca="false">BU92*Input!$H$148</f>
        <v>0</v>
      </c>
      <c r="BV124" s="48" t="n">
        <f aca="false">BV92*Input!$H$148</f>
        <v>0</v>
      </c>
      <c r="BW124" s="48" t="n">
        <f aca="false">BW92*Input!$H$148</f>
        <v>0</v>
      </c>
      <c r="BX124" s="48" t="n">
        <f aca="false">BX92*Input!$H$148</f>
        <v>0</v>
      </c>
    </row>
    <row r="125" customFormat="false" ht="15" hidden="false" customHeight="false" outlineLevel="0" collapsed="false">
      <c r="A125" s="1"/>
      <c r="B125" s="8" t="s">
        <v>386</v>
      </c>
      <c r="C125" s="8" t="s">
        <v>126</v>
      </c>
      <c r="D125" s="44" t="n">
        <f aca="false">SUM(G125:BX125)</f>
        <v>0.207735162191396</v>
      </c>
      <c r="E125" s="1"/>
      <c r="F125" s="1"/>
      <c r="G125" s="48" t="n">
        <f aca="false">G92*Input!$H$149</f>
        <v>0</v>
      </c>
      <c r="H125" s="48" t="n">
        <f aca="false">H92*Input!$H$149</f>
        <v>0</v>
      </c>
      <c r="I125" s="48" t="n">
        <f aca="false">I92*Input!$H$149</f>
        <v>0</v>
      </c>
      <c r="J125" s="48" t="n">
        <f aca="false">J92*Input!$H$149</f>
        <v>0</v>
      </c>
      <c r="K125" s="48" t="n">
        <f aca="false">K92*Input!$H$149</f>
        <v>0</v>
      </c>
      <c r="L125" s="48" t="n">
        <f aca="false">L92*Input!$H$149</f>
        <v>0</v>
      </c>
      <c r="M125" s="48" t="n">
        <f aca="false">M92*Input!$H$149</f>
        <v>0</v>
      </c>
      <c r="N125" s="48" t="n">
        <f aca="false">N92*Input!$H$149</f>
        <v>0</v>
      </c>
      <c r="O125" s="48" t="n">
        <f aca="false">O92*Input!$H$149</f>
        <v>0</v>
      </c>
      <c r="P125" s="48" t="n">
        <f aca="false">P92*Input!$H$149</f>
        <v>0</v>
      </c>
      <c r="Q125" s="48" t="n">
        <f aca="false">Q92*Input!$H$149</f>
        <v>0</v>
      </c>
      <c r="R125" s="48" t="n">
        <f aca="false">R92*Input!$H$149</f>
        <v>0</v>
      </c>
      <c r="S125" s="48" t="n">
        <f aca="false">S92*Input!$H$149</f>
        <v>0</v>
      </c>
      <c r="T125" s="48" t="n">
        <f aca="false">T92*Input!$H$149</f>
        <v>0</v>
      </c>
      <c r="U125" s="48" t="n">
        <f aca="false">U92*Input!$H$149</f>
        <v>0</v>
      </c>
      <c r="V125" s="48" t="n">
        <f aca="false">V92*Input!$H$149</f>
        <v>0</v>
      </c>
      <c r="W125" s="48" t="n">
        <f aca="false">W92*Input!$H$149</f>
        <v>0</v>
      </c>
      <c r="X125" s="48" t="n">
        <f aca="false">X92*Input!$H$149</f>
        <v>0</v>
      </c>
      <c r="Y125" s="48" t="n">
        <f aca="false">Y92*Input!$H$149</f>
        <v>0</v>
      </c>
      <c r="Z125" s="48" t="n">
        <f aca="false">Z92*Input!$H$149</f>
        <v>0.0230572769330498</v>
      </c>
      <c r="AA125" s="48" t="n">
        <f aca="false">AA92*Input!$H$149</f>
        <v>0.0220063705938601</v>
      </c>
      <c r="AB125" s="48" t="n">
        <f aca="false">AB92*Input!$H$149</f>
        <v>0.02089307507039</v>
      </c>
      <c r="AC125" s="48" t="n">
        <f aca="false">AC92*Input!$H$149</f>
        <v>0.0198323146179041</v>
      </c>
      <c r="AD125" s="48" t="n">
        <f aca="false">AD92*Input!$H$149</f>
        <v>0.0187489336414993</v>
      </c>
      <c r="AE125" s="48" t="n">
        <f aca="false">AE92*Input!$H$149</f>
        <v>0.0188322132723695</v>
      </c>
      <c r="AF125" s="48" t="n">
        <f aca="false">AF92*Input!$H$149</f>
        <v>0.0189095196477198</v>
      </c>
      <c r="AG125" s="48" t="n">
        <f aca="false">AG92*Input!$H$149</f>
        <v>0.0309751952631864</v>
      </c>
      <c r="AH125" s="48" t="n">
        <f aca="false">AH92*Input!$H$149</f>
        <v>0.0344802631514168</v>
      </c>
      <c r="AI125" s="48" t="n">
        <f aca="false">AI92*Input!$H$149</f>
        <v>0</v>
      </c>
      <c r="AJ125" s="48" t="n">
        <f aca="false">AJ92*Input!$H$149</f>
        <v>0</v>
      </c>
      <c r="AK125" s="48" t="n">
        <f aca="false">AK92*Input!$H$149</f>
        <v>0</v>
      </c>
      <c r="AL125" s="48" t="n">
        <f aca="false">AL92*Input!$H$149</f>
        <v>0</v>
      </c>
      <c r="AM125" s="48" t="n">
        <f aca="false">AM92*Input!$H$149</f>
        <v>0</v>
      </c>
      <c r="AN125" s="48" t="n">
        <f aca="false">AN92*Input!$H$149</f>
        <v>0</v>
      </c>
      <c r="AO125" s="48" t="n">
        <f aca="false">AO92*Input!$H$149</f>
        <v>0</v>
      </c>
      <c r="AP125" s="48" t="n">
        <f aca="false">AP92*Input!$H$149</f>
        <v>0</v>
      </c>
      <c r="AQ125" s="48" t="n">
        <f aca="false">AQ92*Input!$H$149</f>
        <v>0</v>
      </c>
      <c r="AR125" s="48" t="n">
        <f aca="false">AR92*Input!$H$149</f>
        <v>0</v>
      </c>
      <c r="AS125" s="48" t="n">
        <f aca="false">AS92*Input!$H$149</f>
        <v>0</v>
      </c>
      <c r="AT125" s="48" t="n">
        <f aca="false">AT92*Input!$H$149</f>
        <v>0</v>
      </c>
      <c r="AU125" s="48" t="n">
        <f aca="false">AU92*Input!$H$149</f>
        <v>0</v>
      </c>
      <c r="AV125" s="48" t="n">
        <f aca="false">AV92*Input!$H$149</f>
        <v>0</v>
      </c>
      <c r="AW125" s="48" t="n">
        <f aca="false">AW92*Input!$H$149</f>
        <v>0</v>
      </c>
      <c r="AX125" s="48" t="n">
        <f aca="false">AX92*Input!$H$149</f>
        <v>0</v>
      </c>
      <c r="AY125" s="48" t="n">
        <f aca="false">AY92*Input!$H$149</f>
        <v>0</v>
      </c>
      <c r="AZ125" s="48" t="n">
        <f aca="false">AZ92*Input!$H$149</f>
        <v>0</v>
      </c>
      <c r="BA125" s="48" t="n">
        <f aca="false">BA92*Input!$H$149</f>
        <v>0</v>
      </c>
      <c r="BB125" s="48" t="n">
        <f aca="false">BB92*Input!$H$149</f>
        <v>0</v>
      </c>
      <c r="BC125" s="48" t="n">
        <f aca="false">BC92*Input!$H$149</f>
        <v>0</v>
      </c>
      <c r="BD125" s="48" t="n">
        <f aca="false">BD92*Input!$H$149</f>
        <v>0</v>
      </c>
      <c r="BE125" s="48" t="n">
        <f aca="false">BE92*Input!$H$149</f>
        <v>0</v>
      </c>
      <c r="BF125" s="48" t="n">
        <f aca="false">BF92*Input!$H$149</f>
        <v>0</v>
      </c>
      <c r="BG125" s="48" t="n">
        <f aca="false">BG92*Input!$H$149</f>
        <v>0</v>
      </c>
      <c r="BH125" s="48" t="n">
        <f aca="false">BH92*Input!$H$149</f>
        <v>0</v>
      </c>
      <c r="BI125" s="48" t="n">
        <f aca="false">BI92*Input!$H$149</f>
        <v>0</v>
      </c>
      <c r="BJ125" s="48" t="n">
        <f aca="false">BJ92*Input!$H$149</f>
        <v>0</v>
      </c>
      <c r="BK125" s="48" t="n">
        <f aca="false">BK92*Input!$H$149</f>
        <v>0</v>
      </c>
      <c r="BL125" s="48" t="n">
        <f aca="false">BL92*Input!$H$149</f>
        <v>0</v>
      </c>
      <c r="BM125" s="48" t="n">
        <f aca="false">BM92*Input!$H$149</f>
        <v>0</v>
      </c>
      <c r="BN125" s="48" t="n">
        <f aca="false">BN92*Input!$H$149</f>
        <v>0</v>
      </c>
      <c r="BO125" s="48" t="n">
        <f aca="false">BO92*Input!$H$149</f>
        <v>0</v>
      </c>
      <c r="BP125" s="48" t="n">
        <f aca="false">BP92*Input!$H$149</f>
        <v>0</v>
      </c>
      <c r="BQ125" s="48" t="n">
        <f aca="false">BQ92*Input!$H$149</f>
        <v>0</v>
      </c>
      <c r="BR125" s="48" t="n">
        <f aca="false">BR92*Input!$H$149</f>
        <v>0</v>
      </c>
      <c r="BS125" s="48" t="n">
        <f aca="false">BS92*Input!$H$149</f>
        <v>0</v>
      </c>
      <c r="BT125" s="48" t="n">
        <f aca="false">BT92*Input!$H$149</f>
        <v>0</v>
      </c>
      <c r="BU125" s="48" t="n">
        <f aca="false">BU92*Input!$H$149</f>
        <v>0</v>
      </c>
      <c r="BV125" s="48" t="n">
        <f aca="false">BV92*Input!$H$149</f>
        <v>0</v>
      </c>
      <c r="BW125" s="48" t="n">
        <f aca="false">BW92*Input!$H$149</f>
        <v>0</v>
      </c>
      <c r="BX125" s="48" t="n">
        <f aca="false">BX92*Input!$H$149</f>
        <v>0</v>
      </c>
    </row>
    <row r="126" customFormat="false" ht="15" hidden="false" customHeight="false" outlineLevel="0" collapsed="false">
      <c r="A126" s="1"/>
      <c r="B126" s="8" t="s">
        <v>387</v>
      </c>
      <c r="C126" s="1"/>
      <c r="D126" s="48" t="n">
        <f aca="false">$D$20*1000/(1+Input!$H$154)</f>
        <v>166002.656042497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</row>
    <row r="127" customFormat="false" ht="15" hidden="false" customHeight="false" outlineLevel="0" collapsed="false">
      <c r="A127" s="1"/>
      <c r="B127" s="8" t="s">
        <v>388</v>
      </c>
      <c r="C127" s="1"/>
      <c r="D127" s="48" t="n">
        <f aca="false">$D$126*(1-Input!$H$153)</f>
        <v>143243.69189907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</row>
    <row r="128" customFormat="false" ht="15" hidden="false" customHeight="false" outlineLevel="0" collapsed="false">
      <c r="A128" s="1"/>
      <c r="B128" s="8" t="s">
        <v>389</v>
      </c>
      <c r="C128" s="1"/>
      <c r="D128" s="48" t="n">
        <f aca="false">MAX(Input!$H$156*MIN($D$127,Input!$H$155)+Input!$H$157*MAX($D$127-Input!$H$155,0)-Input!$H$158,0)</f>
        <v>18237.9814077025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</row>
    <row r="129" customFormat="false" ht="15" hidden="false" customHeight="false" outlineLevel="0" collapsed="false">
      <c r="A129" s="1"/>
      <c r="B129" s="8" t="s">
        <v>390</v>
      </c>
      <c r="C129" s="1"/>
      <c r="D129" s="48" t="n">
        <f aca="false">Input!$H$160*12*(1-Input!$H$153)</f>
        <v>93193.2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</row>
    <row r="130" customFormat="false" ht="15" hidden="false" customHeight="false" outlineLevel="0" collapsed="false">
      <c r="A130" s="1"/>
      <c r="B130" s="8" t="s">
        <v>391</v>
      </c>
      <c r="C130" s="8" t="s">
        <v>126</v>
      </c>
      <c r="D130" s="44" t="n">
        <f aca="false">SUM(G130:BX130)</f>
        <v>2.45179386741036</v>
      </c>
      <c r="E130" s="1"/>
      <c r="F130" s="1"/>
      <c r="G130" s="48" t="n">
        <f aca="false">(G38*$D$19*$D$127*Input!$H$159+G37*$D$32*G43/MAX($G$43:$BX$43)*$D$129*Input!$H$161)*Input!$H$150/1000000</f>
        <v>0</v>
      </c>
      <c r="H130" s="48" t="n">
        <f aca="false">(H38*$D$19*$D$127*Input!$H$159+H37*$D$32*H43/MAX($G$43:$BX$43)*$D$129*Input!$H$161)*Input!$H$150/1000000</f>
        <v>0</v>
      </c>
      <c r="I130" s="48" t="n">
        <f aca="false">(I38*$D$19*$D$127*Input!$H$159+I37*$D$32*I43/MAX($G$43:$BX$43)*$D$129*Input!$H$161)*Input!$H$150/1000000</f>
        <v>0.078282288</v>
      </c>
      <c r="J130" s="48" t="n">
        <f aca="false">(J38*$D$19*$D$127*Input!$H$159+J37*$D$32*J43/MAX($G$43:$BX$43)*$D$129*Input!$H$161)*Input!$H$150/1000000</f>
        <v>0.117423432</v>
      </c>
      <c r="K130" s="48" t="n">
        <f aca="false">(K38*$D$19*$D$127*Input!$H$159+K37*$D$32*K43/MAX($G$43:$BX$43)*$D$129*Input!$H$161)*Input!$H$150/1000000</f>
        <v>0.0902435258964143</v>
      </c>
      <c r="L130" s="48" t="n">
        <f aca="false">(L38*$D$19*$D$127*Input!$H$159+L37*$D$32*L43/MAX($G$43:$BX$43)*$D$129*Input!$H$161)*Input!$H$150/1000000</f>
        <v>0.0902435258964143</v>
      </c>
      <c r="M130" s="48" t="n">
        <f aca="false">(M38*$D$19*$D$127*Input!$H$159+M37*$D$32*M43/MAX($G$43:$BX$43)*$D$129*Input!$H$161)*Input!$H$150/1000000</f>
        <v>0.0902435258964143</v>
      </c>
      <c r="N130" s="48" t="n">
        <f aca="false">(N38*$D$19*$D$127*Input!$H$159+N37*$D$32*N43/MAX($G$43:$BX$43)*$D$129*Input!$H$161)*Input!$H$150/1000000</f>
        <v>0.0902435258964143</v>
      </c>
      <c r="O130" s="48" t="n">
        <f aca="false">(O38*$D$19*$D$127*Input!$H$159+O37*$D$32*O43/MAX($G$43:$BX$43)*$D$129*Input!$H$161)*Input!$H$150/1000000</f>
        <v>0.0902435258964143</v>
      </c>
      <c r="P130" s="48" t="n">
        <f aca="false">(P38*$D$19*$D$127*Input!$H$159+P37*$D$32*P43/MAX($G$43:$BX$43)*$D$129*Input!$H$161)*Input!$H$150/1000000</f>
        <v>0.0902435258964143</v>
      </c>
      <c r="Q130" s="48" t="n">
        <f aca="false">(Q38*$D$19*$D$127*Input!$H$159+Q37*$D$32*Q43/MAX($G$43:$BX$43)*$D$129*Input!$H$161)*Input!$H$150/1000000</f>
        <v>0.0902435258964143</v>
      </c>
      <c r="R130" s="48" t="n">
        <f aca="false">(R38*$D$19*$D$127*Input!$H$159+R37*$D$32*R43/MAX($G$43:$BX$43)*$D$129*Input!$H$161)*Input!$H$150/1000000</f>
        <v>0.0902435258964143</v>
      </c>
      <c r="S130" s="48" t="n">
        <f aca="false">(S38*$D$19*$D$127*Input!$H$159+S37*$D$32*S43/MAX($G$43:$BX$43)*$D$129*Input!$H$161)*Input!$H$150/1000000</f>
        <v>0.0902435258964143</v>
      </c>
      <c r="T130" s="48" t="n">
        <f aca="false">(T38*$D$19*$D$127*Input!$H$159+T37*$D$32*T43/MAX($G$43:$BX$43)*$D$129*Input!$H$161)*Input!$H$150/1000000</f>
        <v>0.0902435258964143</v>
      </c>
      <c r="U130" s="48" t="n">
        <f aca="false">(U38*$D$19*$D$127*Input!$H$159+U37*$D$32*U43/MAX($G$43:$BX$43)*$D$129*Input!$H$161)*Input!$H$150/1000000</f>
        <v>0.0902435258964143</v>
      </c>
      <c r="V130" s="48" t="n">
        <f aca="false">(V38*$D$19*$D$127*Input!$H$159+V37*$D$32*V43/MAX($G$43:$BX$43)*$D$129*Input!$H$161)*Input!$H$150/1000000</f>
        <v>0.0902435258964143</v>
      </c>
      <c r="W130" s="48" t="n">
        <f aca="false">(W38*$D$19*$D$127*Input!$H$159+W37*$D$32*W43/MAX($G$43:$BX$43)*$D$129*Input!$H$161)*Input!$H$150/1000000</f>
        <v>0.0902435258964143</v>
      </c>
      <c r="X130" s="48" t="n">
        <f aca="false">(X38*$D$19*$D$127*Input!$H$159+X37*$D$32*X43/MAX($G$43:$BX$43)*$D$129*Input!$H$161)*Input!$H$150/1000000</f>
        <v>0.0902435258964143</v>
      </c>
      <c r="Y130" s="48" t="n">
        <f aca="false">(Y38*$D$19*$D$127*Input!$H$159+Y37*$D$32*Y43/MAX($G$43:$BX$43)*$D$129*Input!$H$161)*Input!$H$150/1000000</f>
        <v>0.0902435258964143</v>
      </c>
      <c r="Z130" s="48" t="n">
        <f aca="false">(Z38*$D$19*$D$127*Input!$H$159+Z37*$D$32*Z43/MAX($G$43:$BX$43)*$D$129*Input!$H$161)*Input!$H$150/1000000</f>
        <v>0.0902435258964143</v>
      </c>
      <c r="AA130" s="48" t="n">
        <f aca="false">(AA38*$D$19*$D$127*Input!$H$159+AA37*$D$32*AA43/MAX($G$43:$BX$43)*$D$129*Input!$H$161)*Input!$H$150/1000000</f>
        <v>0.0902435258964143</v>
      </c>
      <c r="AB130" s="48" t="n">
        <f aca="false">(AB38*$D$19*$D$127*Input!$H$159+AB37*$D$32*AB43/MAX($G$43:$BX$43)*$D$129*Input!$H$161)*Input!$H$150/1000000</f>
        <v>0.0902435258964143</v>
      </c>
      <c r="AC130" s="48" t="n">
        <f aca="false">(AC38*$D$19*$D$127*Input!$H$159+AC37*$D$32*AC43/MAX($G$43:$BX$43)*$D$129*Input!$H$161)*Input!$H$150/1000000</f>
        <v>0.0902435258964143</v>
      </c>
      <c r="AD130" s="48" t="n">
        <f aca="false">(AD38*$D$19*$D$127*Input!$H$159+AD37*$D$32*AD43/MAX($G$43:$BX$43)*$D$129*Input!$H$161)*Input!$H$150/1000000</f>
        <v>0.0902435258964143</v>
      </c>
      <c r="AE130" s="48" t="n">
        <f aca="false">(AE38*$D$19*$D$127*Input!$H$159+AE37*$D$32*AE43/MAX($G$43:$BX$43)*$D$129*Input!$H$161)*Input!$H$150/1000000</f>
        <v>0.0902435258964143</v>
      </c>
      <c r="AF130" s="48" t="n">
        <f aca="false">(AF38*$D$19*$D$127*Input!$H$159+AF37*$D$32*AF43/MAX($G$43:$BX$43)*$D$129*Input!$H$161)*Input!$H$150/1000000</f>
        <v>0.0902435258964143</v>
      </c>
      <c r="AG130" s="48" t="n">
        <f aca="false">(AG38*$D$19*$D$127*Input!$H$159+AG37*$D$32*AG43/MAX($G$43:$BX$43)*$D$129*Input!$H$161)*Input!$H$150/1000000</f>
        <v>0.0902435258964143</v>
      </c>
      <c r="AH130" s="48" t="n">
        <f aca="false">(AH38*$D$19*$D$127*Input!$H$159+AH37*$D$32*AH43/MAX($G$43:$BX$43)*$D$129*Input!$H$161)*Input!$H$150/1000000</f>
        <v>0.0902435258964143</v>
      </c>
      <c r="AI130" s="48" t="n">
        <f aca="false">(AI38*$D$19*$D$127*Input!$H$159+AI37*$D$32*AI43/MAX($G$43:$BX$43)*$D$129*Input!$H$161)*Input!$H$150/1000000</f>
        <v>0.0902435258964143</v>
      </c>
      <c r="AJ130" s="48" t="n">
        <f aca="false">(AJ38*$D$19*$D$127*Input!$H$159+AJ37*$D$32*AJ43/MAX($G$43:$BX$43)*$D$129*Input!$H$161)*Input!$H$150/1000000</f>
        <v>0</v>
      </c>
      <c r="AK130" s="48" t="n">
        <f aca="false">(AK38*$D$19*$D$127*Input!$H$159+AK37*$D$32*AK43/MAX($G$43:$BX$43)*$D$129*Input!$H$161)*Input!$H$150/1000000</f>
        <v>0</v>
      </c>
      <c r="AL130" s="48" t="n">
        <f aca="false">(AL38*$D$19*$D$127*Input!$H$159+AL37*$D$32*AL43/MAX($G$43:$BX$43)*$D$129*Input!$H$161)*Input!$H$150/1000000</f>
        <v>0</v>
      </c>
      <c r="AM130" s="48" t="n">
        <f aca="false">(AM38*$D$19*$D$127*Input!$H$159+AM37*$D$32*AM43/MAX($G$43:$BX$43)*$D$129*Input!$H$161)*Input!$H$150/1000000</f>
        <v>0</v>
      </c>
      <c r="AN130" s="48" t="n">
        <f aca="false">(AN38*$D$19*$D$127*Input!$H$159+AN37*$D$32*AN43/MAX($G$43:$BX$43)*$D$129*Input!$H$161)*Input!$H$150/1000000</f>
        <v>0</v>
      </c>
      <c r="AO130" s="48" t="n">
        <f aca="false">(AO38*$D$19*$D$127*Input!$H$159+AO37*$D$32*AO43/MAX($G$43:$BX$43)*$D$129*Input!$H$161)*Input!$H$150/1000000</f>
        <v>0</v>
      </c>
      <c r="AP130" s="48" t="n">
        <f aca="false">(AP38*$D$19*$D$127*Input!$H$159+AP37*$D$32*AP43/MAX($G$43:$BX$43)*$D$129*Input!$H$161)*Input!$H$150/1000000</f>
        <v>0</v>
      </c>
      <c r="AQ130" s="48" t="n">
        <f aca="false">(AQ38*$D$19*$D$127*Input!$H$159+AQ37*$D$32*AQ43/MAX($G$43:$BX$43)*$D$129*Input!$H$161)*Input!$H$150/1000000</f>
        <v>0</v>
      </c>
      <c r="AR130" s="48" t="n">
        <f aca="false">(AR38*$D$19*$D$127*Input!$H$159+AR37*$D$32*AR43/MAX($G$43:$BX$43)*$D$129*Input!$H$161)*Input!$H$150/1000000</f>
        <v>0</v>
      </c>
      <c r="AS130" s="48" t="n">
        <f aca="false">(AS38*$D$19*$D$127*Input!$H$159+AS37*$D$32*AS43/MAX($G$43:$BX$43)*$D$129*Input!$H$161)*Input!$H$150/1000000</f>
        <v>0</v>
      </c>
      <c r="AT130" s="48" t="n">
        <f aca="false">(AT38*$D$19*$D$127*Input!$H$159+AT37*$D$32*AT43/MAX($G$43:$BX$43)*$D$129*Input!$H$161)*Input!$H$150/1000000</f>
        <v>0</v>
      </c>
      <c r="AU130" s="48" t="n">
        <f aca="false">(AU38*$D$19*$D$127*Input!$H$159+AU37*$D$32*AU43/MAX($G$43:$BX$43)*$D$129*Input!$H$161)*Input!$H$150/1000000</f>
        <v>0</v>
      </c>
      <c r="AV130" s="48" t="n">
        <f aca="false">(AV38*$D$19*$D$127*Input!$H$159+AV37*$D$32*AV43/MAX($G$43:$BX$43)*$D$129*Input!$H$161)*Input!$H$150/1000000</f>
        <v>0</v>
      </c>
      <c r="AW130" s="48" t="n">
        <f aca="false">(AW38*$D$19*$D$127*Input!$H$159+AW37*$D$32*AW43/MAX($G$43:$BX$43)*$D$129*Input!$H$161)*Input!$H$150/1000000</f>
        <v>0</v>
      </c>
      <c r="AX130" s="48" t="n">
        <f aca="false">(AX38*$D$19*$D$127*Input!$H$159+AX37*$D$32*AX43/MAX($G$43:$BX$43)*$D$129*Input!$H$161)*Input!$H$150/1000000</f>
        <v>0</v>
      </c>
      <c r="AY130" s="48" t="n">
        <f aca="false">(AY38*$D$19*$D$127*Input!$H$159+AY37*$D$32*AY43/MAX($G$43:$BX$43)*$D$129*Input!$H$161)*Input!$H$150/1000000</f>
        <v>0</v>
      </c>
      <c r="AZ130" s="48" t="n">
        <f aca="false">(AZ38*$D$19*$D$127*Input!$H$159+AZ37*$D$32*AZ43/MAX($G$43:$BX$43)*$D$129*Input!$H$161)*Input!$H$150/1000000</f>
        <v>0</v>
      </c>
      <c r="BA130" s="48" t="n">
        <f aca="false">(BA38*$D$19*$D$127*Input!$H$159+BA37*$D$32*BA43/MAX($G$43:$BX$43)*$D$129*Input!$H$161)*Input!$H$150/1000000</f>
        <v>0</v>
      </c>
      <c r="BB130" s="48" t="n">
        <f aca="false">(BB38*$D$19*$D$127*Input!$H$159+BB37*$D$32*BB43/MAX($G$43:$BX$43)*$D$129*Input!$H$161)*Input!$H$150/1000000</f>
        <v>0</v>
      </c>
      <c r="BC130" s="48" t="n">
        <f aca="false">(BC38*$D$19*$D$127*Input!$H$159+BC37*$D$32*BC43/MAX($G$43:$BX$43)*$D$129*Input!$H$161)*Input!$H$150/1000000</f>
        <v>0</v>
      </c>
      <c r="BD130" s="48" t="n">
        <f aca="false">(BD38*$D$19*$D$127*Input!$H$159+BD37*$D$32*BD43/MAX($G$43:$BX$43)*$D$129*Input!$H$161)*Input!$H$150/1000000</f>
        <v>0</v>
      </c>
      <c r="BE130" s="48" t="n">
        <f aca="false">(BE38*$D$19*$D$127*Input!$H$159+BE37*$D$32*BE43/MAX($G$43:$BX$43)*$D$129*Input!$H$161)*Input!$H$150/1000000</f>
        <v>0</v>
      </c>
      <c r="BF130" s="48" t="n">
        <f aca="false">(BF38*$D$19*$D$127*Input!$H$159+BF37*$D$32*BF43/MAX($G$43:$BX$43)*$D$129*Input!$H$161)*Input!$H$150/1000000</f>
        <v>0</v>
      </c>
      <c r="BG130" s="48" t="n">
        <f aca="false">(BG38*$D$19*$D$127*Input!$H$159+BG37*$D$32*BG43/MAX($G$43:$BX$43)*$D$129*Input!$H$161)*Input!$H$150/1000000</f>
        <v>0</v>
      </c>
      <c r="BH130" s="48" t="n">
        <f aca="false">(BH38*$D$19*$D$127*Input!$H$159+BH37*$D$32*BH43/MAX($G$43:$BX$43)*$D$129*Input!$H$161)*Input!$H$150/1000000</f>
        <v>0</v>
      </c>
      <c r="BI130" s="48" t="n">
        <f aca="false">(BI38*$D$19*$D$127*Input!$H$159+BI37*$D$32*BI43/MAX($G$43:$BX$43)*$D$129*Input!$H$161)*Input!$H$150/1000000</f>
        <v>0</v>
      </c>
      <c r="BJ130" s="48" t="n">
        <f aca="false">(BJ38*$D$19*$D$127*Input!$H$159+BJ37*$D$32*BJ43/MAX($G$43:$BX$43)*$D$129*Input!$H$161)*Input!$H$150/1000000</f>
        <v>0</v>
      </c>
      <c r="BK130" s="48" t="n">
        <f aca="false">(BK38*$D$19*$D$127*Input!$H$159+BK37*$D$32*BK43/MAX($G$43:$BX$43)*$D$129*Input!$H$161)*Input!$H$150/1000000</f>
        <v>0</v>
      </c>
      <c r="BL130" s="48" t="n">
        <f aca="false">(BL38*$D$19*$D$127*Input!$H$159+BL37*$D$32*BL43/MAX($G$43:$BX$43)*$D$129*Input!$H$161)*Input!$H$150/1000000</f>
        <v>0</v>
      </c>
      <c r="BM130" s="48" t="n">
        <f aca="false">(BM38*$D$19*$D$127*Input!$H$159+BM37*$D$32*BM43/MAX($G$43:$BX$43)*$D$129*Input!$H$161)*Input!$H$150/1000000</f>
        <v>0</v>
      </c>
      <c r="BN130" s="48" t="n">
        <f aca="false">(BN38*$D$19*$D$127*Input!$H$159+BN37*$D$32*BN43/MAX($G$43:$BX$43)*$D$129*Input!$H$161)*Input!$H$150/1000000</f>
        <v>0</v>
      </c>
      <c r="BO130" s="48" t="n">
        <f aca="false">(BO38*$D$19*$D$127*Input!$H$159+BO37*$D$32*BO43/MAX($G$43:$BX$43)*$D$129*Input!$H$161)*Input!$H$150/1000000</f>
        <v>0</v>
      </c>
      <c r="BP130" s="48" t="n">
        <f aca="false">(BP38*$D$19*$D$127*Input!$H$159+BP37*$D$32*BP43/MAX($G$43:$BX$43)*$D$129*Input!$H$161)*Input!$H$150/1000000</f>
        <v>0</v>
      </c>
      <c r="BQ130" s="48" t="n">
        <f aca="false">(BQ38*$D$19*$D$127*Input!$H$159+BQ37*$D$32*BQ43/MAX($G$43:$BX$43)*$D$129*Input!$H$161)*Input!$H$150/1000000</f>
        <v>0</v>
      </c>
      <c r="BR130" s="48" t="n">
        <f aca="false">(BR38*$D$19*$D$127*Input!$H$159+BR37*$D$32*BR43/MAX($G$43:$BX$43)*$D$129*Input!$H$161)*Input!$H$150/1000000</f>
        <v>0</v>
      </c>
      <c r="BS130" s="48" t="n">
        <f aca="false">(BS38*$D$19*$D$127*Input!$H$159+BS37*$D$32*BS43/MAX($G$43:$BX$43)*$D$129*Input!$H$161)*Input!$H$150/1000000</f>
        <v>0</v>
      </c>
      <c r="BT130" s="48" t="n">
        <f aca="false">(BT38*$D$19*$D$127*Input!$H$159+BT37*$D$32*BT43/MAX($G$43:$BX$43)*$D$129*Input!$H$161)*Input!$H$150/1000000</f>
        <v>0</v>
      </c>
      <c r="BU130" s="48" t="n">
        <f aca="false">(BU38*$D$19*$D$127*Input!$H$159+BU37*$D$32*BU43/MAX($G$43:$BX$43)*$D$129*Input!$H$161)*Input!$H$150/1000000</f>
        <v>0</v>
      </c>
      <c r="BV130" s="48" t="n">
        <f aca="false">(BV38*$D$19*$D$127*Input!$H$159+BV37*$D$32*BV43/MAX($G$43:$BX$43)*$D$129*Input!$H$161)*Input!$H$150/1000000</f>
        <v>0</v>
      </c>
      <c r="BW130" s="48" t="n">
        <f aca="false">(BW38*$D$19*$D$127*Input!$H$159+BW37*$D$32*BW43/MAX($G$43:$BX$43)*$D$129*Input!$H$161)*Input!$H$150/1000000</f>
        <v>0</v>
      </c>
      <c r="BX130" s="48" t="n">
        <f aca="false">(BX38*$D$19*$D$127*Input!$H$159+BX37*$D$32*BX43/MAX($G$43:$BX$43)*$D$129*Input!$H$161)*Input!$H$150/1000000</f>
        <v>0</v>
      </c>
    </row>
    <row r="131" customFormat="false" ht="15" hidden="false" customHeight="false" outlineLevel="0" collapsed="false">
      <c r="A131" s="1"/>
      <c r="B131" s="8" t="s">
        <v>392</v>
      </c>
      <c r="C131" s="8" t="s">
        <v>126</v>
      </c>
      <c r="D131" s="44" t="n">
        <f aca="false">SUM(G131:BX131)</f>
        <v>0.700512533545817</v>
      </c>
      <c r="E131" s="1"/>
      <c r="F131" s="1"/>
      <c r="G131" s="48" t="n">
        <f aca="false">(G38*$D$19*$D$127*Input!$H$159+G37*$D$32*G43/MAX($G$43:$BX$43)*$D$129*Input!$H$161)*Input!$H$151/1000000</f>
        <v>0</v>
      </c>
      <c r="H131" s="48" t="n">
        <f aca="false">(H38*$D$19*$D$127*Input!$H$159+H37*$D$32*H43/MAX($G$43:$BX$43)*$D$129*Input!$H$161)*Input!$H$151/1000000</f>
        <v>0</v>
      </c>
      <c r="I131" s="48" t="n">
        <f aca="false">(I38*$D$19*$D$127*Input!$H$159+I37*$D$32*I43/MAX($G$43:$BX$43)*$D$129*Input!$H$161)*Input!$H$151/1000000</f>
        <v>0.022366368</v>
      </c>
      <c r="J131" s="48" t="n">
        <f aca="false">(J38*$D$19*$D$127*Input!$H$159+J37*$D$32*J43/MAX($G$43:$BX$43)*$D$129*Input!$H$161)*Input!$H$151/1000000</f>
        <v>0.033549552</v>
      </c>
      <c r="K131" s="48" t="n">
        <f aca="false">(K38*$D$19*$D$127*Input!$H$159+K37*$D$32*K43/MAX($G$43:$BX$43)*$D$129*Input!$H$161)*Input!$H$151/1000000</f>
        <v>0.0257838645418327</v>
      </c>
      <c r="L131" s="48" t="n">
        <f aca="false">(L38*$D$19*$D$127*Input!$H$159+L37*$D$32*L43/MAX($G$43:$BX$43)*$D$129*Input!$H$161)*Input!$H$151/1000000</f>
        <v>0.0257838645418327</v>
      </c>
      <c r="M131" s="48" t="n">
        <f aca="false">(M38*$D$19*$D$127*Input!$H$159+M37*$D$32*M43/MAX($G$43:$BX$43)*$D$129*Input!$H$161)*Input!$H$151/1000000</f>
        <v>0.0257838645418327</v>
      </c>
      <c r="N131" s="48" t="n">
        <f aca="false">(N38*$D$19*$D$127*Input!$H$159+N37*$D$32*N43/MAX($G$43:$BX$43)*$D$129*Input!$H$161)*Input!$H$151/1000000</f>
        <v>0.0257838645418327</v>
      </c>
      <c r="O131" s="48" t="n">
        <f aca="false">(O38*$D$19*$D$127*Input!$H$159+O37*$D$32*O43/MAX($G$43:$BX$43)*$D$129*Input!$H$161)*Input!$H$151/1000000</f>
        <v>0.0257838645418327</v>
      </c>
      <c r="P131" s="48" t="n">
        <f aca="false">(P38*$D$19*$D$127*Input!$H$159+P37*$D$32*P43/MAX($G$43:$BX$43)*$D$129*Input!$H$161)*Input!$H$151/1000000</f>
        <v>0.0257838645418327</v>
      </c>
      <c r="Q131" s="48" t="n">
        <f aca="false">(Q38*$D$19*$D$127*Input!$H$159+Q37*$D$32*Q43/MAX($G$43:$BX$43)*$D$129*Input!$H$161)*Input!$H$151/1000000</f>
        <v>0.0257838645418327</v>
      </c>
      <c r="R131" s="48" t="n">
        <f aca="false">(R38*$D$19*$D$127*Input!$H$159+R37*$D$32*R43/MAX($G$43:$BX$43)*$D$129*Input!$H$161)*Input!$H$151/1000000</f>
        <v>0.0257838645418327</v>
      </c>
      <c r="S131" s="48" t="n">
        <f aca="false">(S38*$D$19*$D$127*Input!$H$159+S37*$D$32*S43/MAX($G$43:$BX$43)*$D$129*Input!$H$161)*Input!$H$151/1000000</f>
        <v>0.0257838645418327</v>
      </c>
      <c r="T131" s="48" t="n">
        <f aca="false">(T38*$D$19*$D$127*Input!$H$159+T37*$D$32*T43/MAX($G$43:$BX$43)*$D$129*Input!$H$161)*Input!$H$151/1000000</f>
        <v>0.0257838645418327</v>
      </c>
      <c r="U131" s="48" t="n">
        <f aca="false">(U38*$D$19*$D$127*Input!$H$159+U37*$D$32*U43/MAX($G$43:$BX$43)*$D$129*Input!$H$161)*Input!$H$151/1000000</f>
        <v>0.0257838645418327</v>
      </c>
      <c r="V131" s="48" t="n">
        <f aca="false">(V38*$D$19*$D$127*Input!$H$159+V37*$D$32*V43/MAX($G$43:$BX$43)*$D$129*Input!$H$161)*Input!$H$151/1000000</f>
        <v>0.0257838645418327</v>
      </c>
      <c r="W131" s="48" t="n">
        <f aca="false">(W38*$D$19*$D$127*Input!$H$159+W37*$D$32*W43/MAX($G$43:$BX$43)*$D$129*Input!$H$161)*Input!$H$151/1000000</f>
        <v>0.0257838645418327</v>
      </c>
      <c r="X131" s="48" t="n">
        <f aca="false">(X38*$D$19*$D$127*Input!$H$159+X37*$D$32*X43/MAX($G$43:$BX$43)*$D$129*Input!$H$161)*Input!$H$151/1000000</f>
        <v>0.0257838645418327</v>
      </c>
      <c r="Y131" s="48" t="n">
        <f aca="false">(Y38*$D$19*$D$127*Input!$H$159+Y37*$D$32*Y43/MAX($G$43:$BX$43)*$D$129*Input!$H$161)*Input!$H$151/1000000</f>
        <v>0.0257838645418327</v>
      </c>
      <c r="Z131" s="48" t="n">
        <f aca="false">(Z38*$D$19*$D$127*Input!$H$159+Z37*$D$32*Z43/MAX($G$43:$BX$43)*$D$129*Input!$H$161)*Input!$H$151/1000000</f>
        <v>0.0257838645418327</v>
      </c>
      <c r="AA131" s="48" t="n">
        <f aca="false">(AA38*$D$19*$D$127*Input!$H$159+AA37*$D$32*AA43/MAX($G$43:$BX$43)*$D$129*Input!$H$161)*Input!$H$151/1000000</f>
        <v>0.0257838645418327</v>
      </c>
      <c r="AB131" s="48" t="n">
        <f aca="false">(AB38*$D$19*$D$127*Input!$H$159+AB37*$D$32*AB43/MAX($G$43:$BX$43)*$D$129*Input!$H$161)*Input!$H$151/1000000</f>
        <v>0.0257838645418327</v>
      </c>
      <c r="AC131" s="48" t="n">
        <f aca="false">(AC38*$D$19*$D$127*Input!$H$159+AC37*$D$32*AC43/MAX($G$43:$BX$43)*$D$129*Input!$H$161)*Input!$H$151/1000000</f>
        <v>0.0257838645418327</v>
      </c>
      <c r="AD131" s="48" t="n">
        <f aca="false">(AD38*$D$19*$D$127*Input!$H$159+AD37*$D$32*AD43/MAX($G$43:$BX$43)*$D$129*Input!$H$161)*Input!$H$151/1000000</f>
        <v>0.0257838645418327</v>
      </c>
      <c r="AE131" s="48" t="n">
        <f aca="false">(AE38*$D$19*$D$127*Input!$H$159+AE37*$D$32*AE43/MAX($G$43:$BX$43)*$D$129*Input!$H$161)*Input!$H$151/1000000</f>
        <v>0.0257838645418327</v>
      </c>
      <c r="AF131" s="48" t="n">
        <f aca="false">(AF38*$D$19*$D$127*Input!$H$159+AF37*$D$32*AF43/MAX($G$43:$BX$43)*$D$129*Input!$H$161)*Input!$H$151/1000000</f>
        <v>0.0257838645418327</v>
      </c>
      <c r="AG131" s="48" t="n">
        <f aca="false">(AG38*$D$19*$D$127*Input!$H$159+AG37*$D$32*AG43/MAX($G$43:$BX$43)*$D$129*Input!$H$161)*Input!$H$151/1000000</f>
        <v>0.0257838645418327</v>
      </c>
      <c r="AH131" s="48" t="n">
        <f aca="false">(AH38*$D$19*$D$127*Input!$H$159+AH37*$D$32*AH43/MAX($G$43:$BX$43)*$D$129*Input!$H$161)*Input!$H$151/1000000</f>
        <v>0.0257838645418327</v>
      </c>
      <c r="AI131" s="48" t="n">
        <f aca="false">(AI38*$D$19*$D$127*Input!$H$159+AI37*$D$32*AI43/MAX($G$43:$BX$43)*$D$129*Input!$H$161)*Input!$H$151/1000000</f>
        <v>0.0257838645418327</v>
      </c>
      <c r="AJ131" s="48" t="n">
        <f aca="false">(AJ38*$D$19*$D$127*Input!$H$159+AJ37*$D$32*AJ43/MAX($G$43:$BX$43)*$D$129*Input!$H$161)*Input!$H$151/1000000</f>
        <v>0</v>
      </c>
      <c r="AK131" s="48" t="n">
        <f aca="false">(AK38*$D$19*$D$127*Input!$H$159+AK37*$D$32*AK43/MAX($G$43:$BX$43)*$D$129*Input!$H$161)*Input!$H$151/1000000</f>
        <v>0</v>
      </c>
      <c r="AL131" s="48" t="n">
        <f aca="false">(AL38*$D$19*$D$127*Input!$H$159+AL37*$D$32*AL43/MAX($G$43:$BX$43)*$D$129*Input!$H$161)*Input!$H$151/1000000</f>
        <v>0</v>
      </c>
      <c r="AM131" s="48" t="n">
        <f aca="false">(AM38*$D$19*$D$127*Input!$H$159+AM37*$D$32*AM43/MAX($G$43:$BX$43)*$D$129*Input!$H$161)*Input!$H$151/1000000</f>
        <v>0</v>
      </c>
      <c r="AN131" s="48" t="n">
        <f aca="false">(AN38*$D$19*$D$127*Input!$H$159+AN37*$D$32*AN43/MAX($G$43:$BX$43)*$D$129*Input!$H$161)*Input!$H$151/1000000</f>
        <v>0</v>
      </c>
      <c r="AO131" s="48" t="n">
        <f aca="false">(AO38*$D$19*$D$127*Input!$H$159+AO37*$D$32*AO43/MAX($G$43:$BX$43)*$D$129*Input!$H$161)*Input!$H$151/1000000</f>
        <v>0</v>
      </c>
      <c r="AP131" s="48" t="n">
        <f aca="false">(AP38*$D$19*$D$127*Input!$H$159+AP37*$D$32*AP43/MAX($G$43:$BX$43)*$D$129*Input!$H$161)*Input!$H$151/1000000</f>
        <v>0</v>
      </c>
      <c r="AQ131" s="48" t="n">
        <f aca="false">(AQ38*$D$19*$D$127*Input!$H$159+AQ37*$D$32*AQ43/MAX($G$43:$BX$43)*$D$129*Input!$H$161)*Input!$H$151/1000000</f>
        <v>0</v>
      </c>
      <c r="AR131" s="48" t="n">
        <f aca="false">(AR38*$D$19*$D$127*Input!$H$159+AR37*$D$32*AR43/MAX($G$43:$BX$43)*$D$129*Input!$H$161)*Input!$H$151/1000000</f>
        <v>0</v>
      </c>
      <c r="AS131" s="48" t="n">
        <f aca="false">(AS38*$D$19*$D$127*Input!$H$159+AS37*$D$32*AS43/MAX($G$43:$BX$43)*$D$129*Input!$H$161)*Input!$H$151/1000000</f>
        <v>0</v>
      </c>
      <c r="AT131" s="48" t="n">
        <f aca="false">(AT38*$D$19*$D$127*Input!$H$159+AT37*$D$32*AT43/MAX($G$43:$BX$43)*$D$129*Input!$H$161)*Input!$H$151/1000000</f>
        <v>0</v>
      </c>
      <c r="AU131" s="48" t="n">
        <f aca="false">(AU38*$D$19*$D$127*Input!$H$159+AU37*$D$32*AU43/MAX($G$43:$BX$43)*$D$129*Input!$H$161)*Input!$H$151/1000000</f>
        <v>0</v>
      </c>
      <c r="AV131" s="48" t="n">
        <f aca="false">(AV38*$D$19*$D$127*Input!$H$159+AV37*$D$32*AV43/MAX($G$43:$BX$43)*$D$129*Input!$H$161)*Input!$H$151/1000000</f>
        <v>0</v>
      </c>
      <c r="AW131" s="48" t="n">
        <f aca="false">(AW38*$D$19*$D$127*Input!$H$159+AW37*$D$32*AW43/MAX($G$43:$BX$43)*$D$129*Input!$H$161)*Input!$H$151/1000000</f>
        <v>0</v>
      </c>
      <c r="AX131" s="48" t="n">
        <f aca="false">(AX38*$D$19*$D$127*Input!$H$159+AX37*$D$32*AX43/MAX($G$43:$BX$43)*$D$129*Input!$H$161)*Input!$H$151/1000000</f>
        <v>0</v>
      </c>
      <c r="AY131" s="48" t="n">
        <f aca="false">(AY38*$D$19*$D$127*Input!$H$159+AY37*$D$32*AY43/MAX($G$43:$BX$43)*$D$129*Input!$H$161)*Input!$H$151/1000000</f>
        <v>0</v>
      </c>
      <c r="AZ131" s="48" t="n">
        <f aca="false">(AZ38*$D$19*$D$127*Input!$H$159+AZ37*$D$32*AZ43/MAX($G$43:$BX$43)*$D$129*Input!$H$161)*Input!$H$151/1000000</f>
        <v>0</v>
      </c>
      <c r="BA131" s="48" t="n">
        <f aca="false">(BA38*$D$19*$D$127*Input!$H$159+BA37*$D$32*BA43/MAX($G$43:$BX$43)*$D$129*Input!$H$161)*Input!$H$151/1000000</f>
        <v>0</v>
      </c>
      <c r="BB131" s="48" t="n">
        <f aca="false">(BB38*$D$19*$D$127*Input!$H$159+BB37*$D$32*BB43/MAX($G$43:$BX$43)*$D$129*Input!$H$161)*Input!$H$151/1000000</f>
        <v>0</v>
      </c>
      <c r="BC131" s="48" t="n">
        <f aca="false">(BC38*$D$19*$D$127*Input!$H$159+BC37*$D$32*BC43/MAX($G$43:$BX$43)*$D$129*Input!$H$161)*Input!$H$151/1000000</f>
        <v>0</v>
      </c>
      <c r="BD131" s="48" t="n">
        <f aca="false">(BD38*$D$19*$D$127*Input!$H$159+BD37*$D$32*BD43/MAX($G$43:$BX$43)*$D$129*Input!$H$161)*Input!$H$151/1000000</f>
        <v>0</v>
      </c>
      <c r="BE131" s="48" t="n">
        <f aca="false">(BE38*$D$19*$D$127*Input!$H$159+BE37*$D$32*BE43/MAX($G$43:$BX$43)*$D$129*Input!$H$161)*Input!$H$151/1000000</f>
        <v>0</v>
      </c>
      <c r="BF131" s="48" t="n">
        <f aca="false">(BF38*$D$19*$D$127*Input!$H$159+BF37*$D$32*BF43/MAX($G$43:$BX$43)*$D$129*Input!$H$161)*Input!$H$151/1000000</f>
        <v>0</v>
      </c>
      <c r="BG131" s="48" t="n">
        <f aca="false">(BG38*$D$19*$D$127*Input!$H$159+BG37*$D$32*BG43/MAX($G$43:$BX$43)*$D$129*Input!$H$161)*Input!$H$151/1000000</f>
        <v>0</v>
      </c>
      <c r="BH131" s="48" t="n">
        <f aca="false">(BH38*$D$19*$D$127*Input!$H$159+BH37*$D$32*BH43/MAX($G$43:$BX$43)*$D$129*Input!$H$161)*Input!$H$151/1000000</f>
        <v>0</v>
      </c>
      <c r="BI131" s="48" t="n">
        <f aca="false">(BI38*$D$19*$D$127*Input!$H$159+BI37*$D$32*BI43/MAX($G$43:$BX$43)*$D$129*Input!$H$161)*Input!$H$151/1000000</f>
        <v>0</v>
      </c>
      <c r="BJ131" s="48" t="n">
        <f aca="false">(BJ38*$D$19*$D$127*Input!$H$159+BJ37*$D$32*BJ43/MAX($G$43:$BX$43)*$D$129*Input!$H$161)*Input!$H$151/1000000</f>
        <v>0</v>
      </c>
      <c r="BK131" s="48" t="n">
        <f aca="false">(BK38*$D$19*$D$127*Input!$H$159+BK37*$D$32*BK43/MAX($G$43:$BX$43)*$D$129*Input!$H$161)*Input!$H$151/1000000</f>
        <v>0</v>
      </c>
      <c r="BL131" s="48" t="n">
        <f aca="false">(BL38*$D$19*$D$127*Input!$H$159+BL37*$D$32*BL43/MAX($G$43:$BX$43)*$D$129*Input!$H$161)*Input!$H$151/1000000</f>
        <v>0</v>
      </c>
      <c r="BM131" s="48" t="n">
        <f aca="false">(BM38*$D$19*$D$127*Input!$H$159+BM37*$D$32*BM43/MAX($G$43:$BX$43)*$D$129*Input!$H$161)*Input!$H$151/1000000</f>
        <v>0</v>
      </c>
      <c r="BN131" s="48" t="n">
        <f aca="false">(BN38*$D$19*$D$127*Input!$H$159+BN37*$D$32*BN43/MAX($G$43:$BX$43)*$D$129*Input!$H$161)*Input!$H$151/1000000</f>
        <v>0</v>
      </c>
      <c r="BO131" s="48" t="n">
        <f aca="false">(BO38*$D$19*$D$127*Input!$H$159+BO37*$D$32*BO43/MAX($G$43:$BX$43)*$D$129*Input!$H$161)*Input!$H$151/1000000</f>
        <v>0</v>
      </c>
      <c r="BP131" s="48" t="n">
        <f aca="false">(BP38*$D$19*$D$127*Input!$H$159+BP37*$D$32*BP43/MAX($G$43:$BX$43)*$D$129*Input!$H$161)*Input!$H$151/1000000</f>
        <v>0</v>
      </c>
      <c r="BQ131" s="48" t="n">
        <f aca="false">(BQ38*$D$19*$D$127*Input!$H$159+BQ37*$D$32*BQ43/MAX($G$43:$BX$43)*$D$129*Input!$H$161)*Input!$H$151/1000000</f>
        <v>0</v>
      </c>
      <c r="BR131" s="48" t="n">
        <f aca="false">(BR38*$D$19*$D$127*Input!$H$159+BR37*$D$32*BR43/MAX($G$43:$BX$43)*$D$129*Input!$H$161)*Input!$H$151/1000000</f>
        <v>0</v>
      </c>
      <c r="BS131" s="48" t="n">
        <f aca="false">(BS38*$D$19*$D$127*Input!$H$159+BS37*$D$32*BS43/MAX($G$43:$BX$43)*$D$129*Input!$H$161)*Input!$H$151/1000000</f>
        <v>0</v>
      </c>
      <c r="BT131" s="48" t="n">
        <f aca="false">(BT38*$D$19*$D$127*Input!$H$159+BT37*$D$32*BT43/MAX($G$43:$BX$43)*$D$129*Input!$H$161)*Input!$H$151/1000000</f>
        <v>0</v>
      </c>
      <c r="BU131" s="48" t="n">
        <f aca="false">(BU38*$D$19*$D$127*Input!$H$159+BU37*$D$32*BU43/MAX($G$43:$BX$43)*$D$129*Input!$H$161)*Input!$H$151/1000000</f>
        <v>0</v>
      </c>
      <c r="BV131" s="48" t="n">
        <f aca="false">(BV38*$D$19*$D$127*Input!$H$159+BV37*$D$32*BV43/MAX($G$43:$BX$43)*$D$129*Input!$H$161)*Input!$H$151/1000000</f>
        <v>0</v>
      </c>
      <c r="BW131" s="48" t="n">
        <f aca="false">(BW38*$D$19*$D$127*Input!$H$159+BW37*$D$32*BW43/MAX($G$43:$BX$43)*$D$129*Input!$H$161)*Input!$H$151/1000000</f>
        <v>0</v>
      </c>
      <c r="BX131" s="48" t="n">
        <f aca="false">(BX38*$D$19*$D$127*Input!$H$159+BX37*$D$32*BX43/MAX($G$43:$BX$43)*$D$129*Input!$H$161)*Input!$H$151/1000000</f>
        <v>0</v>
      </c>
    </row>
    <row r="132" customFormat="false" ht="15" hidden="false" customHeight="false" outlineLevel="0" collapsed="false">
      <c r="A132" s="1"/>
      <c r="B132" s="8" t="s">
        <v>393</v>
      </c>
      <c r="C132" s="8" t="s">
        <v>126</v>
      </c>
      <c r="D132" s="44" t="n">
        <f aca="false">SUM(G132:BX132)</f>
        <v>0.112804407370518</v>
      </c>
      <c r="E132" s="1"/>
      <c r="F132" s="1"/>
      <c r="G132" s="48" t="n">
        <f aca="false">G38*$D$19*$D$127*Input!$H$159*Input!$H$152/1000000</f>
        <v>0</v>
      </c>
      <c r="H132" s="48" t="n">
        <f aca="false">H38*$D$19*$D$127*Input!$H$159*Input!$H$152/1000000</f>
        <v>0</v>
      </c>
      <c r="I132" s="48" t="n">
        <f aca="false">I38*$D$19*$D$127*Input!$H$159*Input!$H$152/1000000</f>
        <v>0</v>
      </c>
      <c r="J132" s="48" t="n">
        <f aca="false">J38*$D$19*$D$127*Input!$H$159*Input!$H$152/1000000</f>
        <v>0</v>
      </c>
      <c r="K132" s="48" t="n">
        <f aca="false">K38*$D$19*$D$127*Input!$H$159*Input!$H$152/1000000</f>
        <v>0.00451217629482072</v>
      </c>
      <c r="L132" s="48" t="n">
        <f aca="false">L38*$D$19*$D$127*Input!$H$159*Input!$H$152/1000000</f>
        <v>0.00451217629482072</v>
      </c>
      <c r="M132" s="48" t="n">
        <f aca="false">M38*$D$19*$D$127*Input!$H$159*Input!$H$152/1000000</f>
        <v>0.00451217629482072</v>
      </c>
      <c r="N132" s="48" t="n">
        <f aca="false">N38*$D$19*$D$127*Input!$H$159*Input!$H$152/1000000</f>
        <v>0.00451217629482072</v>
      </c>
      <c r="O132" s="48" t="n">
        <f aca="false">O38*$D$19*$D$127*Input!$H$159*Input!$H$152/1000000</f>
        <v>0.00451217629482072</v>
      </c>
      <c r="P132" s="48" t="n">
        <f aca="false">P38*$D$19*$D$127*Input!$H$159*Input!$H$152/1000000</f>
        <v>0.00451217629482072</v>
      </c>
      <c r="Q132" s="48" t="n">
        <f aca="false">Q38*$D$19*$D$127*Input!$H$159*Input!$H$152/1000000</f>
        <v>0.00451217629482072</v>
      </c>
      <c r="R132" s="48" t="n">
        <f aca="false">R38*$D$19*$D$127*Input!$H$159*Input!$H$152/1000000</f>
        <v>0.00451217629482072</v>
      </c>
      <c r="S132" s="48" t="n">
        <f aca="false">S38*$D$19*$D$127*Input!$H$159*Input!$H$152/1000000</f>
        <v>0.00451217629482072</v>
      </c>
      <c r="T132" s="48" t="n">
        <f aca="false">T38*$D$19*$D$127*Input!$H$159*Input!$H$152/1000000</f>
        <v>0.00451217629482072</v>
      </c>
      <c r="U132" s="48" t="n">
        <f aca="false">U38*$D$19*$D$127*Input!$H$159*Input!$H$152/1000000</f>
        <v>0.00451217629482072</v>
      </c>
      <c r="V132" s="48" t="n">
        <f aca="false">V38*$D$19*$D$127*Input!$H$159*Input!$H$152/1000000</f>
        <v>0.00451217629482072</v>
      </c>
      <c r="W132" s="48" t="n">
        <f aca="false">W38*$D$19*$D$127*Input!$H$159*Input!$H$152/1000000</f>
        <v>0.00451217629482072</v>
      </c>
      <c r="X132" s="48" t="n">
        <f aca="false">X38*$D$19*$D$127*Input!$H$159*Input!$H$152/1000000</f>
        <v>0.00451217629482072</v>
      </c>
      <c r="Y132" s="48" t="n">
        <f aca="false">Y38*$D$19*$D$127*Input!$H$159*Input!$H$152/1000000</f>
        <v>0.00451217629482072</v>
      </c>
      <c r="Z132" s="48" t="n">
        <f aca="false">Z38*$D$19*$D$127*Input!$H$159*Input!$H$152/1000000</f>
        <v>0.00451217629482072</v>
      </c>
      <c r="AA132" s="48" t="n">
        <f aca="false">AA38*$D$19*$D$127*Input!$H$159*Input!$H$152/1000000</f>
        <v>0.00451217629482072</v>
      </c>
      <c r="AB132" s="48" t="n">
        <f aca="false">AB38*$D$19*$D$127*Input!$H$159*Input!$H$152/1000000</f>
        <v>0.00451217629482072</v>
      </c>
      <c r="AC132" s="48" t="n">
        <f aca="false">AC38*$D$19*$D$127*Input!$H$159*Input!$H$152/1000000</f>
        <v>0.00451217629482072</v>
      </c>
      <c r="AD132" s="48" t="n">
        <f aca="false">AD38*$D$19*$D$127*Input!$H$159*Input!$H$152/1000000</f>
        <v>0.00451217629482072</v>
      </c>
      <c r="AE132" s="48" t="n">
        <f aca="false">AE38*$D$19*$D$127*Input!$H$159*Input!$H$152/1000000</f>
        <v>0.00451217629482072</v>
      </c>
      <c r="AF132" s="48" t="n">
        <f aca="false">AF38*$D$19*$D$127*Input!$H$159*Input!$H$152/1000000</f>
        <v>0.00451217629482072</v>
      </c>
      <c r="AG132" s="48" t="n">
        <f aca="false">AG38*$D$19*$D$127*Input!$H$159*Input!$H$152/1000000</f>
        <v>0.00451217629482072</v>
      </c>
      <c r="AH132" s="48" t="n">
        <f aca="false">AH38*$D$19*$D$127*Input!$H$159*Input!$H$152/1000000</f>
        <v>0.00451217629482072</v>
      </c>
      <c r="AI132" s="48" t="n">
        <f aca="false">AI38*$D$19*$D$127*Input!$H$159*Input!$H$152/1000000</f>
        <v>0.00451217629482072</v>
      </c>
      <c r="AJ132" s="48" t="n">
        <f aca="false">AJ38*$D$19*$D$127*Input!$H$159*Input!$H$152/1000000</f>
        <v>0</v>
      </c>
      <c r="AK132" s="48" t="n">
        <f aca="false">AK38*$D$19*$D$127*Input!$H$159*Input!$H$152/1000000</f>
        <v>0</v>
      </c>
      <c r="AL132" s="48" t="n">
        <f aca="false">AL38*$D$19*$D$127*Input!$H$159*Input!$H$152/1000000</f>
        <v>0</v>
      </c>
      <c r="AM132" s="48" t="n">
        <f aca="false">AM38*$D$19*$D$127*Input!$H$159*Input!$H$152/1000000</f>
        <v>0</v>
      </c>
      <c r="AN132" s="48" t="n">
        <f aca="false">AN38*$D$19*$D$127*Input!$H$159*Input!$H$152/1000000</f>
        <v>0</v>
      </c>
      <c r="AO132" s="48" t="n">
        <f aca="false">AO38*$D$19*$D$127*Input!$H$159*Input!$H$152/1000000</f>
        <v>0</v>
      </c>
      <c r="AP132" s="48" t="n">
        <f aca="false">AP38*$D$19*$D$127*Input!$H$159*Input!$H$152/1000000</f>
        <v>0</v>
      </c>
      <c r="AQ132" s="48" t="n">
        <f aca="false">AQ38*$D$19*$D$127*Input!$H$159*Input!$H$152/1000000</f>
        <v>0</v>
      </c>
      <c r="AR132" s="48" t="n">
        <f aca="false">AR38*$D$19*$D$127*Input!$H$159*Input!$H$152/1000000</f>
        <v>0</v>
      </c>
      <c r="AS132" s="48" t="n">
        <f aca="false">AS38*$D$19*$D$127*Input!$H$159*Input!$H$152/1000000</f>
        <v>0</v>
      </c>
      <c r="AT132" s="48" t="n">
        <f aca="false">AT38*$D$19*$D$127*Input!$H$159*Input!$H$152/1000000</f>
        <v>0</v>
      </c>
      <c r="AU132" s="48" t="n">
        <f aca="false">AU38*$D$19*$D$127*Input!$H$159*Input!$H$152/1000000</f>
        <v>0</v>
      </c>
      <c r="AV132" s="48" t="n">
        <f aca="false">AV38*$D$19*$D$127*Input!$H$159*Input!$H$152/1000000</f>
        <v>0</v>
      </c>
      <c r="AW132" s="48" t="n">
        <f aca="false">AW38*$D$19*$D$127*Input!$H$159*Input!$H$152/1000000</f>
        <v>0</v>
      </c>
      <c r="AX132" s="48" t="n">
        <f aca="false">AX38*$D$19*$D$127*Input!$H$159*Input!$H$152/1000000</f>
        <v>0</v>
      </c>
      <c r="AY132" s="48" t="n">
        <f aca="false">AY38*$D$19*$D$127*Input!$H$159*Input!$H$152/1000000</f>
        <v>0</v>
      </c>
      <c r="AZ132" s="48" t="n">
        <f aca="false">AZ38*$D$19*$D$127*Input!$H$159*Input!$H$152/1000000</f>
        <v>0</v>
      </c>
      <c r="BA132" s="48" t="n">
        <f aca="false">BA38*$D$19*$D$127*Input!$H$159*Input!$H$152/1000000</f>
        <v>0</v>
      </c>
      <c r="BB132" s="48" t="n">
        <f aca="false">BB38*$D$19*$D$127*Input!$H$159*Input!$H$152/1000000</f>
        <v>0</v>
      </c>
      <c r="BC132" s="48" t="n">
        <f aca="false">BC38*$D$19*$D$127*Input!$H$159*Input!$H$152/1000000</f>
        <v>0</v>
      </c>
      <c r="BD132" s="48" t="n">
        <f aca="false">BD38*$D$19*$D$127*Input!$H$159*Input!$H$152/1000000</f>
        <v>0</v>
      </c>
      <c r="BE132" s="48" t="n">
        <f aca="false">BE38*$D$19*$D$127*Input!$H$159*Input!$H$152/1000000</f>
        <v>0</v>
      </c>
      <c r="BF132" s="48" t="n">
        <f aca="false">BF38*$D$19*$D$127*Input!$H$159*Input!$H$152/1000000</f>
        <v>0</v>
      </c>
      <c r="BG132" s="48" t="n">
        <f aca="false">BG38*$D$19*$D$127*Input!$H$159*Input!$H$152/1000000</f>
        <v>0</v>
      </c>
      <c r="BH132" s="48" t="n">
        <f aca="false">BH38*$D$19*$D$127*Input!$H$159*Input!$H$152/1000000</f>
        <v>0</v>
      </c>
      <c r="BI132" s="48" t="n">
        <f aca="false">BI38*$D$19*$D$127*Input!$H$159*Input!$H$152/1000000</f>
        <v>0</v>
      </c>
      <c r="BJ132" s="48" t="n">
        <f aca="false">BJ38*$D$19*$D$127*Input!$H$159*Input!$H$152/1000000</f>
        <v>0</v>
      </c>
      <c r="BK132" s="48" t="n">
        <f aca="false">BK38*$D$19*$D$127*Input!$H$159*Input!$H$152/1000000</f>
        <v>0</v>
      </c>
      <c r="BL132" s="48" t="n">
        <f aca="false">BL38*$D$19*$D$127*Input!$H$159*Input!$H$152/1000000</f>
        <v>0</v>
      </c>
      <c r="BM132" s="48" t="n">
        <f aca="false">BM38*$D$19*$D$127*Input!$H$159*Input!$H$152/1000000</f>
        <v>0</v>
      </c>
      <c r="BN132" s="48" t="n">
        <f aca="false">BN38*$D$19*$D$127*Input!$H$159*Input!$H$152/1000000</f>
        <v>0</v>
      </c>
      <c r="BO132" s="48" t="n">
        <f aca="false">BO38*$D$19*$D$127*Input!$H$159*Input!$H$152/1000000</f>
        <v>0</v>
      </c>
      <c r="BP132" s="48" t="n">
        <f aca="false">BP38*$D$19*$D$127*Input!$H$159*Input!$H$152/1000000</f>
        <v>0</v>
      </c>
      <c r="BQ132" s="48" t="n">
        <f aca="false">BQ38*$D$19*$D$127*Input!$H$159*Input!$H$152/1000000</f>
        <v>0</v>
      </c>
      <c r="BR132" s="48" t="n">
        <f aca="false">BR38*$D$19*$D$127*Input!$H$159*Input!$H$152/1000000</f>
        <v>0</v>
      </c>
      <c r="BS132" s="48" t="n">
        <f aca="false">BS38*$D$19*$D$127*Input!$H$159*Input!$H$152/1000000</f>
        <v>0</v>
      </c>
      <c r="BT132" s="48" t="n">
        <f aca="false">BT38*$D$19*$D$127*Input!$H$159*Input!$H$152/1000000</f>
        <v>0</v>
      </c>
      <c r="BU132" s="48" t="n">
        <f aca="false">BU38*$D$19*$D$127*Input!$H$159*Input!$H$152/1000000</f>
        <v>0</v>
      </c>
      <c r="BV132" s="48" t="n">
        <f aca="false">BV38*$D$19*$D$127*Input!$H$159*Input!$H$152/1000000</f>
        <v>0</v>
      </c>
      <c r="BW132" s="48" t="n">
        <f aca="false">BW38*$D$19*$D$127*Input!$H$159*Input!$H$152/1000000</f>
        <v>0</v>
      </c>
      <c r="BX132" s="48" t="n">
        <f aca="false">BX38*$D$19*$D$127*Input!$H$159*Input!$H$152/1000000</f>
        <v>0</v>
      </c>
    </row>
    <row r="133" customFormat="false" ht="15" hidden="false" customHeight="false" outlineLevel="0" collapsed="false">
      <c r="A133" s="1"/>
      <c r="B133" s="4" t="s">
        <v>394</v>
      </c>
      <c r="C133" s="8" t="s">
        <v>126</v>
      </c>
      <c r="D133" s="44" t="n">
        <f aca="false">SUM(G133:BX133)</f>
        <v>20.1869007684449</v>
      </c>
      <c r="E133" s="1"/>
      <c r="F133" s="1"/>
      <c r="G133" s="44" t="n">
        <f aca="false">G121+G122+G123+G124+G125+G130+G131+G132</f>
        <v>0</v>
      </c>
      <c r="H133" s="44" t="n">
        <f aca="false">H121+H122+H123+H124+H125+H130+H131+H132</f>
        <v>0</v>
      </c>
      <c r="I133" s="44" t="n">
        <f aca="false">I121+I122+I123+I124+I125+I130+I131+I132</f>
        <v>0.100648656</v>
      </c>
      <c r="J133" s="44" t="n">
        <f aca="false">J121+J122+J123+J124+J125+J130+J131+J132</f>
        <v>0.150972984</v>
      </c>
      <c r="K133" s="44" t="n">
        <f aca="false">K121+K122+K123+K124+K125+K130+K131+K132</f>
        <v>0.777179566733068</v>
      </c>
      <c r="L133" s="44" t="n">
        <f aca="false">L121+L122+L123+L124+L125+L130+L131+L132</f>
        <v>0.777179566733068</v>
      </c>
      <c r="M133" s="44" t="n">
        <f aca="false">M121+M122+M123+M124+M125+M130+M131+M132</f>
        <v>0.777179566733068</v>
      </c>
      <c r="N133" s="44" t="n">
        <f aca="false">N121+N122+N123+N124+N125+N130+N131+N132</f>
        <v>0.777179566733068</v>
      </c>
      <c r="O133" s="44" t="n">
        <f aca="false">O121+O122+O123+O124+O125+O130+O131+O132</f>
        <v>0.777179566733068</v>
      </c>
      <c r="P133" s="44" t="n">
        <f aca="false">P121+P122+P123+P124+P125+P130+P131+P132</f>
        <v>0.777179566733068</v>
      </c>
      <c r="Q133" s="44" t="n">
        <f aca="false">Q121+Q122+Q123+Q124+Q125+Q130+Q131+Q132</f>
        <v>0.777179566733068</v>
      </c>
      <c r="R133" s="44" t="n">
        <f aca="false">R121+R122+R123+R124+R125+R130+R131+R132</f>
        <v>0.777179566733068</v>
      </c>
      <c r="S133" s="44" t="n">
        <f aca="false">S121+S122+S123+S124+S125+S130+S131+S132</f>
        <v>0.777179566733068</v>
      </c>
      <c r="T133" s="44" t="n">
        <f aca="false">T121+T122+T123+T124+T125+T130+T131+T132</f>
        <v>0.777179566733068</v>
      </c>
      <c r="U133" s="44" t="n">
        <f aca="false">U121+U122+U123+U124+U125+U130+U131+U132</f>
        <v>0.777179566733068</v>
      </c>
      <c r="V133" s="44" t="n">
        <f aca="false">V121+V122+V123+V124+V125+V130+V131+V132</f>
        <v>0.777179566733068</v>
      </c>
      <c r="W133" s="44" t="n">
        <f aca="false">W121+W122+W123+W124+W125+W130+W131+W132</f>
        <v>0.777179566733068</v>
      </c>
      <c r="X133" s="44" t="n">
        <f aca="false">X121+X122+X123+X124+X125+X130+X131+X132</f>
        <v>0.777179566733068</v>
      </c>
      <c r="Y133" s="44" t="n">
        <f aca="false">Y121+Y122+Y123+Y124+Y125+Y130+Y131+Y132</f>
        <v>0.777179566733068</v>
      </c>
      <c r="Z133" s="44" t="n">
        <f aca="false">Z121+Z122+Z123+Z124+Z125+Z130+Z131+Z132</f>
        <v>0.833319023613537</v>
      </c>
      <c r="AA133" s="44" t="n">
        <f aca="false">AA121+AA122+AA123+AA124+AA125+AA130+AA131+AA132</f>
        <v>0.83076029513551</v>
      </c>
      <c r="AB133" s="44" t="n">
        <f aca="false">AB121+AB122+AB123+AB124+AB125+AB130+AB131+AB132</f>
        <v>0.828049662556626</v>
      </c>
      <c r="AC133" s="44" t="n">
        <f aca="false">AC121+AC122+AC123+AC124+AC125+AC130+AC131+AC132</f>
        <v>0.825466941454921</v>
      </c>
      <c r="AD133" s="44" t="n">
        <f aca="false">AD121+AD122+AD123+AD124+AD125+AD130+AD131+AD132</f>
        <v>0.822829144294979</v>
      </c>
      <c r="AE133" s="44" t="n">
        <f aca="false">AE121+AE122+AE123+AE124+AE125+AE130+AE131+AE132</f>
        <v>0.82303191209188</v>
      </c>
      <c r="AF133" s="44" t="n">
        <f aca="false">AF121+AF122+AF123+AF124+AF125+AF130+AF131+AF132</f>
        <v>0.823220136310125</v>
      </c>
      <c r="AG133" s="44" t="n">
        <f aca="false">AG121+AG122+AG123+AG124+AG125+AG130+AG131+AG132</f>
        <v>0.852597433460826</v>
      </c>
      <c r="AH133" s="44" t="n">
        <f aca="false">AH121+AH122+AH123+AH124+AH125+AH130+AH131+AH132</f>
        <v>0.861131511797387</v>
      </c>
      <c r="AI133" s="44" t="n">
        <f aca="false">AI121+AI122+AI123+AI124+AI125+AI130+AI131+AI132</f>
        <v>0.777179566733068</v>
      </c>
      <c r="AJ133" s="44" t="n">
        <f aca="false">AJ121+AJ122+AJ123+AJ124+AJ125+AJ130+AJ131+AJ132</f>
        <v>0</v>
      </c>
      <c r="AK133" s="44" t="n">
        <f aca="false">AK121+AK122+AK123+AK124+AK125+AK130+AK131+AK132</f>
        <v>0</v>
      </c>
      <c r="AL133" s="44" t="n">
        <f aca="false">AL121+AL122+AL123+AL124+AL125+AL130+AL131+AL132</f>
        <v>0</v>
      </c>
      <c r="AM133" s="44" t="n">
        <f aca="false">AM121+AM122+AM123+AM124+AM125+AM130+AM131+AM132</f>
        <v>0</v>
      </c>
      <c r="AN133" s="44" t="n">
        <f aca="false">AN121+AN122+AN123+AN124+AN125+AN130+AN131+AN132</f>
        <v>0</v>
      </c>
      <c r="AO133" s="44" t="n">
        <f aca="false">AO121+AO122+AO123+AO124+AO125+AO130+AO131+AO132</f>
        <v>0</v>
      </c>
      <c r="AP133" s="44" t="n">
        <f aca="false">AP121+AP122+AP123+AP124+AP125+AP130+AP131+AP132</f>
        <v>0</v>
      </c>
      <c r="AQ133" s="44" t="n">
        <f aca="false">AQ121+AQ122+AQ123+AQ124+AQ125+AQ130+AQ131+AQ132</f>
        <v>0</v>
      </c>
      <c r="AR133" s="44" t="n">
        <f aca="false">AR121+AR122+AR123+AR124+AR125+AR130+AR131+AR132</f>
        <v>0</v>
      </c>
      <c r="AS133" s="44" t="n">
        <f aca="false">AS121+AS122+AS123+AS124+AS125+AS130+AS131+AS132</f>
        <v>0</v>
      </c>
      <c r="AT133" s="44" t="n">
        <f aca="false">AT121+AT122+AT123+AT124+AT125+AT130+AT131+AT132</f>
        <v>0</v>
      </c>
      <c r="AU133" s="44" t="n">
        <f aca="false">AU121+AU122+AU123+AU124+AU125+AU130+AU131+AU132</f>
        <v>0</v>
      </c>
      <c r="AV133" s="44" t="n">
        <f aca="false">AV121+AV122+AV123+AV124+AV125+AV130+AV131+AV132</f>
        <v>0</v>
      </c>
      <c r="AW133" s="44" t="n">
        <f aca="false">AW121+AW122+AW123+AW124+AW125+AW130+AW131+AW132</f>
        <v>0</v>
      </c>
      <c r="AX133" s="44" t="n">
        <f aca="false">AX121+AX122+AX123+AX124+AX125+AX130+AX131+AX132</f>
        <v>0</v>
      </c>
      <c r="AY133" s="44" t="n">
        <f aca="false">AY121+AY122+AY123+AY124+AY125+AY130+AY131+AY132</f>
        <v>0</v>
      </c>
      <c r="AZ133" s="44" t="n">
        <f aca="false">AZ121+AZ122+AZ123+AZ124+AZ125+AZ130+AZ131+AZ132</f>
        <v>0</v>
      </c>
      <c r="BA133" s="44" t="n">
        <f aca="false">BA121+BA122+BA123+BA124+BA125+BA130+BA131+BA132</f>
        <v>0</v>
      </c>
      <c r="BB133" s="44" t="n">
        <f aca="false">BB121+BB122+BB123+BB124+BB125+BB130+BB131+BB132</f>
        <v>0</v>
      </c>
      <c r="BC133" s="44" t="n">
        <f aca="false">BC121+BC122+BC123+BC124+BC125+BC130+BC131+BC132</f>
        <v>0</v>
      </c>
      <c r="BD133" s="44" t="n">
        <f aca="false">BD121+BD122+BD123+BD124+BD125+BD130+BD131+BD132</f>
        <v>0</v>
      </c>
      <c r="BE133" s="44" t="n">
        <f aca="false">BE121+BE122+BE123+BE124+BE125+BE130+BE131+BE132</f>
        <v>0</v>
      </c>
      <c r="BF133" s="44" t="n">
        <f aca="false">BF121+BF122+BF123+BF124+BF125+BF130+BF131+BF132</f>
        <v>0</v>
      </c>
      <c r="BG133" s="44" t="n">
        <f aca="false">BG121+BG122+BG123+BG124+BG125+BG130+BG131+BG132</f>
        <v>0</v>
      </c>
      <c r="BH133" s="44" t="n">
        <f aca="false">BH121+BH122+BH123+BH124+BH125+BH130+BH131+BH132</f>
        <v>0</v>
      </c>
      <c r="BI133" s="44" t="n">
        <f aca="false">BI121+BI122+BI123+BI124+BI125+BI130+BI131+BI132</f>
        <v>0</v>
      </c>
      <c r="BJ133" s="44" t="n">
        <f aca="false">BJ121+BJ122+BJ123+BJ124+BJ125+BJ130+BJ131+BJ132</f>
        <v>0</v>
      </c>
      <c r="BK133" s="44" t="n">
        <f aca="false">BK121+BK122+BK123+BK124+BK125+BK130+BK131+BK132</f>
        <v>0</v>
      </c>
      <c r="BL133" s="44" t="n">
        <f aca="false">BL121+BL122+BL123+BL124+BL125+BL130+BL131+BL132</f>
        <v>0</v>
      </c>
      <c r="BM133" s="44" t="n">
        <f aca="false">BM121+BM122+BM123+BM124+BM125+BM130+BM131+BM132</f>
        <v>0</v>
      </c>
      <c r="BN133" s="44" t="n">
        <f aca="false">BN121+BN122+BN123+BN124+BN125+BN130+BN131+BN132</f>
        <v>0</v>
      </c>
      <c r="BO133" s="44" t="n">
        <f aca="false">BO121+BO122+BO123+BO124+BO125+BO130+BO131+BO132</f>
        <v>0</v>
      </c>
      <c r="BP133" s="44" t="n">
        <f aca="false">BP121+BP122+BP123+BP124+BP125+BP130+BP131+BP132</f>
        <v>0</v>
      </c>
      <c r="BQ133" s="44" t="n">
        <f aca="false">BQ121+BQ122+BQ123+BQ124+BQ125+BQ130+BQ131+BQ132</f>
        <v>0</v>
      </c>
      <c r="BR133" s="44" t="n">
        <f aca="false">BR121+BR122+BR123+BR124+BR125+BR130+BR131+BR132</f>
        <v>0</v>
      </c>
      <c r="BS133" s="44" t="n">
        <f aca="false">BS121+BS122+BS123+BS124+BS125+BS130+BS131+BS132</f>
        <v>0</v>
      </c>
      <c r="BT133" s="44" t="n">
        <f aca="false">BT121+BT122+BT123+BT124+BT125+BT130+BT131+BT132</f>
        <v>0</v>
      </c>
      <c r="BU133" s="44" t="n">
        <f aca="false">BU121+BU122+BU123+BU124+BU125+BU130+BU131+BU132</f>
        <v>0</v>
      </c>
      <c r="BV133" s="44" t="n">
        <f aca="false">BV121+BV122+BV123+BV124+BV125+BV130+BV131+BV132</f>
        <v>0</v>
      </c>
      <c r="BW133" s="44" t="n">
        <f aca="false">BW121+BW122+BW123+BW124+BW125+BW130+BW131+BW132</f>
        <v>0</v>
      </c>
      <c r="BX133" s="44" t="n">
        <f aca="false">BX121+BX122+BX123+BX124+BX125+BX130+BX131+BX132</f>
        <v>0</v>
      </c>
    </row>
    <row r="134" customFormat="false" ht="15" hidden="false" customHeight="false" outlineLevel="0" collapsed="false">
      <c r="A134" s="1"/>
      <c r="B134" s="8" t="s">
        <v>395</v>
      </c>
      <c r="C134" s="8" t="s">
        <v>126</v>
      </c>
      <c r="D134" s="44" t="n">
        <f aca="false">SUM(G134:BX134)</f>
        <v>6.83924302788845</v>
      </c>
      <c r="E134" s="1"/>
      <c r="F134" s="1"/>
      <c r="G134" s="48" t="n">
        <f aca="false">G38*$D$19*$D$128/1000000</f>
        <v>0</v>
      </c>
      <c r="H134" s="48" t="n">
        <f aca="false">H38*$D$19*$D$128/1000000</f>
        <v>0</v>
      </c>
      <c r="I134" s="48" t="n">
        <f aca="false">I38*$D$19*$D$128/1000000</f>
        <v>0</v>
      </c>
      <c r="J134" s="48" t="n">
        <f aca="false">J38*$D$19*$D$128/1000000</f>
        <v>0</v>
      </c>
      <c r="K134" s="48" t="n">
        <f aca="false">K38*$D$19*$D$128/1000000</f>
        <v>0.273569721115538</v>
      </c>
      <c r="L134" s="48" t="n">
        <f aca="false">L38*$D$19*$D$128/1000000</f>
        <v>0.273569721115538</v>
      </c>
      <c r="M134" s="48" t="n">
        <f aca="false">M38*$D$19*$D$128/1000000</f>
        <v>0.273569721115538</v>
      </c>
      <c r="N134" s="48" t="n">
        <f aca="false">N38*$D$19*$D$128/1000000</f>
        <v>0.273569721115538</v>
      </c>
      <c r="O134" s="48" t="n">
        <f aca="false">O38*$D$19*$D$128/1000000</f>
        <v>0.273569721115538</v>
      </c>
      <c r="P134" s="48" t="n">
        <f aca="false">P38*$D$19*$D$128/1000000</f>
        <v>0.273569721115538</v>
      </c>
      <c r="Q134" s="48" t="n">
        <f aca="false">Q38*$D$19*$D$128/1000000</f>
        <v>0.273569721115538</v>
      </c>
      <c r="R134" s="48" t="n">
        <f aca="false">R38*$D$19*$D$128/1000000</f>
        <v>0.273569721115538</v>
      </c>
      <c r="S134" s="48" t="n">
        <f aca="false">S38*$D$19*$D$128/1000000</f>
        <v>0.273569721115538</v>
      </c>
      <c r="T134" s="48" t="n">
        <f aca="false">T38*$D$19*$D$128/1000000</f>
        <v>0.273569721115538</v>
      </c>
      <c r="U134" s="48" t="n">
        <f aca="false">U38*$D$19*$D$128/1000000</f>
        <v>0.273569721115538</v>
      </c>
      <c r="V134" s="48" t="n">
        <f aca="false">V38*$D$19*$D$128/1000000</f>
        <v>0.273569721115538</v>
      </c>
      <c r="W134" s="48" t="n">
        <f aca="false">W38*$D$19*$D$128/1000000</f>
        <v>0.273569721115538</v>
      </c>
      <c r="X134" s="48" t="n">
        <f aca="false">X38*$D$19*$D$128/1000000</f>
        <v>0.273569721115538</v>
      </c>
      <c r="Y134" s="48" t="n">
        <f aca="false">Y38*$D$19*$D$128/1000000</f>
        <v>0.273569721115538</v>
      </c>
      <c r="Z134" s="48" t="n">
        <f aca="false">Z38*$D$19*$D$128/1000000</f>
        <v>0.273569721115538</v>
      </c>
      <c r="AA134" s="48" t="n">
        <f aca="false">AA38*$D$19*$D$128/1000000</f>
        <v>0.273569721115538</v>
      </c>
      <c r="AB134" s="48" t="n">
        <f aca="false">AB38*$D$19*$D$128/1000000</f>
        <v>0.273569721115538</v>
      </c>
      <c r="AC134" s="48" t="n">
        <f aca="false">AC38*$D$19*$D$128/1000000</f>
        <v>0.273569721115538</v>
      </c>
      <c r="AD134" s="48" t="n">
        <f aca="false">AD38*$D$19*$D$128/1000000</f>
        <v>0.273569721115538</v>
      </c>
      <c r="AE134" s="48" t="n">
        <f aca="false">AE38*$D$19*$D$128/1000000</f>
        <v>0.273569721115538</v>
      </c>
      <c r="AF134" s="48" t="n">
        <f aca="false">AF38*$D$19*$D$128/1000000</f>
        <v>0.273569721115538</v>
      </c>
      <c r="AG134" s="48" t="n">
        <f aca="false">AG38*$D$19*$D$128/1000000</f>
        <v>0.273569721115538</v>
      </c>
      <c r="AH134" s="48" t="n">
        <f aca="false">AH38*$D$19*$D$128/1000000</f>
        <v>0.273569721115538</v>
      </c>
      <c r="AI134" s="48" t="n">
        <f aca="false">AI38*$D$19*$D$128/1000000</f>
        <v>0.273569721115538</v>
      </c>
      <c r="AJ134" s="48" t="n">
        <f aca="false">AJ38*$D$19*$D$128/1000000</f>
        <v>0</v>
      </c>
      <c r="AK134" s="48" t="n">
        <f aca="false">AK38*$D$19*$D$128/1000000</f>
        <v>0</v>
      </c>
      <c r="AL134" s="48" t="n">
        <f aca="false">AL38*$D$19*$D$128/1000000</f>
        <v>0</v>
      </c>
      <c r="AM134" s="48" t="n">
        <f aca="false">AM38*$D$19*$D$128/1000000</f>
        <v>0</v>
      </c>
      <c r="AN134" s="48" t="n">
        <f aca="false">AN38*$D$19*$D$128/1000000</f>
        <v>0</v>
      </c>
      <c r="AO134" s="48" t="n">
        <f aca="false">AO38*$D$19*$D$128/1000000</f>
        <v>0</v>
      </c>
      <c r="AP134" s="48" t="n">
        <f aca="false">AP38*$D$19*$D$128/1000000</f>
        <v>0</v>
      </c>
      <c r="AQ134" s="48" t="n">
        <f aca="false">AQ38*$D$19*$D$128/1000000</f>
        <v>0</v>
      </c>
      <c r="AR134" s="48" t="n">
        <f aca="false">AR38*$D$19*$D$128/1000000</f>
        <v>0</v>
      </c>
      <c r="AS134" s="48" t="n">
        <f aca="false">AS38*$D$19*$D$128/1000000</f>
        <v>0</v>
      </c>
      <c r="AT134" s="48" t="n">
        <f aca="false">AT38*$D$19*$D$128/1000000</f>
        <v>0</v>
      </c>
      <c r="AU134" s="48" t="n">
        <f aca="false">AU38*$D$19*$D$128/1000000</f>
        <v>0</v>
      </c>
      <c r="AV134" s="48" t="n">
        <f aca="false">AV38*$D$19*$D$128/1000000</f>
        <v>0</v>
      </c>
      <c r="AW134" s="48" t="n">
        <f aca="false">AW38*$D$19*$D$128/1000000</f>
        <v>0</v>
      </c>
      <c r="AX134" s="48" t="n">
        <f aca="false">AX38*$D$19*$D$128/1000000</f>
        <v>0</v>
      </c>
      <c r="AY134" s="48" t="n">
        <f aca="false">AY38*$D$19*$D$128/1000000</f>
        <v>0</v>
      </c>
      <c r="AZ134" s="48" t="n">
        <f aca="false">AZ38*$D$19*$D$128/1000000</f>
        <v>0</v>
      </c>
      <c r="BA134" s="48" t="n">
        <f aca="false">BA38*$D$19*$D$128/1000000</f>
        <v>0</v>
      </c>
      <c r="BB134" s="48" t="n">
        <f aca="false">BB38*$D$19*$D$128/1000000</f>
        <v>0</v>
      </c>
      <c r="BC134" s="48" t="n">
        <f aca="false">BC38*$D$19*$D$128/1000000</f>
        <v>0</v>
      </c>
      <c r="BD134" s="48" t="n">
        <f aca="false">BD38*$D$19*$D$128/1000000</f>
        <v>0</v>
      </c>
      <c r="BE134" s="48" t="n">
        <f aca="false">BE38*$D$19*$D$128/1000000</f>
        <v>0</v>
      </c>
      <c r="BF134" s="48" t="n">
        <f aca="false">BF38*$D$19*$D$128/1000000</f>
        <v>0</v>
      </c>
      <c r="BG134" s="48" t="n">
        <f aca="false">BG38*$D$19*$D$128/1000000</f>
        <v>0</v>
      </c>
      <c r="BH134" s="48" t="n">
        <f aca="false">BH38*$D$19*$D$128/1000000</f>
        <v>0</v>
      </c>
      <c r="BI134" s="48" t="n">
        <f aca="false">BI38*$D$19*$D$128/1000000</f>
        <v>0</v>
      </c>
      <c r="BJ134" s="48" t="n">
        <f aca="false">BJ38*$D$19*$D$128/1000000</f>
        <v>0</v>
      </c>
      <c r="BK134" s="48" t="n">
        <f aca="false">BK38*$D$19*$D$128/1000000</f>
        <v>0</v>
      </c>
      <c r="BL134" s="48" t="n">
        <f aca="false">BL38*$D$19*$D$128/1000000</f>
        <v>0</v>
      </c>
      <c r="BM134" s="48" t="n">
        <f aca="false">BM38*$D$19*$D$128/1000000</f>
        <v>0</v>
      </c>
      <c r="BN134" s="48" t="n">
        <f aca="false">BN38*$D$19*$D$128/1000000</f>
        <v>0</v>
      </c>
      <c r="BO134" s="48" t="n">
        <f aca="false">BO38*$D$19*$D$128/1000000</f>
        <v>0</v>
      </c>
      <c r="BP134" s="48" t="n">
        <f aca="false">BP38*$D$19*$D$128/1000000</f>
        <v>0</v>
      </c>
      <c r="BQ134" s="48" t="n">
        <f aca="false">BQ38*$D$19*$D$128/1000000</f>
        <v>0</v>
      </c>
      <c r="BR134" s="48" t="n">
        <f aca="false">BR38*$D$19*$D$128/1000000</f>
        <v>0</v>
      </c>
      <c r="BS134" s="48" t="n">
        <f aca="false">BS38*$D$19*$D$128/1000000</f>
        <v>0</v>
      </c>
      <c r="BT134" s="48" t="n">
        <f aca="false">BT38*$D$19*$D$128/1000000</f>
        <v>0</v>
      </c>
      <c r="BU134" s="48" t="n">
        <f aca="false">BU38*$D$19*$D$128/1000000</f>
        <v>0</v>
      </c>
      <c r="BV134" s="48" t="n">
        <f aca="false">BV38*$D$19*$D$128/1000000</f>
        <v>0</v>
      </c>
      <c r="BW134" s="48" t="n">
        <f aca="false">BW38*$D$19*$D$128/1000000</f>
        <v>0</v>
      </c>
      <c r="BX134" s="48" t="n">
        <f aca="false">BX38*$D$19*$D$128/1000000</f>
        <v>0</v>
      </c>
    </row>
    <row r="135" customFormat="false" ht="15" hidden="false" customHeight="false" outlineLevel="0" collapsed="false">
      <c r="A135" s="1"/>
      <c r="B135" s="4" t="s">
        <v>396</v>
      </c>
      <c r="C135" s="1"/>
      <c r="D135" s="46" t="n">
        <f aca="false">IFERROR(SUMIF($G$38:$BX$38,1,$G$133:$BX$133)/COUNTIF($G$38:$BX$38,1),0)</f>
        <v>0.797411165137795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</row>
    <row r="136" customFormat="false" ht="15" hidden="false" customHeight="false" outlineLevel="0" collapsed="false">
      <c r="A136" s="1"/>
      <c r="B136" s="8" t="s">
        <v>397</v>
      </c>
      <c r="C136" s="1"/>
      <c r="D136" s="48" t="n">
        <f aca="false">SUM($G$93:$BX$93)</f>
        <v>1.7160730789724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</row>
    <row r="137" customFormat="false" ht="15" hidden="false" customHeight="false" outlineLevel="0" collapsed="false">
      <c r="A137" s="1"/>
      <c r="B137" s="8" t="s">
        <v>398</v>
      </c>
      <c r="C137" s="1"/>
      <c r="D137" s="48" t="n">
        <f aca="false">SUM($G$69:$BX$69)</f>
        <v>396.619543891139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</row>
    <row r="138" customFormat="false" ht="15" hidden="false" customHeight="false" outlineLevel="0" collapsed="false">
      <c r="A138" s="1"/>
      <c r="B138" s="8" t="s">
        <v>399</v>
      </c>
      <c r="C138" s="1"/>
      <c r="D138" s="48" t="n">
        <f aca="false">SUM($G$72:$BX$72)</f>
        <v>0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</row>
    <row r="139" customFormat="false" ht="15" hidden="false" customHeight="false" outlineLevel="0" collapsed="false">
      <c r="A139" s="1"/>
      <c r="B139" s="8" t="s">
        <v>400</v>
      </c>
      <c r="C139" s="1"/>
      <c r="D139" s="48" t="n">
        <f aca="false">SUM($G$60:$BX$60)</f>
        <v>0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</row>
    <row r="140" customFormat="false" ht="15" hidden="false" customHeight="false" outlineLevel="0" collapsed="false">
      <c r="A140" s="1"/>
      <c r="B140" s="8" t="s">
        <v>401</v>
      </c>
      <c r="C140" s="1"/>
      <c r="D140" s="48" t="n">
        <f aca="false">SUM($G$121:$BX$121)</f>
        <v>16.416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</row>
    <row r="141" customFormat="false" ht="15" hidden="false" customHeight="false" outlineLevel="0" collapsed="false">
      <c r="A141" s="1"/>
      <c r="B141" s="8" t="s">
        <v>402</v>
      </c>
      <c r="C141" s="1"/>
      <c r="D141" s="48" t="n">
        <f aca="false">SUM($G$122:$BX$122)</f>
        <v>0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</row>
    <row r="142" customFormat="false" ht="15" hidden="false" customHeight="false" outlineLevel="0" collapsed="false">
      <c r="A142" s="1"/>
      <c r="B142" s="8" t="s">
        <v>403</v>
      </c>
      <c r="C142" s="1"/>
      <c r="D142" s="48" t="n">
        <f aca="false">SUM($G$123:$BX$123)+SUM($G$124:$BX$124)+SUM($G$125:$BX$125)</f>
        <v>0.505789960118181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</row>
    <row r="143" customFormat="false" ht="15" hidden="false" customHeight="false" outlineLevel="0" collapsed="false">
      <c r="A143" s="1"/>
      <c r="B143" s="8" t="s">
        <v>404</v>
      </c>
      <c r="C143" s="1"/>
      <c r="D143" s="48" t="n">
        <f aca="false">SUM($G$130:$BX$130)+SUM($G$131:$BX$131)+SUM($G$132:$BX$132)</f>
        <v>3.26511080832669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4"/>
    <col collapsed="false" customWidth="true" hidden="false" outlineLevel="0" max="8" min="3" style="0" width="2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4" t="s">
        <v>431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22.35" hidden="false" customHeight="false" outlineLevel="0" collapsed="false">
      <c r="A4" s="1"/>
      <c r="B4" s="4" t="s">
        <v>432</v>
      </c>
      <c r="C4" s="51" t="s">
        <v>16</v>
      </c>
      <c r="D4" s="51" t="s">
        <v>17</v>
      </c>
      <c r="E4" s="51" t="s">
        <v>18</v>
      </c>
      <c r="F4" s="51" t="s">
        <v>19</v>
      </c>
      <c r="G4" s="51" t="s">
        <v>20</v>
      </c>
      <c r="H4" s="51" t="s">
        <v>21</v>
      </c>
    </row>
    <row r="5" customFormat="false" ht="15" hidden="false" customHeight="false" outlineLevel="0" collapsed="false">
      <c r="A5" s="1"/>
      <c r="B5" s="8" t="s">
        <v>433</v>
      </c>
      <c r="C5" s="40" t="n">
        <f aca="false">IFERROR(Model_SMR_CfD!$D$110*1000000/Model_SMR_CfD!$D$108,0)</f>
        <v>303.908528250581</v>
      </c>
      <c r="D5" s="40" t="n">
        <f aca="false">IFERROR(Model_SMR_Fixed!$D$107*1000000/Model_SMR_Fixed!$D$105,0)</f>
        <v>298.340021457185</v>
      </c>
      <c r="E5" s="40" t="n">
        <f aca="false">IFERROR(Model_SMR_Dynamic!$D$106*1000000/Model_SMR_Dynamic!$D$104,0)</f>
        <v>440.686800995396</v>
      </c>
      <c r="F5" s="40" t="n">
        <f aca="false">IFERROR(Model_CCGT!$D$105*1000000/Model_CCGT!$D$103,0)</f>
        <v>346.995283619569</v>
      </c>
      <c r="G5" s="40" t="n">
        <f aca="false">IFERROR(Model_OCGT!$D$105*1000000/Model_OCGT!$D$103,0)</f>
        <v>863.420302879588</v>
      </c>
      <c r="H5" s="40" t="n">
        <f aca="false">IFERROR(Model_Engines!$D$105*1000000/Model_Engines!$D$103,0)</f>
        <v>391.230916615373</v>
      </c>
    </row>
    <row r="6" customFormat="false" ht="15" hidden="false" customHeight="false" outlineLevel="0" collapsed="false">
      <c r="A6" s="1"/>
      <c r="B6" s="8" t="s">
        <v>434</v>
      </c>
      <c r="C6" s="40" t="n">
        <f aca="false">IFERROR(Model_SMR_CfD!$D$111*1000000/Model_SMR_CfD!$D$108,0)</f>
        <v>69.9692694359144</v>
      </c>
      <c r="D6" s="40" t="n">
        <f aca="false">IFERROR(Model_SMR_Fixed!$D$108*1000000/Model_SMR_Fixed!$D$105,0)</f>
        <v>68.0071530922787</v>
      </c>
      <c r="E6" s="40" t="n">
        <f aca="false">IFERROR(Model_SMR_Dynamic!$D$107*1000000/Model_SMR_Dynamic!$D$104,0)</f>
        <v>73.7933833137297</v>
      </c>
      <c r="F6" s="40" t="n">
        <f aca="false">IFERROR(Model_CCGT!$D$106*1000000/Model_CCGT!$D$103,0)</f>
        <v>57.5912884610925</v>
      </c>
      <c r="G6" s="40" t="n">
        <f aca="false">IFERROR(Model_OCGT!$D$106*1000000/Model_OCGT!$D$103,0)</f>
        <v>152.861736794017</v>
      </c>
      <c r="H6" s="40" t="n">
        <f aca="false">IFERROR(Model_Engines!$D$106*1000000/Model_Engines!$D$103,0)</f>
        <v>80.1516928768289</v>
      </c>
    </row>
    <row r="7" customFormat="false" ht="15" hidden="false" customHeight="false" outlineLevel="0" collapsed="false">
      <c r="A7" s="1"/>
      <c r="B7" s="8" t="s">
        <v>435</v>
      </c>
      <c r="C7" s="40" t="n">
        <f aca="false">IFERROR(Model_SMR_CfD!$D$112*1000000/Model_SMR_CfD!$D$108,0)</f>
        <v>31.0098877528688</v>
      </c>
      <c r="D7" s="40" t="n">
        <f aca="false">IFERROR(Model_SMR_Fixed!$D$109*1000000/Model_SMR_Fixed!$D$105,0)</f>
        <v>31</v>
      </c>
      <c r="E7" s="40" t="n">
        <f aca="false">IFERROR(Model_SMR_Dynamic!$D$108*1000000/Model_SMR_Dynamic!$D$104,0)</f>
        <v>31.0597969750032</v>
      </c>
      <c r="F7" s="40" t="n">
        <f aca="false">IFERROR(Model_CCGT!$D$107*1000000/Model_CCGT!$D$103,0)</f>
        <v>236.078589280824</v>
      </c>
      <c r="G7" s="40" t="n">
        <f aca="false">IFERROR(Model_OCGT!$D$107*1000000/Model_OCGT!$D$103,0)</f>
        <v>342.844260815626</v>
      </c>
      <c r="H7" s="40" t="n">
        <f aca="false">IFERROR(Model_Engines!$D$107*1000000/Model_Engines!$D$103,0)</f>
        <v>280.876577335755</v>
      </c>
    </row>
    <row r="8" customFormat="false" ht="15" hidden="false" customHeight="false" outlineLevel="0" collapsed="false">
      <c r="A8" s="1"/>
      <c r="B8" s="8" t="s">
        <v>436</v>
      </c>
      <c r="C8" s="40" t="n">
        <f aca="false">IFERROR(Model_SMR_CfD!$D$113*1000000/Model_SMR_CfD!$D$108,0)</f>
        <v>0</v>
      </c>
      <c r="D8" s="40" t="n">
        <f aca="false">IFERROR(Model_SMR_Fixed!$D$110*1000000/Model_SMR_Fixed!$D$105,0)</f>
        <v>0</v>
      </c>
      <c r="E8" s="40" t="n">
        <f aca="false">IFERROR(Model_SMR_Dynamic!$D$109*1000000/Model_SMR_Dynamic!$D$104,0)</f>
        <v>0</v>
      </c>
      <c r="F8" s="40" t="n">
        <f aca="false">IFERROR(Model_CCGT!$D$108*1000000/Model_CCGT!$D$103,0)</f>
        <v>212.652545237426</v>
      </c>
      <c r="G8" s="40" t="n">
        <f aca="false">IFERROR(Model_OCGT!$D$108*1000000/Model_OCGT!$D$103,0)</f>
        <v>311.004223095546</v>
      </c>
      <c r="H8" s="40" t="n">
        <f aca="false">IFERROR(Model_Engines!$D$108*1000000/Model_Engines!$D$103,0)</f>
        <v>252.994760390534</v>
      </c>
    </row>
    <row r="9" customFormat="false" ht="15" hidden="false" customHeight="false" outlineLevel="0" collapsed="false">
      <c r="A9" s="1"/>
      <c r="B9" s="8" t="s">
        <v>437</v>
      </c>
      <c r="C9" s="40" t="n">
        <f aca="false">IFERROR(Model_SMR_CfD!$D$114*1000000/Model_SMR_CfD!$D$108,0)</f>
        <v>11</v>
      </c>
      <c r="D9" s="40" t="n">
        <f aca="false">IFERROR(Model_SMR_Fixed!$D$111*1000000/Model_SMR_Fixed!$D$105,0)</f>
        <v>11</v>
      </c>
      <c r="E9" s="40" t="n">
        <f aca="false">IFERROR(Model_SMR_Dynamic!$D$110*1000000/Model_SMR_Dynamic!$D$104,0)</f>
        <v>11</v>
      </c>
      <c r="F9" s="40" t="n">
        <f aca="false">IFERROR(Model_CCGT!$D$109*1000000/Model_CCGT!$D$103,0)</f>
        <v>56.4014573782636</v>
      </c>
      <c r="G9" s="40" t="n">
        <f aca="false">IFERROR(Model_OCGT!$D$109*1000000/Model_OCGT!$D$103,0)</f>
        <v>57.5792228318024</v>
      </c>
      <c r="H9" s="40" t="n">
        <f aca="false">IFERROR(Model_Engines!$D$109*1000000/Model_Engines!$D$103,0)</f>
        <v>39.3469084653439</v>
      </c>
    </row>
    <row r="10" customFormat="false" ht="15" hidden="false" customHeight="false" outlineLevel="0" collapsed="false">
      <c r="A10" s="1"/>
      <c r="B10" s="8" t="s">
        <v>438</v>
      </c>
      <c r="C10" s="40" t="n">
        <f aca="false">IFERROR(Model_SMR_CfD!$D$115*1000000/Model_SMR_CfD!$D$108,0)</f>
        <v>26</v>
      </c>
      <c r="D10" s="40" t="n">
        <f aca="false">IFERROR(Model_SMR_Fixed!$D$112*1000000/Model_SMR_Fixed!$D$105,0)</f>
        <v>26</v>
      </c>
      <c r="E10" s="40" t="n">
        <f aca="false">IFERROR(Model_SMR_Dynamic!$D$111*1000000/Model_SMR_Dynamic!$D$104,0)</f>
        <v>26</v>
      </c>
      <c r="F10" s="40" t="n">
        <f aca="false">IFERROR(Model_CCGT!$D$110*1000000/Model_CCGT!$D$103,0)</f>
        <v>1.89002231695917</v>
      </c>
      <c r="G10" s="40" t="n">
        <f aca="false">IFERROR(Model_OCGT!$D$110*1000000/Model_OCGT!$D$103,0)</f>
        <v>5.00188226561499</v>
      </c>
      <c r="H10" s="40" t="n">
        <f aca="false">IFERROR(Model_Engines!$D$110*1000000/Model_Engines!$D$103,0)</f>
        <v>3.210340625253</v>
      </c>
    </row>
    <row r="11" customFormat="false" ht="15" hidden="false" customHeight="false" outlineLevel="0" collapsed="false">
      <c r="A11" s="1"/>
      <c r="B11" s="8" t="s">
        <v>340</v>
      </c>
      <c r="C11" s="40" t="n">
        <f aca="false">IFERROR(Model_SMR_CfD!$D$116*1000000/Model_SMR_CfD!$D$108,0)</f>
        <v>24.4963827842573</v>
      </c>
      <c r="D11" s="40" t="n">
        <f aca="false">IFERROR(Model_SMR_Fixed!$D$113*1000000/Model_SMR_Fixed!$D$105,0)</f>
        <v>24.0475363016232</v>
      </c>
      <c r="E11" s="40" t="n">
        <f aca="false">IFERROR(Model_SMR_Dynamic!$D$112*1000000/Model_SMR_Dynamic!$D$104,0)</f>
        <v>25.3264803837187</v>
      </c>
      <c r="F11" s="40" t="n">
        <f aca="false">IFERROR(Model_CCGT!$D$111*1000000/Model_CCGT!$D$103,0)</f>
        <v>0</v>
      </c>
      <c r="G11" s="40" t="n">
        <f aca="false">IFERROR(Model_OCGT!$D$111*1000000/Model_OCGT!$D$103,0)</f>
        <v>0</v>
      </c>
      <c r="H11" s="40" t="n">
        <f aca="false">IFERROR(Model_Engines!$D$111*1000000/Model_Engines!$D$103,0)</f>
        <v>0</v>
      </c>
    </row>
    <row r="12" customFormat="false" ht="15" hidden="false" customHeight="false" outlineLevel="0" collapsed="false">
      <c r="A12" s="1"/>
      <c r="B12" s="8" t="s">
        <v>439</v>
      </c>
      <c r="C12" s="40" t="n">
        <f aca="false">IFERROR(Model_SMR_CfD!$D$117*1000000/Model_SMR_CfD!$D$108,0)</f>
        <v>21.5590586272822</v>
      </c>
      <c r="D12" s="40" t="n">
        <f aca="false">IFERROR(Model_SMR_Fixed!$D$114*1000000/Model_SMR_Fixed!$D$105,0)</f>
        <v>20.9619805319469</v>
      </c>
      <c r="E12" s="40" t="n">
        <f aca="false">IFERROR(Model_SMR_Dynamic!$D$113*1000000/Model_SMR_Dynamic!$D$104,0)</f>
        <v>21.5410798626844</v>
      </c>
      <c r="F12" s="40" t="n">
        <f aca="false">IFERROR(Model_CCGT!$D$112*1000000/Model_CCGT!$D$103,0)</f>
        <v>47.2807865559855</v>
      </c>
      <c r="G12" s="40" t="n">
        <f aca="false">IFERROR(Model_OCGT!$D$112*1000000/Model_OCGT!$D$103,0)</f>
        <v>125.257697680102</v>
      </c>
      <c r="H12" s="40" t="n">
        <f aca="false">IFERROR(Model_Engines!$D$112*1000000/Model_Engines!$D$103,0)</f>
        <v>51.1357262592258</v>
      </c>
    </row>
    <row r="13" customFormat="false" ht="15" hidden="false" customHeight="false" outlineLevel="0" collapsed="false">
      <c r="A13" s="1"/>
      <c r="B13" s="4" t="s">
        <v>440</v>
      </c>
      <c r="C13" s="40" t="n">
        <f aca="false">IFERROR(Model_SMR_CfD!$D$109*1000000/Model_SMR_CfD!$D$108,0)</f>
        <v>487.943126850904</v>
      </c>
      <c r="D13" s="40" t="n">
        <f aca="false">IFERROR(Model_SMR_Fixed!$D$106*1000000/Model_SMR_Fixed!$D$105,0)</f>
        <v>479.356691383034</v>
      </c>
      <c r="E13" s="40" t="n">
        <f aca="false">IFERROR(Model_SMR_Dynamic!$D$105*1000000/Model_SMR_Dynamic!$D$104,0)</f>
        <v>629.407541530532</v>
      </c>
      <c r="F13" s="40" t="n">
        <f aca="false">IFERROR(Model_CCGT!$D$104*1000000/Model_CCGT!$D$103,0)</f>
        <v>958.889972850119</v>
      </c>
      <c r="G13" s="40" t="n">
        <f aca="false">IFERROR(Model_OCGT!$D$104*1000000/Model_OCGT!$D$103,0)</f>
        <v>1857.9693263623</v>
      </c>
      <c r="H13" s="40" t="n">
        <f aca="false">IFERROR(Model_Engines!$D$104*1000000/Model_Engines!$D$103,0)</f>
        <v>1098.94692256831</v>
      </c>
    </row>
    <row r="14" customFormat="false" ht="15" hidden="false" customHeight="false" outlineLevel="0" collapsed="false">
      <c r="A14" s="1"/>
      <c r="B14" s="4" t="s">
        <v>441</v>
      </c>
      <c r="C14" s="40" t="n">
        <f aca="false">IFERROR(Model_SMR_CfD!$D$118*1000000/Model_SMR_CfD!$D$108,0)</f>
        <v>533.577140771393</v>
      </c>
      <c r="D14" s="40" t="n">
        <f aca="false">IFERROR(Model_SMR_Fixed!$D$115*1000000/Model_SMR_Fixed!$D$105,0)</f>
        <v>483.39</v>
      </c>
      <c r="E14" s="40" t="n">
        <f aca="false">IFERROR(Model_SMR_Dynamic!$D$114*1000000/Model_SMR_Dynamic!$D$104,0)</f>
        <v>401.950099046017</v>
      </c>
      <c r="F14" s="40" t="n">
        <f aca="false">IFERROR(Model_CCGT!$D$113*1000000/Model_CCGT!$D$103,0)</f>
        <v>633.171918957724</v>
      </c>
      <c r="G14" s="40" t="n">
        <f aca="false">IFERROR(Model_OCGT!$D$113*1000000/Model_OCGT!$D$103,0)</f>
        <v>1060.58477227581</v>
      </c>
      <c r="H14" s="40" t="n">
        <f aca="false">IFERROR(Model_Engines!$D$113*1000000/Model_Engines!$D$103,0)</f>
        <v>797.031412576646</v>
      </c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</row>
    <row r="17" customFormat="false" ht="15" hidden="false" customHeight="false" outlineLevel="0" collapsed="false">
      <c r="A17" s="1"/>
      <c r="B17" s="4" t="s">
        <v>442</v>
      </c>
      <c r="C17" s="1"/>
      <c r="D17" s="1"/>
      <c r="E17" s="1"/>
      <c r="F17" s="1"/>
      <c r="G17" s="1"/>
      <c r="H17" s="1"/>
    </row>
    <row r="18" customFormat="false" ht="15" hidden="false" customHeight="false" outlineLevel="0" collapsed="false">
      <c r="A18" s="1"/>
      <c r="B18" s="8" t="s">
        <v>443</v>
      </c>
      <c r="C18" s="9" t="n">
        <f aca="false">Model_SMR_CfD!$D$141</f>
        <v>6250.15973534516</v>
      </c>
      <c r="D18" s="9" t="n">
        <f aca="false">Model_SMR_Fixed!$D$138</f>
        <v>6188.01078260914</v>
      </c>
      <c r="E18" s="9" t="n">
        <f aca="false">Model_SMR_Dynamic!$D$137</f>
        <v>3301.36220873326</v>
      </c>
      <c r="F18" s="9" t="n">
        <f aca="false">Model_CCGT!$D$136</f>
        <v>0</v>
      </c>
      <c r="G18" s="9" t="n">
        <f aca="false">Model_OCGT!$D$136</f>
        <v>0</v>
      </c>
      <c r="H18" s="9" t="n">
        <f aca="false">Model_Engines!$D$136</f>
        <v>1.7160730789724</v>
      </c>
    </row>
    <row r="19" customFormat="false" ht="15" hidden="false" customHeight="false" outlineLevel="0" collapsed="false">
      <c r="A19" s="1"/>
      <c r="B19" s="8" t="s">
        <v>444</v>
      </c>
      <c r="C19" s="9" t="n">
        <f aca="false">Model_SMR_CfD!$D$142</f>
        <v>0</v>
      </c>
      <c r="D19" s="9" t="n">
        <f aca="false">Model_SMR_Fixed!$D$139</f>
        <v>0</v>
      </c>
      <c r="E19" s="9" t="n">
        <f aca="false">Model_SMR_Dynamic!$D$138</f>
        <v>0</v>
      </c>
      <c r="F19" s="9" t="n">
        <f aca="false">Model_CCGT!$D$137</f>
        <v>2986.5131601478</v>
      </c>
      <c r="G19" s="9" t="n">
        <f aca="false">Model_OCGT!$D$137</f>
        <v>942.75920112692</v>
      </c>
      <c r="H19" s="9" t="n">
        <f aca="false">Model_Engines!$D$137</f>
        <v>396.619543891139</v>
      </c>
    </row>
    <row r="20" customFormat="false" ht="15" hidden="false" customHeight="false" outlineLevel="0" collapsed="false">
      <c r="A20" s="1"/>
      <c r="B20" s="8" t="s">
        <v>445</v>
      </c>
      <c r="C20" s="9" t="n">
        <f aca="false">Model_SMR_CfD!$D$143</f>
        <v>3738.009395172</v>
      </c>
      <c r="D20" s="9" t="n">
        <f aca="false">Model_SMR_Fixed!$D$140</f>
        <v>3841.78392</v>
      </c>
      <c r="E20" s="9" t="n">
        <f aca="false">Model_SMR_Dynamic!$D$139</f>
        <v>3647.454571332</v>
      </c>
      <c r="F20" s="9" t="n">
        <f aca="false">Model_CCGT!$D$138</f>
        <v>0</v>
      </c>
      <c r="G20" s="9" t="n">
        <f aca="false">Model_OCGT!$D$138</f>
        <v>0</v>
      </c>
      <c r="H20" s="9" t="n">
        <f aca="false">Model_Engines!$D$138</f>
        <v>0</v>
      </c>
    </row>
    <row r="21" customFormat="false" ht="15" hidden="false" customHeight="false" outlineLevel="0" collapsed="false">
      <c r="A21" s="1"/>
      <c r="B21" s="8" t="s">
        <v>446</v>
      </c>
      <c r="C21" s="9" t="n">
        <f aca="false">Model_SMR_CfD!$D$144</f>
        <v>15881.9830857916</v>
      </c>
      <c r="D21" s="9" t="n">
        <f aca="false">Model_SMR_Fixed!$D$141</f>
        <v>0</v>
      </c>
      <c r="E21" s="9" t="n">
        <f aca="false">Model_SMR_Dynamic!$D$140</f>
        <v>0</v>
      </c>
      <c r="F21" s="9" t="n">
        <f aca="false">Model_CCGT!$D$139</f>
        <v>0</v>
      </c>
      <c r="G21" s="9" t="n">
        <f aca="false">Model_OCGT!$D$139</f>
        <v>0</v>
      </c>
      <c r="H21" s="9" t="n">
        <f aca="false">Model_Engines!$D$139</f>
        <v>0</v>
      </c>
    </row>
    <row r="22" customFormat="false" ht="15" hidden="false" customHeight="false" outlineLevel="0" collapsed="false">
      <c r="A22" s="1"/>
      <c r="B22" s="8" t="s">
        <v>447</v>
      </c>
      <c r="C22" s="9" t="n">
        <f aca="false">Model_SMR_CfD!$D$145</f>
        <v>1368</v>
      </c>
      <c r="D22" s="9" t="n">
        <f aca="false">Model_SMR_Fixed!$D$142</f>
        <v>1368</v>
      </c>
      <c r="E22" s="9" t="n">
        <f aca="false">Model_SMR_Dynamic!$D$141</f>
        <v>1368</v>
      </c>
      <c r="F22" s="9" t="n">
        <f aca="false">Model_CCGT!$D$140</f>
        <v>167.4</v>
      </c>
      <c r="G22" s="9" t="n">
        <f aca="false">Model_OCGT!$D$140</f>
        <v>73.44</v>
      </c>
      <c r="H22" s="9" t="n">
        <f aca="false">Model_Engines!$D$140</f>
        <v>16.416</v>
      </c>
    </row>
    <row r="23" customFormat="false" ht="15" hidden="false" customHeight="false" outlineLevel="0" collapsed="false">
      <c r="A23" s="1"/>
      <c r="B23" s="8" t="s">
        <v>448</v>
      </c>
      <c r="C23" s="9" t="n">
        <f aca="false">Model_SMR_CfD!$D$146</f>
        <v>1368</v>
      </c>
      <c r="D23" s="9" t="n">
        <f aca="false">Model_SMR_Fixed!$D$143</f>
        <v>1368</v>
      </c>
      <c r="E23" s="9" t="n">
        <f aca="false">Model_SMR_Dynamic!$D$142</f>
        <v>1368</v>
      </c>
      <c r="F23" s="9" t="n">
        <f aca="false">Model_CCGT!$D$141</f>
        <v>0</v>
      </c>
      <c r="G23" s="9" t="n">
        <f aca="false">Model_OCGT!$D$141</f>
        <v>0</v>
      </c>
      <c r="H23" s="9" t="n">
        <f aca="false">Model_Engines!$D$141</f>
        <v>0</v>
      </c>
    </row>
    <row r="24" customFormat="false" ht="15" hidden="false" customHeight="false" outlineLevel="0" collapsed="false">
      <c r="A24" s="1"/>
      <c r="B24" s="8" t="s">
        <v>449</v>
      </c>
      <c r="C24" s="9" t="n">
        <f aca="false">Model_SMR_CfD!$D$147</f>
        <v>1842.1523430491</v>
      </c>
      <c r="D24" s="9" t="n">
        <f aca="false">Model_SMR_Fixed!$D$144</f>
        <v>1823.83475697954</v>
      </c>
      <c r="E24" s="9" t="n">
        <f aca="false">Model_SMR_Dynamic!$D$143</f>
        <v>973.033072047696</v>
      </c>
      <c r="F24" s="9" t="n">
        <f aca="false">Model_CCGT!$D$142</f>
        <v>0</v>
      </c>
      <c r="G24" s="9" t="n">
        <f aca="false">Model_OCGT!$D$142</f>
        <v>0</v>
      </c>
      <c r="H24" s="9" t="n">
        <f aca="false">Model_Engines!$D$142</f>
        <v>0.505789960118181</v>
      </c>
    </row>
    <row r="25" customFormat="false" ht="15" hidden="false" customHeight="false" outlineLevel="0" collapsed="false">
      <c r="A25" s="1"/>
      <c r="B25" s="8" t="s">
        <v>450</v>
      </c>
      <c r="C25" s="9" t="n">
        <f aca="false">Model_SMR_CfD!$D$148</f>
        <v>136.618771419323</v>
      </c>
      <c r="D25" s="9" t="n">
        <f aca="false">Model_SMR_Fixed!$D$145</f>
        <v>136.618771419323</v>
      </c>
      <c r="E25" s="9" t="n">
        <f aca="false">Model_SMR_Dynamic!$D$144</f>
        <v>136.618771419323</v>
      </c>
      <c r="F25" s="9" t="n">
        <f aca="false">Model_CCGT!$D$143</f>
        <v>15.8626460079681</v>
      </c>
      <c r="G25" s="9" t="n">
        <f aca="false">Model_OCGT!$D$143</f>
        <v>4.66461050199203</v>
      </c>
      <c r="H25" s="9" t="n">
        <f aca="false">Model_Engines!$D$143</f>
        <v>3.26511080832669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30"/>
  </cols>
  <sheetData>
    <row r="1" customFormat="false" ht="15" hidden="false" customHeight="false" outlineLevel="0" collapsed="false">
      <c r="A1" s="1"/>
      <c r="B1" s="2" t="s">
        <v>451</v>
      </c>
    </row>
    <row r="2" customFormat="false" ht="15" hidden="false" customHeight="false" outlineLevel="0" collapsed="false">
      <c r="A2" s="1"/>
      <c r="B2" s="1"/>
    </row>
    <row r="3" customFormat="false" ht="15" hidden="false" customHeight="false" outlineLevel="0" collapsed="false">
      <c r="A3" s="1"/>
      <c r="B3" s="8" t="s">
        <v>452</v>
      </c>
    </row>
    <row r="4" customFormat="false" ht="15" hidden="false" customHeight="false" outlineLevel="0" collapsed="false">
      <c r="A4" s="1"/>
      <c r="B4" s="8" t="s">
        <v>453</v>
      </c>
    </row>
    <row r="5" customFormat="false" ht="15" hidden="false" customHeight="false" outlineLevel="0" collapsed="false">
      <c r="A5" s="1"/>
      <c r="B5" s="8" t="s">
        <v>454</v>
      </c>
    </row>
    <row r="6" customFormat="false" ht="15" hidden="false" customHeight="false" outlineLevel="0" collapsed="false">
      <c r="A6" s="1"/>
      <c r="B6" s="8" t="s">
        <v>455</v>
      </c>
    </row>
    <row r="7" customFormat="false" ht="15" hidden="false" customHeight="false" outlineLevel="0" collapsed="false">
      <c r="A7" s="1"/>
      <c r="B7" s="8" t="s">
        <v>456</v>
      </c>
    </row>
    <row r="8" customFormat="false" ht="15" hidden="false" customHeight="false" outlineLevel="0" collapsed="false">
      <c r="A8" s="1"/>
      <c r="B8" s="8" t="s">
        <v>457</v>
      </c>
    </row>
    <row r="9" customFormat="false" ht="15" hidden="false" customHeight="false" outlineLevel="0" collapsed="false">
      <c r="A9" s="1"/>
      <c r="B9" s="8" t="s">
        <v>458</v>
      </c>
    </row>
    <row r="10" customFormat="false" ht="15" hidden="false" customHeight="false" outlineLevel="0" collapsed="false">
      <c r="A10" s="1"/>
      <c r="B10" s="8" t="s">
        <v>459</v>
      </c>
    </row>
    <row r="11" customFormat="false" ht="15" hidden="false" customHeight="false" outlineLevel="0" collapsed="false">
      <c r="A11" s="1"/>
      <c r="B11" s="8" t="s">
        <v>460</v>
      </c>
    </row>
    <row r="12" customFormat="false" ht="15" hidden="false" customHeight="false" outlineLevel="0" collapsed="false">
      <c r="A12" s="1"/>
      <c r="B12" s="8" t="s">
        <v>461</v>
      </c>
    </row>
    <row r="13" customFormat="false" ht="15" hidden="false" customHeight="false" outlineLevel="0" collapsed="false">
      <c r="A13" s="1"/>
      <c r="B13" s="8" t="s">
        <v>462</v>
      </c>
    </row>
    <row r="14" customFormat="false" ht="15" hidden="false" customHeight="false" outlineLevel="0" collapsed="false">
      <c r="A14" s="1"/>
      <c r="B14" s="8" t="s">
        <v>463</v>
      </c>
    </row>
    <row r="15" customFormat="false" ht="15" hidden="false" customHeight="false" outlineLevel="0" collapsed="false">
      <c r="A15" s="1"/>
      <c r="B15" s="8" t="s">
        <v>464</v>
      </c>
    </row>
    <row r="16" customFormat="false" ht="15" hidden="false" customHeight="false" outlineLevel="0" collapsed="false">
      <c r="A16" s="1"/>
      <c r="B16" s="8" t="s">
        <v>465</v>
      </c>
    </row>
    <row r="17" customFormat="false" ht="15" hidden="false" customHeight="false" outlineLevel="0" collapsed="false">
      <c r="A17" s="1"/>
      <c r="B17" s="8" t="s">
        <v>466</v>
      </c>
    </row>
    <row r="18" customFormat="false" ht="15" hidden="false" customHeight="false" outlineLevel="0" collapsed="false">
      <c r="A18" s="1"/>
      <c r="B18" s="8" t="s">
        <v>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2026-09-20T18:03:31Z</dcterms:created>
  <dc:creator>openpyxl</dc:creator>
  <dc:description/>
  <dc:language>en-US</dc:language>
  <cp:lastModifiedBy/>
  <dcterms:modified xsi:type="dcterms:W3CDTF">2026-09-20T18:03:33Z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